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Raw" sheetId="2" state="visible" r:id="rId4"/>
    <sheet name="Setup" sheetId="3" state="visible" r:id="rId5"/>
    <sheet name="Work" sheetId="4" state="visible" r:id="rId6"/>
    <sheet name="Fits" sheetId="5" state="visible" r:id="rId7"/>
    <sheet name="Results" sheetId="6" state="visible" r:id="rId8"/>
    <sheet name="QC"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<sst xmlns="http://schemas.openxmlformats.org/spreadsheetml/2006/main" count="1445" uniqueCount="734">
  <si>
    <t xml:space="preserve">EA-IRMS correction template</t>
  </si>
  <si>
    <t xml:space="preserve">Thermo Flash EA coupled to a Delta/253 IRMS. Takes the Isodat export and returns %C, %N, C:N, delta-13C and delta-15N, with every correction visible as a live formula. ea_irms 1.4.0.</t>
  </si>
  <si>
    <t xml:space="preserve">How to use it</t>
  </si>
  <si>
    <t xml:space="preserve">1.  Open the Raw sheet. Select rows 2 to 1001 and press Delete, then paste your Isodat export starting in cell A2. Do not paste over row 1: the headers there are what every other sheet looks for. The sheet ships loaded with the 2026-09-15 test run as a worked example, so delete that first.</t>
  </si>
  <si>
    <t xml:space="preserve">2.  Open Setup. Check the standards table against the certificates and against what the sequence actually called things. A material is recognised by the text in column A appearing anywhere in Identifier 1, so "Ace Drift" catches Ace Drift1 through Ace Drift 13. Matching ignores case.</t>
  </si>
  <si>
    <t xml:space="preserve">3.  Open Work and type sample masses in the yellow column F, in mg. Leave a cell empty to use the mass the export already carries in its Amount column. Without a mass there is no %C, %N or C:N for that row, though the isotope values still come out.</t>
  </si>
  <si>
    <t xml:space="preserve">4.  Read QC before you read anything else. It flags check standards that missed, samples outside the calibrated size range, blanks that cannot support a blank correction, a reference gas that moved during the run, and positions whose background rose right after an oversized sample.</t>
  </si>
  <si>
    <t xml:space="preserve">5.  Take the numbers from Results, with their uncertainties. Work is the audit trail behind them and Fits holds every fitted coefficient with its r-squared, residual scatter and, for the corrections, the test that decided whether it was applied.</t>
  </si>
  <si>
    <t xml:space="preserve">Colour</t>
  </si>
  <si>
    <t xml:space="preserve">Yellow cells with blue text are yours to fill in. Grey columns are machinery and can be ignored. Green columns are the reported values. Everything else is a formula, and overtyping one breaks that row silently, so work on a copy.</t>
  </si>
  <si>
    <t xml:space="preserve">What the sheets do</t>
  </si>
  <si>
    <t xml:space="preserve">Raw.  Paste target, unaltered. Two grey helper columns label each peak record by channel and give it a key.</t>
  </si>
  <si>
    <t xml:space="preserve">Setup.  Everything you are meant to change: processing switches, the standards table, flag thresholds.</t>
  </si>
  <si>
    <t xml:space="preserve">Work.  One row per autosampler position. Reads left to right: parsed peaks, then blank, linearity, drift and calibration corrections, then elemental content.</t>
  </si>
  <si>
    <t xml:space="preserve">Fits.  Every coefficient fitted from this run, each with n, r-squared and residual scatter.</t>
  </si>
  <si>
    <t xml:space="preserve">Results.  The clean table to copy out or plot from.</t>
  </si>
  <si>
    <t xml:space="preserve">QC.  Checks and flags. Read this first.</t>
  </si>
  <si>
    <t xml:space="preserve">How the corrections work</t>
  </si>
  <si>
    <t xml:space="preserve">Blank, then linearity, then drift, then calibration, in that order, each fitted from this run's own standards rather than from a coefficient typed in by hand. Because linearity is fitted after the blank correction, the two cannot double-count a size dependence that the blank already explains.</t>
  </si>
  <si>
    <t xml:space="preserve">Calibration regresses accepted values on measured values and applies that line directly. It is never fitted in the other direction and then inverted, which is where the arithmetic usually goes wrong: dividing the intercept by the slope and subtracting it shifts every value by a constant and never applies the slope at all.</t>
  </si>
  <si>
    <t xml:space="preserve">Drift is fitted twice, against autosampler position and against the mass-28 background on the reference peaks, and QC reports the residual scatter of both. The default is autosampler position. Residual scatter cannot decide between the two, since both were fitted to the same drift standards, so run labelled check standards and let their offsets decide.</t>
  </si>
  <si>
    <t xml:space="preserve">Before trusting any drift correction, read the settling section of QC. What looks like drift is often the instrument still coming to rest: the mass-28 background decays towards a floor over the first several dozen positions and the standards follow it down, then both stop. QC finds the position where the background settles, as the first three readings in a row near the floor, reports the drift slope separately before and after it, and says which pattern the run shows. A spike later in the run is carryover from an oversized sample, not settling, and does not move that position. A straight line in position is the wrong shape for a transient, under-correcting the early positions and over-correcting the late ones. Setup B14 excludes the unsettled positions from the drift fit. The real fix is upstream: wait for the background to reach its floor before the first real sample, and there is no drift left to correct.</t>
  </si>
  <si>
    <t xml:space="preserve">QC also lists the scatter of the drift standards after each correction in turn. A correction that does not lower that number is not earning its place in the run you are looking at.</t>
  </si>
  <si>
    <t xml:space="preserve">Only corrections the run supports</t>
  </si>
  <si>
    <t xml:space="preserve">On Auto, which is the default, a correction is applied only when this run supports it: the blank when at least three blank capsules agree to within 2 per mil, linearity and drift when the fitted slope differs from zero at the significance level in Setup B15 (a two-sided t-test of the slope). That follows the FIRMS Good Practice Guide for IRMS (Dunn and Carter, 2018, section 6.4), which asks that a correction be shown necessary before it is applied. With five or six standards the test has little power, so a slope that fails it is unproven rather than disproven; set the switch to On to apply it regardless. Each drift monitor is also compared against the line through the others, and one that sits far off is flagged rather than removed: if the capsule was the cause, list its position in Setup B16 or B17 and that element's fit leaves it out.</t>
  </si>
  <si>
    <t xml:space="preserve">Uncertainty</t>
  </si>
  <si>
    <t xml:space="preserve">Results carries a standard uncertainty u for every calibrated value and U = k x u with k from Setup B32. The budget follows section 6.5 of the guide: the 1-sigma certificate uncertainty of each anchor material (Setup columns H and I), the scatter of its replicates in this run, and the repeatability of one sample analysis (Setup B30 and B31, or the pooled anchor scatter when those are empty), each propagated through the calibration line as a Kragten spreadsheet would. It leaves out the blank, linearity and drift corrections and day-to-day reproducibility, so it is a floor. A control chart of an in-house standard is what supplies the rest.</t>
  </si>
  <si>
    <t xml:space="preserve">Elemental content comes from a regression of peak area on micrograms of C or N across every standard with both a known mass and a known composition. The intercept of that line is the area blank and is subtracted, so the k-factor is not forced through the origin.</t>
  </si>
  <si>
    <t xml:space="preserve">Known limits</t>
  </si>
  <si>
    <t xml:space="preserve">Linearity is fitted as a straight line. On the 2026-09-15 run the fitted slope moved 36 percent when the smallest standard was included, so the response is curved across the full size range and a sample far from the standards will carry that curvature as an error. The size flags in QC mark those rows.</t>
  </si>
  <si>
    <t xml:space="preserve">A blank correction is only as good as the blanks. Two blank capsules whose delta-15N differ by 22 per mil cannot constrain one, and QC says so rather than letting the correction run quietly. Setting the switch to Auto applies the correction only when at least three blanks agree to within 2 per mil. A sample barely larger than the blank is flagged separately, because there the mass balance amplifies the blank's uncertainty instead of removing it, whatever the blanks look like.</t>
  </si>
  <si>
    <t xml:space="preserve">Precision quoted from the drift standards understates the real figure, because those are the material the drift correction was fitted to. QC reports both that number and the scatter of any check standards and repeated unknowns, which is the honest one.</t>
  </si>
  <si>
    <t xml:space="preserve">ea_irms 1.4.0. Built at the Wang Stable Isotope Biogeochemistry Lab, Boston College, and free to use and adapt. Cite the version when you publish data corrected with it.</t>
  </si>
  <si>
    <t xml:space="preserve">Row</t>
  </si>
  <si>
    <t xml:space="preserve">Identifier 1</t>
  </si>
  <si>
    <t xml:space="preserve">Identifier 2</t>
  </si>
  <si>
    <t xml:space="preserve">Peak Nr</t>
  </si>
  <si>
    <t xml:space="preserve">Amount</t>
  </si>
  <si>
    <t xml:space="preserve">Ampl  28</t>
  </si>
  <si>
    <t xml:space="preserve">BGD 28</t>
  </si>
  <si>
    <t xml:space="preserve">Area 28</t>
  </si>
  <si>
    <t xml:space="preserve">Is Ref _</t>
  </si>
  <si>
    <t xml:space="preserve">Ampl  44</t>
  </si>
  <si>
    <t xml:space="preserve">Area 44</t>
  </si>
  <si>
    <t xml:space="preserve">Peak Nr  Flash TCD</t>
  </si>
  <si>
    <t xml:space="preserve">rArea Flash TCD</t>
  </si>
  <si>
    <t xml:space="preserve">d 15N/14N</t>
  </si>
  <si>
    <t xml:space="preserve">d 13C/12C</t>
  </si>
  <si>
    <t xml:space="preserve">BGD Flash TCD</t>
  </si>
  <si>
    <t xml:space="preserve">Channel</t>
  </si>
  <si>
    <t xml:space="preserve">Key</t>
  </si>
  <si>
    <t xml:space="preserve">grey helper columns, computed</t>
  </si>
  <si>
    <t xml:space="preserve">blank capsule</t>
  </si>
  <si>
    <t xml:space="preserve">1</t>
  </si>
  <si>
    <t xml:space="preserve">83626</t>
  </si>
  <si>
    <t xml:space="preserve">2123</t>
  </si>
  <si>
    <t xml:space="preserve">Ace Drift 13</t>
  </si>
  <si>
    <t xml:space="preserve">90981</t>
  </si>
  <si>
    <t xml:space="preserve">2121</t>
  </si>
  <si>
    <t xml:space="preserve">2</t>
  </si>
  <si>
    <t xml:space="preserve">683592</t>
  </si>
  <si>
    <t xml:space="preserve">2753</t>
  </si>
  <si>
    <t xml:space="preserve">Ace Drift12</t>
  </si>
  <si>
    <t xml:space="preserve">89197</t>
  </si>
  <si>
    <t xml:space="preserve">2122</t>
  </si>
  <si>
    <t xml:space="preserve">655686</t>
  </si>
  <si>
    <t xml:space="preserve">2744</t>
  </si>
  <si>
    <t xml:space="preserve">Random</t>
  </si>
  <si>
    <t xml:space="preserve">82872</t>
  </si>
  <si>
    <t xml:space="preserve">82808</t>
  </si>
  <si>
    <t xml:space="preserve">2126</t>
  </si>
  <si>
    <t xml:space="preserve">544367</t>
  </si>
  <si>
    <t xml:space="preserve">2752</t>
  </si>
  <si>
    <t xml:space="preserve">74162</t>
  </si>
  <si>
    <t xml:space="preserve">2130</t>
  </si>
  <si>
    <t xml:space="preserve">383486</t>
  </si>
  <si>
    <t xml:space="preserve">2743</t>
  </si>
  <si>
    <t xml:space="preserve">Ace Drift11</t>
  </si>
  <si>
    <t xml:space="preserve">92228</t>
  </si>
  <si>
    <t xml:space="preserve">2104</t>
  </si>
  <si>
    <t xml:space="preserve">711683</t>
  </si>
  <si>
    <t xml:space="preserve">2757</t>
  </si>
  <si>
    <t xml:space="preserve">107654</t>
  </si>
  <si>
    <t xml:space="preserve">2133</t>
  </si>
  <si>
    <t xml:space="preserve">1039471</t>
  </si>
  <si>
    <t xml:space="preserve">2769</t>
  </si>
  <si>
    <t xml:space="preserve">89549</t>
  </si>
  <si>
    <t xml:space="preserve">680894</t>
  </si>
  <si>
    <t xml:space="preserve">2754</t>
  </si>
  <si>
    <t xml:space="preserve">188520</t>
  </si>
  <si>
    <t xml:space="preserve">2128</t>
  </si>
  <si>
    <t xml:space="preserve">Ace Drift10</t>
  </si>
  <si>
    <t xml:space="preserve">91505</t>
  </si>
  <si>
    <t xml:space="preserve">724362</t>
  </si>
  <si>
    <t xml:space="preserve">190419</t>
  </si>
  <si>
    <t xml:space="preserve">2135</t>
  </si>
  <si>
    <t xml:space="preserve">192556</t>
  </si>
  <si>
    <t xml:space="preserve">2106</t>
  </si>
  <si>
    <t xml:space="preserve">162331</t>
  </si>
  <si>
    <t xml:space="preserve">2134</t>
  </si>
  <si>
    <t xml:space="preserve">Ace Drift9</t>
  </si>
  <si>
    <t xml:space="preserve">88016</t>
  </si>
  <si>
    <t xml:space="preserve">2117</t>
  </si>
  <si>
    <t xml:space="preserve">648873</t>
  </si>
  <si>
    <t xml:space="preserve">2766</t>
  </si>
  <si>
    <t xml:space="preserve">225086</t>
  </si>
  <si>
    <t xml:space="preserve">202279</t>
  </si>
  <si>
    <t xml:space="preserve">2137</t>
  </si>
  <si>
    <t xml:space="preserve">72626</t>
  </si>
  <si>
    <t xml:space="preserve">2144</t>
  </si>
  <si>
    <t xml:space="preserve">338137</t>
  </si>
  <si>
    <t xml:space="preserve">2750</t>
  </si>
  <si>
    <t xml:space="preserve">Ace Drift8</t>
  </si>
  <si>
    <t xml:space="preserve">89275</t>
  </si>
  <si>
    <t xml:space="preserve">2145</t>
  </si>
  <si>
    <t xml:space="preserve">684329</t>
  </si>
  <si>
    <t xml:space="preserve">2767</t>
  </si>
  <si>
    <t xml:space="preserve">94726</t>
  </si>
  <si>
    <t xml:space="preserve">787133</t>
  </si>
  <si>
    <t xml:space="preserve">2768</t>
  </si>
  <si>
    <t xml:space="preserve">84794</t>
  </si>
  <si>
    <t xml:space="preserve">2125</t>
  </si>
  <si>
    <t xml:space="preserve">575522</t>
  </si>
  <si>
    <t xml:space="preserve">2762</t>
  </si>
  <si>
    <t xml:space="preserve">85361</t>
  </si>
  <si>
    <t xml:space="preserve">588777</t>
  </si>
  <si>
    <t xml:space="preserve">2764</t>
  </si>
  <si>
    <t xml:space="preserve">Ace Drift7</t>
  </si>
  <si>
    <t xml:space="preserve">89737</t>
  </si>
  <si>
    <t xml:space="preserve">2147</t>
  </si>
  <si>
    <t xml:space="preserve">684309</t>
  </si>
  <si>
    <t xml:space="preserve">138876</t>
  </si>
  <si>
    <t xml:space="preserve">1611823</t>
  </si>
  <si>
    <t xml:space="preserve">2799</t>
  </si>
  <si>
    <t xml:space="preserve">73161</t>
  </si>
  <si>
    <t xml:space="preserve">304515</t>
  </si>
  <si>
    <t xml:space="preserve">2726</t>
  </si>
  <si>
    <t xml:space="preserve">87030</t>
  </si>
  <si>
    <t xml:space="preserve">2153</t>
  </si>
  <si>
    <t xml:space="preserve">656738</t>
  </si>
  <si>
    <t xml:space="preserve">Ace Drift6</t>
  </si>
  <si>
    <t xml:space="preserve">90915</t>
  </si>
  <si>
    <t xml:space="preserve">2152</t>
  </si>
  <si>
    <t xml:space="preserve">724909</t>
  </si>
  <si>
    <t xml:space="preserve">2760</t>
  </si>
  <si>
    <t xml:space="preserve">121041</t>
  </si>
  <si>
    <t xml:space="preserve">1287398</t>
  </si>
  <si>
    <t xml:space="preserve">2794</t>
  </si>
  <si>
    <t xml:space="preserve">84886</t>
  </si>
  <si>
    <t xml:space="preserve">2159</t>
  </si>
  <si>
    <t xml:space="preserve">386669</t>
  </si>
  <si>
    <t xml:space="preserve">119978</t>
  </si>
  <si>
    <t xml:space="preserve">311507</t>
  </si>
  <si>
    <t xml:space="preserve">Ace Drift5</t>
  </si>
  <si>
    <t xml:space="preserve">90373</t>
  </si>
  <si>
    <t xml:space="preserve">2156</t>
  </si>
  <si>
    <t xml:space="preserve">703004</t>
  </si>
  <si>
    <t xml:space="preserve">121446</t>
  </si>
  <si>
    <t xml:space="preserve">2141</t>
  </si>
  <si>
    <t xml:space="preserve">318478</t>
  </si>
  <si>
    <t xml:space="preserve">2740</t>
  </si>
  <si>
    <t xml:space="preserve">88022</t>
  </si>
  <si>
    <t xml:space="preserve">2157</t>
  </si>
  <si>
    <t xml:space="preserve">662446</t>
  </si>
  <si>
    <t xml:space="preserve">2765</t>
  </si>
  <si>
    <t xml:space="preserve">136064</t>
  </si>
  <si>
    <t xml:space="preserve">2167</t>
  </si>
  <si>
    <t xml:space="preserve">99729</t>
  </si>
  <si>
    <t xml:space="preserve">2748</t>
  </si>
  <si>
    <t xml:space="preserve">Ace Drift4</t>
  </si>
  <si>
    <t xml:space="preserve">90232</t>
  </si>
  <si>
    <t xml:space="preserve">704695</t>
  </si>
  <si>
    <t xml:space="preserve">2775</t>
  </si>
  <si>
    <t xml:space="preserve">69973</t>
  </si>
  <si>
    <t xml:space="preserve">2163</t>
  </si>
  <si>
    <t xml:space="preserve">268309</t>
  </si>
  <si>
    <t xml:space="preserve">2736</t>
  </si>
  <si>
    <t xml:space="preserve">92840</t>
  </si>
  <si>
    <t xml:space="preserve">2164</t>
  </si>
  <si>
    <t xml:space="preserve">756463</t>
  </si>
  <si>
    <t xml:space="preserve">2772</t>
  </si>
  <si>
    <t xml:space="preserve">Ace Bypass</t>
  </si>
  <si>
    <t xml:space="preserve">94190</t>
  </si>
  <si>
    <t xml:space="preserve">2166</t>
  </si>
  <si>
    <t xml:space="preserve">775660</t>
  </si>
  <si>
    <t xml:space="preserve">Ace Drift3</t>
  </si>
  <si>
    <t xml:space="preserve">91195</t>
  </si>
  <si>
    <t xml:space="preserve">2168</t>
  </si>
  <si>
    <t xml:space="preserve">719426</t>
  </si>
  <si>
    <t xml:space="preserve">USGS 65</t>
  </si>
  <si>
    <t xml:space="preserve">121159</t>
  </si>
  <si>
    <t xml:space="preserve">2171</t>
  </si>
  <si>
    <t xml:space="preserve">320834</t>
  </si>
  <si>
    <t xml:space="preserve">2761</t>
  </si>
  <si>
    <t xml:space="preserve">123818</t>
  </si>
  <si>
    <t xml:space="preserve">2173</t>
  </si>
  <si>
    <t xml:space="preserve">334069</t>
  </si>
  <si>
    <t xml:space="preserve">119850</t>
  </si>
  <si>
    <t xml:space="preserve">2177</t>
  </si>
  <si>
    <t xml:space="preserve">312631</t>
  </si>
  <si>
    <t xml:space="preserve">Ace Drift2</t>
  </si>
  <si>
    <t xml:space="preserve">92927</t>
  </si>
  <si>
    <t xml:space="preserve">2176</t>
  </si>
  <si>
    <t xml:space="preserve">744503</t>
  </si>
  <si>
    <t xml:space="preserve">2785</t>
  </si>
  <si>
    <t xml:space="preserve">USGS 64</t>
  </si>
  <si>
    <t xml:space="preserve">118673</t>
  </si>
  <si>
    <t xml:space="preserve">2178</t>
  </si>
  <si>
    <t xml:space="preserve">306065</t>
  </si>
  <si>
    <t xml:space="preserve">2763</t>
  </si>
  <si>
    <t xml:space="preserve">120042</t>
  </si>
  <si>
    <t xml:space="preserve">2185</t>
  </si>
  <si>
    <t xml:space="preserve">317157</t>
  </si>
  <si>
    <t xml:space="preserve">2797</t>
  </si>
  <si>
    <t xml:space="preserve">117817</t>
  </si>
  <si>
    <t xml:space="preserve">2189</t>
  </si>
  <si>
    <t xml:space="preserve">308780</t>
  </si>
  <si>
    <t xml:space="preserve">2813</t>
  </si>
  <si>
    <t xml:space="preserve">Ace Drift1</t>
  </si>
  <si>
    <t xml:space="preserve">88131</t>
  </si>
  <si>
    <t xml:space="preserve">2195</t>
  </si>
  <si>
    <t xml:space="preserve">686469</t>
  </si>
  <si>
    <t xml:space="preserve">2840</t>
  </si>
  <si>
    <t xml:space="preserve">Ace Lin4</t>
  </si>
  <si>
    <t xml:space="preserve">120954</t>
  </si>
  <si>
    <t xml:space="preserve">2239</t>
  </si>
  <si>
    <t xml:space="preserve">1309408</t>
  </si>
  <si>
    <t xml:space="preserve">2878</t>
  </si>
  <si>
    <t xml:space="preserve">Ace Lin3</t>
  </si>
  <si>
    <t xml:space="preserve">107156</t>
  </si>
  <si>
    <t xml:space="preserve">2232</t>
  </si>
  <si>
    <t xml:space="preserve">974335</t>
  </si>
  <si>
    <t xml:space="preserve">2835</t>
  </si>
  <si>
    <t xml:space="preserve">Ace Lin2</t>
  </si>
  <si>
    <t xml:space="preserve">70685</t>
  </si>
  <si>
    <t xml:space="preserve">2233</t>
  </si>
  <si>
    <t xml:space="preserve">298826</t>
  </si>
  <si>
    <t xml:space="preserve">2820</t>
  </si>
  <si>
    <t xml:space="preserve">Ace Lin1</t>
  </si>
  <si>
    <t xml:space="preserve">67384</t>
  </si>
  <si>
    <t xml:space="preserve">2214</t>
  </si>
  <si>
    <t xml:space="preserve">209900</t>
  </si>
  <si>
    <t xml:space="preserve">2817</t>
  </si>
  <si>
    <t xml:space="preserve">Blank Capsule</t>
  </si>
  <si>
    <t xml:space="preserve">82725</t>
  </si>
  <si>
    <t xml:space="preserve">2216</t>
  </si>
  <si>
    <t xml:space="preserve">82276</t>
  </si>
  <si>
    <t xml:space="preserve">2241</t>
  </si>
  <si>
    <t xml:space="preserve">104175</t>
  </si>
  <si>
    <t xml:space="preserve">853203</t>
  </si>
  <si>
    <t xml:space="preserve">2830</t>
  </si>
  <si>
    <t xml:space="preserve">163029</t>
  </si>
  <si>
    <t xml:space="preserve">2217</t>
  </si>
  <si>
    <t xml:space="preserve">1962837</t>
  </si>
  <si>
    <t xml:space="preserve">2885</t>
  </si>
  <si>
    <t xml:space="preserve">Blank Hole</t>
  </si>
  <si>
    <t xml:space="preserve">86729</t>
  </si>
  <si>
    <t xml:space="preserve">2218</t>
  </si>
  <si>
    <t xml:space="preserve">Setup</t>
  </si>
  <si>
    <t xml:space="preserve">Yellow cells are yours. Everything else on this sheet is a label.</t>
  </si>
  <si>
    <t xml:space="preserve">Run information</t>
  </si>
  <si>
    <t xml:space="preserve">Run name</t>
  </si>
  <si>
    <t xml:space="preserve">20260915 TestRun</t>
  </si>
  <si>
    <t xml:space="preserve">Run date</t>
  </si>
  <si>
    <t xml:space="preserve">2026-09-15</t>
  </si>
  <si>
    <t xml:space="preserve">Analyst</t>
  </si>
  <si>
    <t xml:space="preserve">Processing options</t>
  </si>
  <si>
    <t xml:space="preserve">Blank correction</t>
  </si>
  <si>
    <t xml:space="preserve">Auto</t>
  </si>
  <si>
    <t xml:space="preserve">On / Off / Auto. Auto applies it only when at least three blanks agree to within 2 permil.</t>
  </si>
  <si>
    <t xml:space="preserve">Linearity correction</t>
  </si>
  <si>
    <t xml:space="preserve">On / Off / Auto. Auto applies the fitted slope only when it differs from zero at the significance level below.</t>
  </si>
  <si>
    <t xml:space="preserve">Drift correction</t>
  </si>
  <si>
    <t xml:space="preserve">Drift model</t>
  </si>
  <si>
    <t xml:space="preserve">Row / Background / Auto. Auto takes the lower residual scatter, which is not an independent test. See the note under the table.</t>
  </si>
  <si>
    <t xml:space="preserve">First position to use in the drift fit</t>
  </si>
  <si>
    <t xml:space="preserve">Leave empty to use every position. QC suggests a value. The calibration anchors are never excluded, since they are always run early.</t>
  </si>
  <si>
    <t xml:space="preserve">Significance level for Auto</t>
  </si>
  <si>
    <t xml:space="preserve">A slope is applied on Auto when its two-sided p-value is below this. The FIRMS guide asks that a correction be shown necessary before it is applied.</t>
  </si>
  <si>
    <t xml:space="preserve">Positions left out of the nitrogen drift fit</t>
  </si>
  <si>
    <t xml:space="preserve">Comma-separated autosampler positions, e.g. 59. Use it for a drift monitor QC calls an outlier when the cause is the capsule, not the instrument.</t>
  </si>
  <si>
    <t xml:space="preserve">Positions left out of the carbon drift fit</t>
  </si>
  <si>
    <t xml:space="preserve">Separate lists, because a capsule can go wrong in one element only.</t>
  </si>
  <si>
    <t xml:space="preserve">Flag thresholds</t>
  </si>
  <si>
    <t xml:space="preserve">Check standard offset (permil)</t>
  </si>
  <si>
    <t xml:space="preserve">Flag a check standard further than this from its accepted value.</t>
  </si>
  <si>
    <t xml:space="preserve">Minimum Area 28</t>
  </si>
  <si>
    <t xml:space="preserve">Leave empty to use the smallest linearity standard in the run.</t>
  </si>
  <si>
    <t xml:space="preserve">Minimum Area 44</t>
  </si>
  <si>
    <t xml:space="preserve">Maximum Area 28</t>
  </si>
  <si>
    <t xml:space="preserve">Leave empty to use the largest linearity standard in the run.</t>
  </si>
  <si>
    <t xml:space="preserve">Maximum Area 44</t>
  </si>
  <si>
    <t xml:space="preserve">Minimum peak area, x the blank</t>
  </si>
  <si>
    <t xml:space="preserve">Below this multiple of the blank the blank correction amplifies rather than corrects. Leave empty to skip the check.</t>
  </si>
  <si>
    <t xml:space="preserve">Settled when background excess is under</t>
  </si>
  <si>
    <t xml:space="preserve">Fraction of the run's starting excess left in the reference-peak background. Used only to suggest a first position and to flag.</t>
  </si>
  <si>
    <t xml:space="preserve">Drift monitor outlier, studentized residual</t>
  </si>
  <si>
    <t xml:space="preserve">A drift monitor further than this from the line through the others, in units of their scatter, is flagged.</t>
  </si>
  <si>
    <t xml:space="preserve">Carryover: background rise after an oversized sample (mV)</t>
  </si>
  <si>
    <t xml:space="preserve">Flags a position when one of the two before it is above the linearity range and its sample-peak background rose by more than this. Leave empty to skip the check.</t>
  </si>
  <si>
    <t xml:space="preserve">Sample repeatability, d15N (1 SD, permil)</t>
  </si>
  <si>
    <t xml:space="preserve">One analysis of one sample. Leave empty to use the pooled scatter of the anchor replicates in this run; better is the long-term SD of a matrix-matched in-house standard.</t>
  </si>
  <si>
    <t xml:space="preserve">Sample repeatability, d13C (1 SD, permil)</t>
  </si>
  <si>
    <t xml:space="preserve">Coverage factor k</t>
  </si>
  <si>
    <t xml:space="preserve">Expanded uncertainty U = k x u. k = 2 is about 95 percent only when the replicates behind u are many; with a handful, take k from Student's t.</t>
  </si>
  <si>
    <t xml:space="preserve">Standards</t>
  </si>
  <si>
    <t xml:space="preserve">Accepted values below are the published USGS values as of 2026-09-16, and u is the 1-sigma uncertainty the producer lists. Check both against your certificates.</t>
  </si>
  <si>
    <t xml:space="preserve">Match text in Identifier 1</t>
  </si>
  <si>
    <t xml:space="preserve">Role</t>
  </si>
  <si>
    <t xml:space="preserve">Accepted d13C</t>
  </si>
  <si>
    <t xml:space="preserve">Accepted d15N</t>
  </si>
  <si>
    <t xml:space="preserve">%C</t>
  </si>
  <si>
    <t xml:space="preserve">%N</t>
  </si>
  <si>
    <t xml:space="preserve">Material</t>
  </si>
  <si>
    <t xml:space="preserve">u(d13C)</t>
  </si>
  <si>
    <t xml:space="preserve">u(d15N)</t>
  </si>
  <si>
    <t xml:space="preserve">Anchor</t>
  </si>
  <si>
    <t xml:space="preserve">glycine</t>
  </si>
  <si>
    <t xml:space="preserve">USGS 66</t>
  </si>
  <si>
    <t xml:space="preserve">Check</t>
  </si>
  <si>
    <t xml:space="preserve">USGS 40</t>
  </si>
  <si>
    <t xml:space="preserve">L-glutamic acid</t>
  </si>
  <si>
    <t xml:space="preserve">USGS 41a</t>
  </si>
  <si>
    <t xml:space="preserve">Ace Lin</t>
  </si>
  <si>
    <t xml:space="preserve">Linearity</t>
  </si>
  <si>
    <t xml:space="preserve">acetanilide, size series</t>
  </si>
  <si>
    <t xml:space="preserve">Ace Drift</t>
  </si>
  <si>
    <t xml:space="preserve">Drift</t>
  </si>
  <si>
    <t xml:space="preserve">acetanilide, drift monitor</t>
  </si>
  <si>
    <t xml:space="preserve">Exclude</t>
  </si>
  <si>
    <t xml:space="preserve">bypass test</t>
  </si>
  <si>
    <t xml:space="preserve">Blank</t>
  </si>
  <si>
    <t xml:space="preserve">tin capsule, nothing in it</t>
  </si>
  <si>
    <t xml:space="preserve">empty carousel position</t>
  </si>
  <si>
    <t xml:space="preserve">Constants</t>
  </si>
  <si>
    <t xml:space="preserve">Atomic mass C (g/mol)</t>
  </si>
  <si>
    <t xml:space="preserve">IUPAC</t>
  </si>
  <si>
    <t xml:space="preserve">Atomic mass N (g/mol)</t>
  </si>
  <si>
    <t xml:space="preserve">Work</t>
  </si>
  <si>
    <t xml:space="preserve">One row per autosampler position. Type sample masses in the yellow column F, in mg. Everything else is a formula. Grey columns are machinery.</t>
  </si>
  <si>
    <t xml:space="preserve">identification</t>
  </si>
  <si>
    <t xml:space="preserve">mass</t>
  </si>
  <si>
    <t xml:space="preserve">peak lookup</t>
  </si>
  <si>
    <t xml:space="preserve">as measured</t>
  </si>
  <si>
    <t xml:space="preserve">from the standards table</t>
  </si>
  <si>
    <t xml:space="preserve">nitrogen corrections</t>
  </si>
  <si>
    <t xml:space="preserve">carbon corrections</t>
  </si>
  <si>
    <t xml:space="preserve">elemental content</t>
  </si>
  <si>
    <t xml:space="preserve">fit inputs and helpers, ignore</t>
  </si>
  <si>
    <t xml:space="preserve">instrument settling</t>
  </si>
  <si>
    <t xml:space="preserve">reference pulses</t>
  </si>
  <si>
    <t xml:space="preserve">uncertainty, 1 SD and k x SD</t>
  </si>
  <si>
    <t xml:space="preserve">chart feeds, ignore</t>
  </si>
  <si>
    <t xml:space="preserve">carryover and settling helpers, ignore</t>
  </si>
  <si>
    <t xml:space="preserve">Identifier</t>
  </si>
  <si>
    <t xml:space="preserve">Std row</t>
  </si>
  <si>
    <t xml:space="preserve">Type</t>
  </si>
  <si>
    <t xml:space="preserve">Mass from export (mg)</t>
  </si>
  <si>
    <t xml:space="preserve">Mass entered (mg)</t>
  </si>
  <si>
    <t xml:space="preserve">Mass used (mg)</t>
  </si>
  <si>
    <t xml:space="preserve">peak N</t>
  </si>
  <si>
    <t xml:space="preserve">key N</t>
  </si>
  <si>
    <t xml:space="preserve">peak C</t>
  </si>
  <si>
    <t xml:space="preserve">key C</t>
  </si>
  <si>
    <t xml:space="preserve">Ampl 28</t>
  </si>
  <si>
    <t xml:space="preserve">d15N raw</t>
  </si>
  <si>
    <t xml:space="preserve">Ampl 44</t>
  </si>
  <si>
    <t xml:space="preserve">d13C raw</t>
  </si>
  <si>
    <t xml:space="preserve">Certified %N</t>
  </si>
  <si>
    <t xml:space="preserve">Certified %C</t>
  </si>
  <si>
    <t xml:space="preserve">d15N blank-corr</t>
  </si>
  <si>
    <t xml:space="preserve">d15N linearity-corr</t>
  </si>
  <si>
    <t xml:space="preserve">drift x (N)</t>
  </si>
  <si>
    <t xml:space="preserve">d15N drift-corr</t>
  </si>
  <si>
    <t xml:space="preserve">d15N calibrated</t>
  </si>
  <si>
    <t xml:space="preserve">d13C blank-corr</t>
  </si>
  <si>
    <t xml:space="preserve">d13C linearity-corr</t>
  </si>
  <si>
    <t xml:space="preserve">drift x (C)</t>
  </si>
  <si>
    <t xml:space="preserve">d13C drift-corr</t>
  </si>
  <si>
    <t xml:space="preserve">d13C calibrated</t>
  </si>
  <si>
    <t xml:space="preserve">ug N</t>
  </si>
  <si>
    <t xml:space="preserve">ug C</t>
  </si>
  <si>
    <t xml:space="preserve">C:N molar</t>
  </si>
  <si>
    <t xml:space="preserve">C:N mass</t>
  </si>
  <si>
    <t xml:space="preserve">lin x N</t>
  </si>
  <si>
    <t xml:space="preserve">lin y N</t>
  </si>
  <si>
    <t xml:space="preserve">lin x C</t>
  </si>
  <si>
    <t xml:space="preserve">lin y C</t>
  </si>
  <si>
    <t xml:space="preserve">drift x row</t>
  </si>
  <si>
    <t xml:space="preserve">drift x bgd</t>
  </si>
  <si>
    <t xml:space="preserve">drift y N</t>
  </si>
  <si>
    <t xml:space="preserve">drift y C</t>
  </si>
  <si>
    <t xml:space="preserve">cal x N</t>
  </si>
  <si>
    <t xml:space="preserve">cal y N</t>
  </si>
  <si>
    <t xml:space="preserve">cal x C</t>
  </si>
  <si>
    <t xml:space="preserve">cal y C</t>
  </si>
  <si>
    <t xml:space="preserve">kfit x N</t>
  </si>
  <si>
    <t xml:space="preserve">kfit y N</t>
  </si>
  <si>
    <t xml:space="preserve">kfit x C</t>
  </si>
  <si>
    <t xml:space="preserve">kfit y C</t>
  </si>
  <si>
    <t xml:space="preserve">blank d15N</t>
  </si>
  <si>
    <t xml:space="preserve">blank A28</t>
  </si>
  <si>
    <t xml:space="preserve">blank d13C</t>
  </si>
  <si>
    <t xml:space="preserve">blank A44</t>
  </si>
  <si>
    <t xml:space="preserve">drift cal d15N</t>
  </si>
  <si>
    <t xml:space="preserve">drift cal d13C</t>
  </si>
  <si>
    <t xml:space="preserve">ref BGD 28</t>
  </si>
  <si>
    <t xml:space="preserve">settling frac</t>
  </si>
  <si>
    <t xml:space="preserve">drift x early</t>
  </si>
  <si>
    <t xml:space="preserve">drift y early</t>
  </si>
  <si>
    <t xml:space="preserve">drift x late</t>
  </si>
  <si>
    <t xml:space="preserve">drift y late</t>
  </si>
  <si>
    <t xml:space="preserve">stage raw</t>
  </si>
  <si>
    <t xml:space="preserve">stage blank</t>
  </si>
  <si>
    <t xml:space="preserve">stage lin</t>
  </si>
  <si>
    <t xml:space="preserve">stage drift</t>
  </si>
  <si>
    <t xml:space="preserve">ref peak N</t>
  </si>
  <si>
    <t xml:space="preserve">ref pulse d15N</t>
  </si>
  <si>
    <t xml:space="preserve">ref flagged C</t>
  </si>
  <si>
    <t xml:space="preserve">ref peak C</t>
  </si>
  <si>
    <t xml:space="preserve">ref pulse d13C</t>
  </si>
  <si>
    <t xml:space="preserve">excl N</t>
  </si>
  <si>
    <t xml:space="preserve">excl C</t>
  </si>
  <si>
    <t xml:space="preserve">drift x N</t>
  </si>
  <si>
    <t xml:space="preserve">drift x C</t>
  </si>
  <si>
    <t xml:space="preserve">t drift N</t>
  </si>
  <si>
    <t xml:space="preserve">t drift C</t>
  </si>
  <si>
    <t xml:space="preserve">cal one N</t>
  </si>
  <si>
    <t xml:space="preserve">cal dev N</t>
  </si>
  <si>
    <t xml:space="preserve">cal res N</t>
  </si>
  <si>
    <t xml:space="preserve">cal sq N</t>
  </si>
  <si>
    <t xml:space="preserve">cal one C</t>
  </si>
  <si>
    <t xml:space="preserve">cal dev C</t>
  </si>
  <si>
    <t xml:space="preserve">cal res C</t>
  </si>
  <si>
    <t xml:space="preserve">cal sq C</t>
  </si>
  <si>
    <t xml:space="preserve">u d15N</t>
  </si>
  <si>
    <t xml:space="preserve">U d15N</t>
  </si>
  <si>
    <t xml:space="preserve">u d13C</t>
  </si>
  <si>
    <t xml:space="preserve">U d13C</t>
  </si>
  <si>
    <t xml:space="preserve">settle streak</t>
  </si>
  <si>
    <t xml:space="preserve">ref x N</t>
  </si>
  <si>
    <t xml:space="preserve">ref x C</t>
  </si>
  <si>
    <t xml:space="preserve">match 1</t>
  </si>
  <si>
    <t xml:space="preserve">match 2</t>
  </si>
  <si>
    <t xml:space="preserve">match 3</t>
  </si>
  <si>
    <t xml:space="preserve">match 4</t>
  </si>
  <si>
    <t xml:space="preserve">match 5</t>
  </si>
  <si>
    <t xml:space="preserve">match 6</t>
  </si>
  <si>
    <t xml:space="preserve">match 7</t>
  </si>
  <si>
    <t xml:space="preserve">match 8</t>
  </si>
  <si>
    <t xml:space="preserve">match 9</t>
  </si>
  <si>
    <t xml:space="preserve">match 10</t>
  </si>
  <si>
    <t xml:space="preserve">match 11</t>
  </si>
  <si>
    <t xml:space="preserve">match 12</t>
  </si>
  <si>
    <t xml:space="preserve">match 13</t>
  </si>
  <si>
    <t xml:space="preserve">ch pos</t>
  </si>
  <si>
    <t xml:space="preserve">ch bgd</t>
  </si>
  <si>
    <t xml:space="preserve">ch bgd sample</t>
  </si>
  <si>
    <t xml:space="preserve">ch bgd monitor</t>
  </si>
  <si>
    <t xml:space="preserve">mon bgd</t>
  </si>
  <si>
    <t xml:space="preserve">mon bgd x</t>
  </si>
  <si>
    <t xml:space="preserve">ch lin x N</t>
  </si>
  <si>
    <t xml:space="preserve">ch lin y N</t>
  </si>
  <si>
    <t xml:space="preserve">ch samp x N</t>
  </si>
  <si>
    <t xml:space="preserve">ch samp y N</t>
  </si>
  <si>
    <t xml:space="preserve">ch drift used N</t>
  </si>
  <si>
    <t xml:space="preserve">ch drift out N</t>
  </si>
  <si>
    <t xml:space="preserve">ch drift after N</t>
  </si>
  <si>
    <t xml:space="preserve">ch cal y N</t>
  </si>
  <si>
    <t xml:space="preserve">ch acc min N</t>
  </si>
  <si>
    <t xml:space="preserve">ch acc max N</t>
  </si>
  <si>
    <t xml:space="preserve">ch pulse N</t>
  </si>
  <si>
    <t xml:space="preserve">ch lin x C</t>
  </si>
  <si>
    <t xml:space="preserve">ch lin y C</t>
  </si>
  <si>
    <t xml:space="preserve">ch samp x C</t>
  </si>
  <si>
    <t xml:space="preserve">ch samp y C</t>
  </si>
  <si>
    <t xml:space="preserve">ch drift used C</t>
  </si>
  <si>
    <t xml:space="preserve">ch drift out C</t>
  </si>
  <si>
    <t xml:space="preserve">ch drift after C</t>
  </si>
  <si>
    <t xml:space="preserve">ch cal y C</t>
  </si>
  <si>
    <t xml:space="preserve">ch acc min C</t>
  </si>
  <si>
    <t xml:space="preserve">ch acc max C</t>
  </si>
  <si>
    <t xml:space="preserve">ch pulse C</t>
  </si>
  <si>
    <t xml:space="preserve">ch carry</t>
  </si>
  <si>
    <t xml:space="preserve">pos used</t>
  </si>
  <si>
    <t xml:space="preserve">oversized</t>
  </si>
  <si>
    <t xml:space="preserve">exposed</t>
  </si>
  <si>
    <t xml:space="preserve">carry ref</t>
  </si>
  <si>
    <t xml:space="preserve">carry rise</t>
  </si>
  <si>
    <t xml:space="preserve">carry flag</t>
  </si>
  <si>
    <t xml:space="preserve">carry rank</t>
  </si>
  <si>
    <t xml:space="preserve">after oversized</t>
  </si>
  <si>
    <t xml:space="preserve">ref first5</t>
  </si>
  <si>
    <t xml:space="preserve">settle start</t>
  </si>
  <si>
    <t xml:space="preserve">Fits</t>
  </si>
  <si>
    <t xml:space="preserve">Every coefficient below is fitted from this run. Nothing here is typed in by hand.</t>
  </si>
  <si>
    <t xml:space="preserve">Blank, from the blank capsules</t>
  </si>
  <si>
    <t xml:space="preserve">n with a nitrogen peak</t>
  </si>
  <si>
    <t xml:space="preserve">Nitrogen blank correction in force?  On applies it whenever a blank exists; Auto also requires three blanks and an SD of 2 permil or better.</t>
  </si>
  <si>
    <t xml:space="preserve">mean Area 28</t>
  </si>
  <si>
    <t xml:space="preserve">mean d15N (permil)</t>
  </si>
  <si>
    <t xml:space="preserve">SD of blank d15N (permil)</t>
  </si>
  <si>
    <t xml:space="preserve">A large SD here means the blank correction is not supported.</t>
  </si>
  <si>
    <t xml:space="preserve">n with a carbon peak</t>
  </si>
  <si>
    <t xml:space="preserve">Carbon blank correction in force?</t>
  </si>
  <si>
    <t xml:space="preserve">mean Area 44</t>
  </si>
  <si>
    <t xml:space="preserve">mean d13C (permil)</t>
  </si>
  <si>
    <t xml:space="preserve">SD of blank d13C (permil)</t>
  </si>
  <si>
    <t xml:space="preserve">Linearity, nitrogen: d15N against Area 28</t>
  </si>
  <si>
    <t xml:space="preserve">n linearity standards</t>
  </si>
  <si>
    <t xml:space="preserve">pivot, mean Area 28</t>
  </si>
  <si>
    <t xml:space="preserve">The pivot cancels in the calibration and does not affect the result.</t>
  </si>
  <si>
    <t xml:space="preserve">fitted slope (permil per area unit)</t>
  </si>
  <si>
    <t xml:space="preserve">r-squared</t>
  </si>
  <si>
    <t xml:space="preserve">residual SD (permil)</t>
  </si>
  <si>
    <t xml:space="preserve">slope applied</t>
  </si>
  <si>
    <t xml:space="preserve">Zero when the correction is off, not supported by the data on Auto, or fewer than three standards were found. Row 92 onwards has the test.</t>
  </si>
  <si>
    <t xml:space="preserve">Linearity, carbon: d13C against Area 44</t>
  </si>
  <si>
    <t xml:space="preserve">pivot, mean Area 44</t>
  </si>
  <si>
    <t xml:space="preserve">fitted slope</t>
  </si>
  <si>
    <t xml:space="preserve">Drift, nitrogen: linearity-corrected d15N of the drift standards</t>
  </si>
  <si>
    <t xml:space="preserve">n drift standards</t>
  </si>
  <si>
    <t xml:space="preserve">slope against row</t>
  </si>
  <si>
    <t xml:space="preserve">r-squared against row</t>
  </si>
  <si>
    <t xml:space="preserve">residual SD against row</t>
  </si>
  <si>
    <t xml:space="preserve">slope against background</t>
  </si>
  <si>
    <t xml:space="preserve">r-squared against background</t>
  </si>
  <si>
    <t xml:space="preserve">residual SD against background</t>
  </si>
  <si>
    <t xml:space="preserve">model used</t>
  </si>
  <si>
    <t xml:space="preserve">On Auto, whichever model left the smaller residual SD. That is not an independent test, because both models were fitted to these same standards. Judge by the check standards on QC.</t>
  </si>
  <si>
    <t xml:space="preserve">pivot applied</t>
  </si>
  <si>
    <t xml:space="preserve">Mean of the x values used in the fit.</t>
  </si>
  <si>
    <t xml:space="preserve">Drift, carbon: linearity-corrected d13C of the drift standards</t>
  </si>
  <si>
    <t xml:space="preserve">The mass-28 background stands in for a mass-44 background the export does not carry.</t>
  </si>
  <si>
    <t xml:space="preserve">Calibration, nitrogen: accepted regressed on measured</t>
  </si>
  <si>
    <t xml:space="preserve">n anchor measurements</t>
  </si>
  <si>
    <t xml:space="preserve">slope</t>
  </si>
  <si>
    <t xml:space="preserve">intercept</t>
  </si>
  <si>
    <t xml:space="preserve">Applied as accepted = slope x measured + intercept. Never inverted.</t>
  </si>
  <si>
    <t xml:space="preserve">Calibration, carbon: accepted regressed on measured</t>
  </si>
  <si>
    <t xml:space="preserve">Elemental k-factor, nitrogen: Area 28 against micrograms N</t>
  </si>
  <si>
    <t xml:space="preserve">n standards used</t>
  </si>
  <si>
    <t xml:space="preserve">slope, area per ug N</t>
  </si>
  <si>
    <t xml:space="preserve">intercept, area blank</t>
  </si>
  <si>
    <t xml:space="preserve">Subtracted from every peak, so the k-factor is not forced through the origin.</t>
  </si>
  <si>
    <t xml:space="preserve">Elemental k-factor, carbon: Area 44 against micrograms C</t>
  </si>
  <si>
    <t xml:space="preserve">slope, area per ug C</t>
  </si>
  <si>
    <t xml:space="preserve">Size limits used by the flags</t>
  </si>
  <si>
    <t xml:space="preserve">minimum trusted Area 28</t>
  </si>
  <si>
    <t xml:space="preserve">Defaults to the smallest linearity standard in the run.</t>
  </si>
  <si>
    <t xml:space="preserve">minimum trusted Area 44</t>
  </si>
  <si>
    <t xml:space="preserve">background floor</t>
  </si>
  <si>
    <t xml:space="preserve">Mean of the five lowest reference-peak backgrounds in the run.</t>
  </si>
  <si>
    <t xml:space="preserve">Instrument settling, from the mass-28 background on the reference peaks</t>
  </si>
  <si>
    <t xml:space="preserve">starting excess above the floor</t>
  </si>
  <si>
    <t xml:space="preserve">Highest of the first five reference-peak backgrounds, less the floor. Under 1 mV the run counts as settled from the start.</t>
  </si>
  <si>
    <t xml:space="preserve">settled from position</t>
  </si>
  <si>
    <t xml:space="preserve">First of three readings in a row at or under Setup B26, skipping readings within two positions of an oversized sample. A later spike does not move it. One past the last position means the background never settled.</t>
  </si>
  <si>
    <t xml:space="preserve">drift slope before that position</t>
  </si>
  <si>
    <t xml:space="preserve">n before</t>
  </si>
  <si>
    <t xml:space="preserve">drift slope from that position</t>
  </si>
  <si>
    <t xml:space="preserve">n from</t>
  </si>
  <si>
    <t xml:space="preserve">A run that settled shows a steep slope before and a flat one after.</t>
  </si>
  <si>
    <t xml:space="preserve">Linearity, nitrogen: is the slope real?</t>
  </si>
  <si>
    <t xml:space="preserve">SE of slope</t>
  </si>
  <si>
    <t xml:space="preserve">t</t>
  </si>
  <si>
    <t xml:space="preserve">p, two-sided</t>
  </si>
  <si>
    <t xml:space="preserve">Probability of a slope this large from a flat response. Auto applies the slope only below the significance level in Setup.</t>
  </si>
  <si>
    <t xml:space="preserve">in force</t>
  </si>
  <si>
    <t xml:space="preserve">maximum trusted Area 28</t>
  </si>
  <si>
    <t xml:space="preserve">Defaults to the largest linearity standard in the run.</t>
  </si>
  <si>
    <t xml:space="preserve">chart rug level</t>
  </si>
  <si>
    <t xml:space="preserve">Where the QC linearity chart draws the unknowns' sizes, just under the standards.</t>
  </si>
  <si>
    <t xml:space="preserve">Linearity, carbon: is the slope real?</t>
  </si>
  <si>
    <t xml:space="preserve">maximum trusted Area 44</t>
  </si>
  <si>
    <t xml:space="preserve">Drift, nitrogen: is the slope real?</t>
  </si>
  <si>
    <t xml:space="preserve">n monitors used</t>
  </si>
  <si>
    <t xml:space="preserve">Drift standards from the first position in Setup B14, minus any listed in Setup B16.</t>
  </si>
  <si>
    <t xml:space="preserve">mean x used</t>
  </si>
  <si>
    <t xml:space="preserve">Sxx</t>
  </si>
  <si>
    <t xml:space="preserve">intercept, model in use</t>
  </si>
  <si>
    <t xml:space="preserve">residual SD, model in use</t>
  </si>
  <si>
    <t xml:space="preserve">residual sum of squares</t>
  </si>
  <si>
    <t xml:space="preserve">monitors flagged as outliers</t>
  </si>
  <si>
    <t xml:space="preserve">Each monitor against the line through the others, in units of their scatter (Work column CB).</t>
  </si>
  <si>
    <t xml:space="preserve">Drift, carbon: is the slope real?</t>
  </si>
  <si>
    <t xml:space="preserve">Calibration, nitrogen: statistics behind the uncertainty</t>
  </si>
  <si>
    <t xml:space="preserve">mean measured, all anchors</t>
  </si>
  <si>
    <t xml:space="preserve">pooled SD of anchor replicates</t>
  </si>
  <si>
    <t xml:space="preserve">Within-material scatter of the anchors, pooled. Stands in for the repeatability of a single sample analysis when Setup gives none.</t>
  </si>
  <si>
    <t xml:space="preserve">sample repeatability in use</t>
  </si>
  <si>
    <t xml:space="preserve">its source</t>
  </si>
  <si>
    <t xml:space="preserve">accepted d15N, lowest anchor</t>
  </si>
  <si>
    <t xml:space="preserve">accepted d15N, highest anchor</t>
  </si>
  <si>
    <t xml:space="preserve">A sample outside this range is extrapolated beyond the anchors and is flagged.</t>
  </si>
  <si>
    <t xml:space="preserve">Calibration, carbon: statistics behind the uncertainty</t>
  </si>
  <si>
    <t xml:space="preserve">accepted d13C, lowest anchor</t>
  </si>
  <si>
    <t xml:space="preserve">accepted d13C, highest anchor</t>
  </si>
  <si>
    <t xml:space="preserve">Uncertainty table, nitrogen (rows 163 to 175)</t>
  </si>
  <si>
    <t xml:space="preserve">n</t>
  </si>
  <si>
    <t xml:space="preserve">sum x</t>
  </si>
  <si>
    <t xml:space="preserve">sum x^2</t>
  </si>
  <si>
    <t xml:space="preserve">mean measured</t>
  </si>
  <si>
    <t xml:space="preserve">SD</t>
  </si>
  <si>
    <t xml:space="preserve">u(mean)</t>
  </si>
  <si>
    <t xml:space="preserve">S1</t>
  </si>
  <si>
    <t xml:space="preserve">S2</t>
  </si>
  <si>
    <t xml:space="preserve">u(accepted)</t>
  </si>
  <si>
    <t xml:space="preserve">One row per line of the standards table. n, mean and SD are of the anchor replicates after drift correction; S1 and S2 are the sums the uncertainty weights need; u(accepted) is the 1-sigma certificate value from Setup.</t>
  </si>
  <si>
    <t xml:space="preserve">Uncertainty table, carbon (rows 183 to 195)</t>
  </si>
  <si>
    <t xml:space="preserve">Reference pulses: did the working-gas measurement hold across the run?</t>
  </si>
  <si>
    <t xml:space="preserve">The designated reference pulse carries the assigned value by definition, so only the other pulses can show movement. Their d values are relative to the designated pulse of the same acquisition.</t>
  </si>
  <si>
    <t xml:space="preserve">N2 pulses read</t>
  </si>
  <si>
    <t xml:space="preserve">mean d, relative to the designated pulse</t>
  </si>
  <si>
    <t xml:space="preserve">SD (permil)</t>
  </si>
  <si>
    <t xml:space="preserve">range (permil)</t>
  </si>
  <si>
    <t xml:space="preserve">trend, permil per position</t>
  </si>
  <si>
    <t xml:space="preserve">p of the trend, two-sided</t>
  </si>
  <si>
    <t xml:space="preserve">CO2 pulses read</t>
  </si>
  <si>
    <t xml:space="preserve">Check standards</t>
  </si>
  <si>
    <t xml:space="preserve">check standards with a calibrated value</t>
  </si>
  <si>
    <t xml:space="preserve">Materials with the Check role that were measured in this run. Zero means nothing independent of the anchors tests the calibration.</t>
  </si>
  <si>
    <t xml:space="preserve">Sample-peak background on the drift monitors</t>
  </si>
  <si>
    <t xml:space="preserve">The mass-28 background under each monitor's own peak, from column BGD 28. Present in every export; the reference-peak background above needs the reference peaks. A monitor run right after a large sample can read high from what that sample left behind.</t>
  </si>
  <si>
    <t xml:space="preserve">monitors with a background</t>
  </si>
  <si>
    <t xml:space="preserve">lowest</t>
  </si>
  <si>
    <t xml:space="preserve">highest</t>
  </si>
  <si>
    <t xml:space="preserve">trend, per position</t>
  </si>
  <si>
    <t xml:space="preserve">Carryover after oversized samples</t>
  </si>
  <si>
    <t xml:space="preserve">rise that flags a position (mV)</t>
  </si>
  <si>
    <t xml:space="preserve">Setup B28. A position is exposed when one of the two before it is above the linearity range (B97, B104); its rise is its sample-peak background less the last one that was not exposed.</t>
  </si>
  <si>
    <t xml:space="preserve">positions above the linearity range</t>
  </si>
  <si>
    <t xml:space="preserve">of those, followed directly by a sample or check</t>
  </si>
  <si>
    <t xml:space="preserve">positions flagged for possible carryover</t>
  </si>
  <si>
    <t xml:space="preserve">largest rise (mV)</t>
  </si>
  <si>
    <t xml:space="preserve">Results</t>
  </si>
  <si>
    <t xml:space="preserve">Read QC before using these. Isotope values are on the scale set by the anchor standards in Setup; %C, %N and C:N need a mass in Work column F or G. u is the standard uncertainty from the scale calibration and the sample repeatability (Fits rows 132 onwards), and U is k times u with k from Setup B32; neither includes the blank, linearity or drift corrections or day-to-day reproducibility.</t>
  </si>
  <si>
    <t xml:space="preserve">Mass (mg)</t>
  </si>
  <si>
    <t xml:space="preserve">d13C (permil)</t>
  </si>
  <si>
    <t xml:space="preserve">d15N (permil)</t>
  </si>
  <si>
    <t xml:space="preserve">Flags</t>
  </si>
  <si>
    <t xml:space="preserve">QC</t>
  </si>
  <si>
    <t xml:space="preserve">Read this before taking any number off the Results sheet.</t>
  </si>
  <si>
    <t xml:space="preserve">Charts sit beside the section they belong to. A trendline is Excel's own linear fit through the plotted points; for the drift monitors in the fit it is the row-model slope Fits reports.</t>
  </si>
  <si>
    <t xml:space="preserve">Run</t>
  </si>
  <si>
    <t xml:space="preserve">Autosampler positions detected</t>
  </si>
  <si>
    <t xml:space="preserve">IRMS peak records read from Raw</t>
  </si>
  <si>
    <t xml:space="preserve">Unknowns (role Sample)</t>
  </si>
  <si>
    <t xml:space="preserve">Positions with no nitrogen peak</t>
  </si>
  <si>
    <t xml:space="preserve">Working gas, from the reference pulses Isodat did not designate</t>
  </si>
  <si>
    <t xml:space="preserve">The designated pulse carries the assigned value by definition, so it can never move. An export cut down to the sample peaks carries no pulses at all, and this section then says so rather than reporting a number.</t>
  </si>
  <si>
    <t xml:space="preserve">N2 pulse SD (permil)</t>
  </si>
  <si>
    <t xml:space="preserve">N2 pulse trend, permil per position</t>
  </si>
  <si>
    <t xml:space="preserve">N2 pulse range (permil)</t>
  </si>
  <si>
    <t xml:space="preserve">CO2 pulse SD (permil)</t>
  </si>
  <si>
    <t xml:space="preserve">CO2 pulse trend, permil per position</t>
  </si>
  <si>
    <t xml:space="preserve">CO2 pulse range (permil)</t>
  </si>
  <si>
    <t xml:space="preserve">Calibration</t>
  </si>
  <si>
    <t xml:space="preserve">Nitrogen anchors used</t>
  </si>
  <si>
    <t xml:space="preserve">Nitrogen calibration slope</t>
  </si>
  <si>
    <t xml:space="preserve">Carbon anchors used</t>
  </si>
  <si>
    <t xml:space="preserve">Carbon calibration slope</t>
  </si>
  <si>
    <t xml:space="preserve">Check standards measured in this run</t>
  </si>
  <si>
    <t xml:space="preserve">Samples outside the anchor d15N range</t>
  </si>
  <si>
    <t xml:space="preserve">Samples outside the anchor d13C range</t>
  </si>
  <si>
    <t xml:space="preserve">Is each correction supported by this run?</t>
  </si>
  <si>
    <t xml:space="preserve">A slope is applied on Auto only when p is below the significance level in Setup B15. The FIRMS guide (section 6.4) asks that a correction be shown necessary before it is applied, because over-correction adds as much error as it removes.</t>
  </si>
  <si>
    <t xml:space="preserve">Nitrogen linearity slope, permil per area unit</t>
  </si>
  <si>
    <t xml:space="preserve">Carbon linearity slope</t>
  </si>
  <si>
    <t xml:space="preserve">Nitrogen drift slope, per position or per background unit</t>
  </si>
  <si>
    <t xml:space="preserve">Carbon drift slope</t>
  </si>
  <si>
    <t xml:space="preserve">With five or six standards the test has little power: a slope that fails it is unproven, not disproven. Set the switch to On to apply it regardless.</t>
  </si>
  <si>
    <t xml:space="preserve">Nitrogen drift monitors flagged as outliers</t>
  </si>
  <si>
    <t xml:space="preserve">Carbon drift monitors flagged as outliers</t>
  </si>
  <si>
    <t xml:space="preserve">Nitrogen model in use</t>
  </si>
  <si>
    <t xml:space="preserve">Residual SD, row model (permil)</t>
  </si>
  <si>
    <t xml:space="preserve">Residual SD, background model (permil)</t>
  </si>
  <si>
    <t xml:space="preserve">Carbon model in use</t>
  </si>
  <si>
    <t xml:space="preserve">Residual SD is the scatter left in the drift standards themselves, so it cannot decide between the two models. The check standard offsets below can.</t>
  </si>
  <si>
    <t xml:space="preserve">Blank correction in force, nitrogen</t>
  </si>
  <si>
    <t xml:space="preserve">Blank capsules with a nitrogen peak</t>
  </si>
  <si>
    <t xml:space="preserve">Blank correction in force, carbon</t>
  </si>
  <si>
    <t xml:space="preserve">Blank capsules with a carbon peak</t>
  </si>
  <si>
    <t xml:space="preserve">A blank that gives no peak at all has not been measured, only bounded by the detection limit. The guide asks that its size and d value be determined, which the two-standard decreasing-size series does.</t>
  </si>
  <si>
    <t xml:space="preserve">Check standards and drift monitors</t>
  </si>
  <si>
    <t xml:space="preserve">mean d15N</t>
  </si>
  <si>
    <t xml:space="preserve">accepted</t>
  </si>
  <si>
    <t xml:space="preserve">offset</t>
  </si>
  <si>
    <t xml:space="preserve">mean d13C</t>
  </si>
  <si>
    <t xml:space="preserve">An anchor is forced onto its accepted value by construction, so only the check rows are an independent test. Offsets are in per mil.</t>
  </si>
  <si>
    <t xml:space="preserve">Sample repeatability in use, d15N (permil)</t>
  </si>
  <si>
    <t xml:space="preserve">Sample repeatability in use, d13C (permil)</t>
  </si>
  <si>
    <t xml:space="preserve">Typical u(d15N) of the unknowns (permil)</t>
  </si>
  <si>
    <t xml:space="preserve">Typical u(d13C) of the unknowns (permil)</t>
  </si>
  <si>
    <t xml:space="preserve">u combines the certificate uncertainty of each anchor, the scatter of its replicates, and the sample repeatability, through the fitted line, as a Kragten spreadsheet would. It leaves out the blank, linearity and drift corrections and the day-to-day reproducibility a control chart would give, so it is a floor, not the whole budget.</t>
  </si>
  <si>
    <t xml:space="preserve">SD of the drift standards, d15N (permil)</t>
  </si>
  <si>
    <t xml:space="preserve">SD of the drift standards, d13C (permil)</t>
  </si>
  <si>
    <t xml:space="preserve">These understate the real precision, because the drift standards are the material the drift correction was fitted to. The check standard offsets above are the honest test.</t>
  </si>
  <si>
    <t xml:space="preserve">Rows carrying a flag on Results</t>
  </si>
  <si>
    <t xml:space="preserve">Minimum trusted Area 28</t>
  </si>
  <si>
    <t xml:space="preserve">Maximum trusted Area 28</t>
  </si>
  <si>
    <t xml:space="preserve">Minimum trusted Area 44</t>
  </si>
  <si>
    <t xml:space="preserve">Maximum trusted Area 44</t>
  </si>
  <si>
    <t xml:space="preserve">Samples outside the linearity range</t>
  </si>
  <si>
    <t xml:space="preserve">Instrument settling</t>
  </si>
  <si>
    <t xml:space="preserve">A run that began before the mass-28 background reached its floor carries a settling transient, not a steady drift, and a straight line in position is the wrong shape for it.</t>
  </si>
  <si>
    <t xml:space="preserve">Reference-peak background floor</t>
  </si>
  <si>
    <t xml:space="preserve">Starting excess above the floor</t>
  </si>
  <si>
    <t xml:space="preserve">Background settled from position</t>
  </si>
  <si>
    <t xml:space="preserve">First position used in the drift fit</t>
  </si>
  <si>
    <t xml:space="preserve">Linearity standards before that position</t>
  </si>
  <si>
    <t xml:space="preserve">Calibration anchors before that position</t>
  </si>
  <si>
    <t xml:space="preserve">Drift slope before the settled position</t>
  </si>
  <si>
    <t xml:space="preserve">Drift slope from the settled position</t>
  </si>
  <si>
    <t xml:space="preserve">Sample-peak background on the drift monitors, lowest to highest</t>
  </si>
  <si>
    <t xml:space="preserve">Its trend, per position</t>
  </si>
  <si>
    <t xml:space="preserve">The drift monitors are all one size, so their background follows the instrument.</t>
  </si>
  <si>
    <t xml:space="preserve">A high background right after a large sample points to carryover from that sample, not to instrument drift.</t>
  </si>
  <si>
    <t xml:space="preserve">Does each correction reduce the scatter of the drift standards?</t>
  </si>
  <si>
    <t xml:space="preserve">after blank</t>
  </si>
  <si>
    <t xml:space="preserve">after linearity</t>
  </si>
  <si>
    <t xml:space="preserve">after drift</t>
  </si>
  <si>
    <t xml:space="preserve">after calibration</t>
  </si>
  <si>
    <t xml:space="preserve">SD in per mil.</t>
  </si>
  <si>
    <t xml:space="preserve">This table can judge the blank and drift corrections but not the linearity one, because the drift standards are all about the same size and a size-dependent correction moves them together. Judge linearity by the check standards and by the spread of the linearity series itself.</t>
  </si>
  <si>
    <t xml:space="preserve">A sample above the linearity range can leave something in the EA that raises the background of the next one or two analyses.</t>
  </si>
  <si>
    <t xml:space="preserve">Positions above the linearity range</t>
  </si>
  <si>
    <t xml:space="preserve">Of those, followed directly by a sample or check</t>
  </si>
  <si>
    <t xml:space="preserve">Positions flagged for possible carryover</t>
  </si>
  <si>
    <t xml:space="preserve">Flagged position</t>
  </si>
  <si>
    <t xml:space="preserve">Position</t>
  </si>
  <si>
    <t xml:space="preserve">Rise (mV)</t>
  </si>
  <si>
    <t xml:space="preserve">Share of peak height</t>
  </si>
  <si>
    <t xml:space="preserve">The rise is measured against the last background before the oversized samples, so a slow change across the run does not count. The same rise weighs more under a small peak.</t>
  </si>
</sst>
</file>

<file path=xl/styles.xml><?xml version="1.0" encoding="utf-8"?>
<styleSheet xmlns="http://schemas.openxmlformats.org/spreadsheetml/2006/main">
  <numFmts count="9">
    <numFmt numFmtId="164" formatCode="General"/>
    <numFmt numFmtId="165" formatCode="0.00"/>
    <numFmt numFmtId="166" formatCode="@"/>
    <numFmt numFmtId="167" formatCode="0.0"/>
    <numFmt numFmtId="168" formatCode="0.000"/>
    <numFmt numFmtId="169" formatCode="0"/>
    <numFmt numFmtId="170" formatCode="0.0000"/>
    <numFmt numFmtId="171" formatCode="0.00000"/>
    <numFmt numFmtId="172" formatCode="0.00%"/>
  </numFmts>
  <fonts count="15">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sz val="9"/>
      <name val="Arial"/>
      <family val="0"/>
      <charset val="1"/>
    </font>
    <font>
      <i val="true"/>
      <sz val="9"/>
      <color rgb="FF595959"/>
      <name val="Arial"/>
      <family val="0"/>
      <charset val="1"/>
    </font>
    <font>
      <b val="true"/>
      <sz val="9"/>
      <color rgb="FFFFFFFF"/>
      <name val="Arial"/>
      <family val="0"/>
      <charset val="1"/>
    </font>
    <font>
      <b val="true"/>
      <sz val="9"/>
      <name val="Arial"/>
      <family val="0"/>
      <charset val="1"/>
    </font>
    <font>
      <sz val="9"/>
      <color rgb="FF0000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1F4E79"/>
        <bgColor rgb="FF003366"/>
      </patternFill>
    </fill>
    <fill>
      <patternFill patternType="solid">
        <fgColor rgb="FFF2F2F2"/>
        <bgColor rgb="FFE2EFDA"/>
      </patternFill>
    </fill>
    <fill>
      <patternFill patternType="solid">
        <fgColor rgb="FFFFF2CC"/>
        <bgColor rgb="FFF2F2F2"/>
      </patternFill>
    </fill>
    <fill>
      <patternFill patternType="solid">
        <fgColor rgb="FFDDEBF7"/>
        <bgColor rgb="FFE2EFDA"/>
      </patternFill>
    </fill>
    <fill>
      <patternFill patternType="solid">
        <fgColor rgb="FFE2EFDA"/>
        <bgColor rgb="FFDD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true" indent="0" shrinkToFit="false"/>
      <protection locked="true" hidden="false"/>
    </xf>
    <xf numFmtId="164" fontId="10" fillId="3"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7" fontId="7" fillId="3" borderId="0" xfId="0" applyFont="true" applyBorder="false" applyAlignment="false" applyProtection="false">
      <alignment horizontal="general" vertical="bottom" textRotation="0" wrapText="false" indent="0" shrinkToFit="false"/>
      <protection locked="true" hidden="false"/>
    </xf>
    <xf numFmtId="165" fontId="7" fillId="6" borderId="0" xfId="0" applyFont="true" applyBorder="false" applyAlignment="false" applyProtection="false">
      <alignment horizontal="general" vertical="bottom" textRotation="0" wrapText="false" indent="0" shrinkToFit="false"/>
      <protection locked="true" hidden="false"/>
    </xf>
    <xf numFmtId="168" fontId="7" fillId="3" borderId="0" xfId="0" applyFont="true" applyBorder="false" applyAlignment="false" applyProtection="false">
      <alignment horizontal="general" vertical="bottom" textRotation="0" wrapText="false" indent="0" shrinkToFit="false"/>
      <protection locked="true" hidden="false"/>
    </xf>
    <xf numFmtId="165" fontId="7" fillId="3" borderId="0" xfId="0" applyFont="true" applyBorder="false" applyAlignment="false" applyProtection="false">
      <alignment horizontal="general" vertical="bottom" textRotation="0" wrapText="false" indent="0" shrinkToFit="false"/>
      <protection locked="true" hidden="false"/>
    </xf>
    <xf numFmtId="168" fontId="7" fillId="6"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8860B"/>
      <rgbColor rgb="FF800080"/>
      <rgbColor rgb="FF1B7F5A"/>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3366FF"/>
      <rgbColor rgb="FF33CCCC"/>
      <rgbColor rgb="FF99CC00"/>
      <rgbColor rgb="FFFFCC00"/>
      <rgbColor rgb="FFFF9900"/>
      <rgbColor rgb="FFC55A11"/>
      <rgbColor rgb="FF595959"/>
      <rgbColor rgb="FF878787"/>
      <rgbColor rgb="FF003366"/>
      <rgbColor rgb="FF339966"/>
      <rgbColor rgb="FF003300"/>
      <rgbColor rgb="FF333300"/>
      <rgbColor rgb="FFB2182B"/>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N2 reference pulses Isodat did not designate</a:t>
            </a:r>
          </a:p>
        </c:rich>
      </c:tx>
      <c:overlay val="0"/>
      <c:spPr>
        <a:noFill/>
        <a:ln w="0">
          <a:noFill/>
        </a:ln>
      </c:spPr>
    </c:title>
    <c:autoTitleDeleted val="0"/>
    <c:plotArea>
      <c:scatterChart>
        <c:scatterStyle val="lineMarker"/>
        <c:varyColors val="0"/>
        <c:ser>
          <c:idx val="0"/>
          <c:order val="0"/>
          <c:tx>
            <c:strRef>
              <c:f>"pulses"</c:f>
              <c:strCache>
                <c:ptCount val="1"/>
                <c:pt idx="0">
                  <c:v>pulses</c:v>
                </c:pt>
              </c:strCache>
            </c:strRef>
          </c:tx>
          <c:spPr>
            <a:solidFill>
              <a:srgbClr val="7f7f7f"/>
            </a:solidFill>
            <a:ln w="28440">
              <a:noFill/>
            </a:ln>
          </c:spPr>
          <c:marker>
            <c:symbol val="circle"/>
            <c:size val="5"/>
            <c:spPr>
              <a:solidFill>
                <a:srgbClr val="7f7f7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Work!$DV$6:$DV$125</c:f>
              <c:numCache>
                <c:formatCode>0.000</c:formatCode>
                <c:ptCount val="120"/>
                <c:pt idx="0">
                  <c:v>-1.217</c:v>
                </c:pt>
                <c:pt idx="1">
                  <c:v>-1.139</c:v>
                </c:pt>
                <c:pt idx="2">
                  <c:v>-1.2</c:v>
                </c:pt>
                <c:pt idx="3">
                  <c:v>-1.133</c:v>
                </c:pt>
                <c:pt idx="4">
                  <c:v>-1.071</c:v>
                </c:pt>
                <c:pt idx="5">
                  <c:v>-1.207</c:v>
                </c:pt>
                <c:pt idx="6">
                  <c:v>-1.142</c:v>
                </c:pt>
                <c:pt idx="7">
                  <c:v>-1.237</c:v>
                </c:pt>
                <c:pt idx="8">
                  <c:v>-1.323</c:v>
                </c:pt>
                <c:pt idx="9">
                  <c:v>-1.284</c:v>
                </c:pt>
                <c:pt idx="10">
                  <c:v>-1.203</c:v>
                </c:pt>
                <c:pt idx="11">
                  <c:v>-1.129</c:v>
                </c:pt>
                <c:pt idx="12">
                  <c:v>-1.266</c:v>
                </c:pt>
                <c:pt idx="13">
                  <c:v>-1.237</c:v>
                </c:pt>
                <c:pt idx="14">
                  <c:v>-1.275</c:v>
                </c:pt>
                <c:pt idx="15">
                  <c:v>-1.125</c:v>
                </c:pt>
                <c:pt idx="16">
                  <c:v>-1.176</c:v>
                </c:pt>
                <c:pt idx="17">
                  <c:v>-1.264</c:v>
                </c:pt>
                <c:pt idx="18">
                  <c:v>-1.131</c:v>
                </c:pt>
                <c:pt idx="19">
                  <c:v>-1.305</c:v>
                </c:pt>
                <c:pt idx="20">
                  <c:v>-1.121</c:v>
                </c:pt>
                <c:pt idx="21">
                  <c:v>-1.244</c:v>
                </c:pt>
                <c:pt idx="22">
                  <c:v>-1.259</c:v>
                </c:pt>
                <c:pt idx="23">
                  <c:v>-1.356</c:v>
                </c:pt>
                <c:pt idx="24">
                  <c:v>-1.184</c:v>
                </c:pt>
                <c:pt idx="25">
                  <c:v>-1.344</c:v>
                </c:pt>
                <c:pt idx="26">
                  <c:v>-1.175</c:v>
                </c:pt>
                <c:pt idx="27">
                  <c:v>-1.275</c:v>
                </c:pt>
                <c:pt idx="28">
                  <c:v>-1.3</c:v>
                </c:pt>
                <c:pt idx="29">
                  <c:v>-1.167</c:v>
                </c:pt>
                <c:pt idx="30">
                  <c:v>-1.151</c:v>
                </c:pt>
                <c:pt idx="31">
                  <c:v>-1.253</c:v>
                </c:pt>
                <c:pt idx="32">
                  <c:v>-1.263</c:v>
                </c:pt>
                <c:pt idx="33">
                  <c:v>-1.205</c:v>
                </c:pt>
                <c:pt idx="34">
                  <c:v>-1.269</c:v>
                </c:pt>
                <c:pt idx="35">
                  <c:v>-1.155</c:v>
                </c:pt>
                <c:pt idx="36">
                  <c:v>-1.171</c:v>
                </c:pt>
                <c:pt idx="37">
                  <c:v>-1.186</c:v>
                </c:pt>
                <c:pt idx="38">
                  <c:v>-1.196</c:v>
                </c:pt>
                <c:pt idx="39">
                  <c:v>-1.158</c:v>
                </c:pt>
                <c:pt idx="40">
                  <c:v>-1.195</c:v>
                </c:pt>
                <c:pt idx="41">
                  <c:v>-1.09</c:v>
                </c:pt>
                <c:pt idx="42">
                  <c:v>-1.277</c:v>
                </c:pt>
                <c:pt idx="43">
                  <c:v>-1.265</c:v>
                </c:pt>
                <c:pt idx="44">
                  <c:v>-1.315</c:v>
                </c:pt>
                <c:pt idx="45">
                  <c:v>-1.263</c:v>
                </c:pt>
                <c:pt idx="46">
                  <c:v>-1.175</c:v>
                </c:pt>
                <c:pt idx="47">
                  <c:v>-1.244</c:v>
                </c:pt>
                <c:pt idx="48">
                  <c:v>-1.223</c:v>
                </c:pt>
                <c:pt idx="49">
                  <c:v>-1.258</c:v>
                </c:pt>
                <c:pt idx="50">
                  <c:v>-1.183</c:v>
                </c:pt>
                <c:pt idx="51">
                  <c:v>-1.193</c:v>
                </c:pt>
                <c:pt idx="52">
                  <c:v>-1.245</c:v>
                </c:pt>
                <c:pt idx="53">
                  <c:v>-1.255</c:v>
                </c:pt>
                <c:pt idx="54">
                  <c:v>-1.346</c:v>
                </c:pt>
                <c:pt idx="55">
                  <c:v>-1.246</c:v>
                </c:pt>
              </c:numCache>
            </c:numRef>
          </c:yVal>
          <c:smooth val="1"/>
        </c:ser>
        <c:axId val="85831579"/>
        <c:axId val="66879156"/>
      </c:scatterChart>
      <c:valAx>
        <c:axId val="85831579"/>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879156"/>
        <c:crosses val="autoZero"/>
        <c:crossBetween val="midCat"/>
      </c:valAx>
      <c:valAx>
        <c:axId val="6687915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d15N of the pulse (permil)</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831579"/>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CO2 reference pulses Isodat did not designate</a:t>
            </a:r>
          </a:p>
        </c:rich>
      </c:tx>
      <c:overlay val="0"/>
      <c:spPr>
        <a:noFill/>
        <a:ln w="0">
          <a:noFill/>
        </a:ln>
      </c:spPr>
    </c:title>
    <c:autoTitleDeleted val="0"/>
    <c:plotArea>
      <c:scatterChart>
        <c:scatterStyle val="lineMarker"/>
        <c:varyColors val="0"/>
        <c:ser>
          <c:idx val="0"/>
          <c:order val="0"/>
          <c:tx>
            <c:strRef>
              <c:f>"pulses"</c:f>
              <c:strCache>
                <c:ptCount val="1"/>
                <c:pt idx="0">
                  <c:v>pulses</c:v>
                </c:pt>
              </c:strCache>
            </c:strRef>
          </c:tx>
          <c:spPr>
            <a:solidFill>
              <a:srgbClr val="7f7f7f"/>
            </a:solidFill>
            <a:ln w="28440">
              <a:noFill/>
            </a:ln>
          </c:spPr>
          <c:marker>
            <c:symbol val="circle"/>
            <c:size val="5"/>
            <c:spPr>
              <a:solidFill>
                <a:srgbClr val="7f7f7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Work!$EG$6:$EG$125</c:f>
              <c:numCache>
                <c:formatCode>0.000</c:formatCode>
                <c:ptCount val="120"/>
                <c:pt idx="0">
                  <c:v>-25.736</c:v>
                </c:pt>
                <c:pt idx="1">
                  <c:v>-25.353</c:v>
                </c:pt>
                <c:pt idx="2">
                  <c:v>-25.401</c:v>
                </c:pt>
                <c:pt idx="3">
                  <c:v>-25.478</c:v>
                </c:pt>
                <c:pt idx="4">
                  <c:v>-25.535</c:v>
                </c:pt>
                <c:pt idx="5">
                  <c:v>-25.438</c:v>
                </c:pt>
                <c:pt idx="6">
                  <c:v>-25.457</c:v>
                </c:pt>
                <c:pt idx="7">
                  <c:v>-25.396</c:v>
                </c:pt>
                <c:pt idx="8">
                  <c:v>-25.316</c:v>
                </c:pt>
                <c:pt idx="9">
                  <c:v>-25.36</c:v>
                </c:pt>
                <c:pt idx="10">
                  <c:v>-25.384</c:v>
                </c:pt>
                <c:pt idx="11">
                  <c:v>-25.396</c:v>
                </c:pt>
                <c:pt idx="12">
                  <c:v>-25.393</c:v>
                </c:pt>
                <c:pt idx="13">
                  <c:v>-25.377</c:v>
                </c:pt>
                <c:pt idx="14">
                  <c:v>-25.384</c:v>
                </c:pt>
                <c:pt idx="15">
                  <c:v>-25.368</c:v>
                </c:pt>
                <c:pt idx="16">
                  <c:v>-25.359</c:v>
                </c:pt>
                <c:pt idx="17">
                  <c:v>-25.338</c:v>
                </c:pt>
                <c:pt idx="18">
                  <c:v>-25.352</c:v>
                </c:pt>
                <c:pt idx="19">
                  <c:v>-25.373</c:v>
                </c:pt>
                <c:pt idx="20">
                  <c:v>-25.441</c:v>
                </c:pt>
                <c:pt idx="21">
                  <c:v>-25.363</c:v>
                </c:pt>
                <c:pt idx="22">
                  <c:v>-25.458</c:v>
                </c:pt>
                <c:pt idx="23">
                  <c:v>-25.366</c:v>
                </c:pt>
                <c:pt idx="24">
                  <c:v>-25.384</c:v>
                </c:pt>
                <c:pt idx="25">
                  <c:v>-25.317</c:v>
                </c:pt>
                <c:pt idx="26">
                  <c:v>-25.375</c:v>
                </c:pt>
                <c:pt idx="27">
                  <c:v>-25.399</c:v>
                </c:pt>
                <c:pt idx="28">
                  <c:v>-25.35</c:v>
                </c:pt>
                <c:pt idx="29">
                  <c:v>-25.352</c:v>
                </c:pt>
                <c:pt idx="30">
                  <c:v>-25.396</c:v>
                </c:pt>
                <c:pt idx="31">
                  <c:v>-25.392</c:v>
                </c:pt>
                <c:pt idx="32">
                  <c:v>-25.314</c:v>
                </c:pt>
                <c:pt idx="33">
                  <c:v>-25.34</c:v>
                </c:pt>
                <c:pt idx="34">
                  <c:v>-25.345</c:v>
                </c:pt>
                <c:pt idx="35">
                  <c:v>-25.39</c:v>
                </c:pt>
                <c:pt idx="36">
                  <c:v>-25.339</c:v>
                </c:pt>
                <c:pt idx="37">
                  <c:v>-25.377</c:v>
                </c:pt>
                <c:pt idx="38">
                  <c:v>-25.386</c:v>
                </c:pt>
                <c:pt idx="39">
                  <c:v>-25.44</c:v>
                </c:pt>
                <c:pt idx="40">
                  <c:v>-25.415</c:v>
                </c:pt>
                <c:pt idx="41">
                  <c:v>-25.347</c:v>
                </c:pt>
                <c:pt idx="42">
                  <c:v>-25.447</c:v>
                </c:pt>
                <c:pt idx="43">
                  <c:v>-25.415</c:v>
                </c:pt>
                <c:pt idx="44">
                  <c:v>-25.444</c:v>
                </c:pt>
                <c:pt idx="45">
                  <c:v>-25.35</c:v>
                </c:pt>
                <c:pt idx="46">
                  <c:v>-25.449</c:v>
                </c:pt>
                <c:pt idx="47">
                  <c:v>-25.357</c:v>
                </c:pt>
                <c:pt idx="48">
                  <c:v>-25.338</c:v>
                </c:pt>
                <c:pt idx="49">
                  <c:v>-25.373</c:v>
                </c:pt>
                <c:pt idx="50">
                  <c:v>-25.407</c:v>
                </c:pt>
                <c:pt idx="51">
                  <c:v>-25.377</c:v>
                </c:pt>
                <c:pt idx="52">
                  <c:v>-25.479</c:v>
                </c:pt>
                <c:pt idx="53">
                  <c:v>-25.342</c:v>
                </c:pt>
                <c:pt idx="54">
                  <c:v>-25.343</c:v>
                </c:pt>
                <c:pt idx="55">
                  <c:v>-25.445</c:v>
                </c:pt>
              </c:numCache>
            </c:numRef>
          </c:yVal>
          <c:smooth val="1"/>
        </c:ser>
        <c:axId val="40619865"/>
        <c:axId val="53663914"/>
      </c:scatterChart>
      <c:valAx>
        <c:axId val="40619865"/>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663914"/>
        <c:crosses val="autoZero"/>
        <c:crossBetween val="midCat"/>
      </c:valAx>
      <c:valAx>
        <c:axId val="5366391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d13C of the pulse (permil)</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619865"/>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Calibrated d15N of the unknowns against the anchor span</a:t>
            </a:r>
          </a:p>
        </c:rich>
      </c:tx>
      <c:overlay val="0"/>
      <c:spPr>
        <a:noFill/>
        <a:ln w="0">
          <a:noFill/>
        </a:ln>
      </c:spPr>
    </c:title>
    <c:autoTitleDeleted val="0"/>
    <c:plotArea>
      <c:scatterChart>
        <c:scatterStyle val="lineMarker"/>
        <c:varyColors val="0"/>
        <c:ser>
          <c:idx val="0"/>
          <c:order val="0"/>
          <c:tx>
            <c:strRef>
              <c:f>"unknowns and checks"</c:f>
              <c:strCache>
                <c:ptCount val="1"/>
                <c:pt idx="0">
                  <c:v>unknowns and checks</c:v>
                </c:pt>
              </c:strCache>
            </c:strRef>
          </c:tx>
          <c:spPr>
            <a:solidFill>
              <a:srgbClr val="1f4e79"/>
            </a:solidFill>
            <a:ln w="28440">
              <a:noFill/>
            </a:ln>
          </c:spPr>
          <c:marker>
            <c:symbol val="circle"/>
            <c:size val="5"/>
            <c:spPr>
              <a:solidFill>
                <a:srgbClr val="1f4e7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Work!$DS$6:$DS$125</c:f>
              <c:numCache>
                <c:formatCode>General</c:formatCode>
                <c:ptCount val="120"/>
                <c:pt idx="19">
                  <c:v>-5.15506270552128</c:v>
                </c:pt>
                <c:pt idx="20">
                  <c:v>-5.29390558457363</c:v>
                </c:pt>
                <c:pt idx="22">
                  <c:v>-2.47331935416829</c:v>
                </c:pt>
                <c:pt idx="23">
                  <c:v>-5.3234068726027</c:v>
                </c:pt>
                <c:pt idx="24">
                  <c:v>41.0066970872805</c:v>
                </c:pt>
                <c:pt idx="26">
                  <c:v>1.73882904832365</c:v>
                </c:pt>
                <c:pt idx="27">
                  <c:v>-5.48661805096889</c:v>
                </c:pt>
                <c:pt idx="28">
                  <c:v>-4.89041694600097</c:v>
                </c:pt>
                <c:pt idx="30">
                  <c:v>-5.01411304264892</c:v>
                </c:pt>
                <c:pt idx="31">
                  <c:v>-5.55948862794712</c:v>
                </c:pt>
                <c:pt idx="32">
                  <c:v>-4.96020772975006</c:v>
                </c:pt>
                <c:pt idx="34">
                  <c:v>-5.1475528864668</c:v>
                </c:pt>
                <c:pt idx="35">
                  <c:v>-5.21761371673513</c:v>
                </c:pt>
                <c:pt idx="36">
                  <c:v>-4.98277501731908</c:v>
                </c:pt>
                <c:pt idx="38">
                  <c:v>-5.30255128288863</c:v>
                </c:pt>
                <c:pt idx="39">
                  <c:v>2.50549896697098</c:v>
                </c:pt>
                <c:pt idx="40">
                  <c:v>1.44169152143501</c:v>
                </c:pt>
                <c:pt idx="42">
                  <c:v>-0.474444234569646</c:v>
                </c:pt>
                <c:pt idx="43">
                  <c:v>3.13584784397863</c:v>
                </c:pt>
                <c:pt idx="44">
                  <c:v>3.22490966388229</c:v>
                </c:pt>
                <c:pt idx="46">
                  <c:v>2.88768123668097</c:v>
                </c:pt>
                <c:pt idx="47">
                  <c:v>-5.17341642545028</c:v>
                </c:pt>
                <c:pt idx="48">
                  <c:v>-4.87184887273629</c:v>
                </c:pt>
                <c:pt idx="50">
                  <c:v>-4.98322579646769</c:v>
                </c:pt>
                <c:pt idx="51">
                  <c:v>-4.7360679241351</c:v>
                </c:pt>
                <c:pt idx="52">
                  <c:v>-8.27705572363885</c:v>
                </c:pt>
              </c:numCache>
            </c:numRef>
          </c:yVal>
          <c:smooth val="1"/>
        </c:ser>
        <c:ser>
          <c:idx val="1"/>
          <c:order val="1"/>
          <c:tx>
            <c:strRef>
              <c:f>"lowest anchor"</c:f>
              <c:strCache>
                <c:ptCount val="1"/>
                <c:pt idx="0">
                  <c:v>lowest anchor</c:v>
                </c:pt>
              </c:strCache>
            </c:strRef>
          </c:tx>
          <c:spPr>
            <a:solidFill>
              <a:srgbClr val="c55a11"/>
            </a:solidFill>
            <a:ln w="1512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Work!$DT$6:$DT$125</c:f>
              <c:numCache>
                <c:formatCode>0.00</c:formatCode>
                <c:ptCount val="120"/>
                <c:pt idx="0">
                  <c:v>1.76</c:v>
                </c:pt>
                <c:pt idx="1">
                  <c:v>1.76</c:v>
                </c:pt>
                <c:pt idx="2">
                  <c:v>1.76</c:v>
                </c:pt>
                <c:pt idx="3">
                  <c:v>1.76</c:v>
                </c:pt>
                <c:pt idx="4">
                  <c:v>1.76</c:v>
                </c:pt>
                <c:pt idx="5">
                  <c:v>1.76</c:v>
                </c:pt>
                <c:pt idx="6">
                  <c:v>1.76</c:v>
                </c:pt>
                <c:pt idx="7">
                  <c:v>1.76</c:v>
                </c:pt>
                <c:pt idx="8">
                  <c:v>1.76</c:v>
                </c:pt>
                <c:pt idx="9">
                  <c:v>1.76</c:v>
                </c:pt>
                <c:pt idx="10">
                  <c:v>1.76</c:v>
                </c:pt>
                <c:pt idx="11">
                  <c:v>1.76</c:v>
                </c:pt>
                <c:pt idx="12">
                  <c:v>1.76</c:v>
                </c:pt>
                <c:pt idx="13">
                  <c:v>1.76</c:v>
                </c:pt>
                <c:pt idx="14">
                  <c:v>1.76</c:v>
                </c:pt>
                <c:pt idx="15">
                  <c:v>1.76</c:v>
                </c:pt>
                <c:pt idx="16">
                  <c:v>1.76</c:v>
                </c:pt>
                <c:pt idx="17">
                  <c:v>1.76</c:v>
                </c:pt>
                <c:pt idx="18">
                  <c:v>1.76</c:v>
                </c:pt>
                <c:pt idx="19">
                  <c:v>1.76</c:v>
                </c:pt>
                <c:pt idx="20">
                  <c:v>1.76</c:v>
                </c:pt>
                <c:pt idx="21">
                  <c:v>1.76</c:v>
                </c:pt>
                <c:pt idx="22">
                  <c:v>1.76</c:v>
                </c:pt>
                <c:pt idx="23">
                  <c:v>1.76</c:v>
                </c:pt>
                <c:pt idx="24">
                  <c:v>1.76</c:v>
                </c:pt>
                <c:pt idx="25">
                  <c:v>1.76</c:v>
                </c:pt>
                <c:pt idx="26">
                  <c:v>1.76</c:v>
                </c:pt>
                <c:pt idx="27">
                  <c:v>1.76</c:v>
                </c:pt>
                <c:pt idx="28">
                  <c:v>1.76</c:v>
                </c:pt>
                <c:pt idx="29">
                  <c:v>1.76</c:v>
                </c:pt>
                <c:pt idx="30">
                  <c:v>1.76</c:v>
                </c:pt>
                <c:pt idx="31">
                  <c:v>1.76</c:v>
                </c:pt>
                <c:pt idx="32">
                  <c:v>1.76</c:v>
                </c:pt>
                <c:pt idx="33">
                  <c:v>1.76</c:v>
                </c:pt>
                <c:pt idx="34">
                  <c:v>1.76</c:v>
                </c:pt>
                <c:pt idx="35">
                  <c:v>1.76</c:v>
                </c:pt>
                <c:pt idx="36">
                  <c:v>1.76</c:v>
                </c:pt>
                <c:pt idx="37">
                  <c:v>1.76</c:v>
                </c:pt>
                <c:pt idx="38">
                  <c:v>1.76</c:v>
                </c:pt>
                <c:pt idx="39">
                  <c:v>1.76</c:v>
                </c:pt>
                <c:pt idx="40">
                  <c:v>1.76</c:v>
                </c:pt>
                <c:pt idx="41">
                  <c:v>1.76</c:v>
                </c:pt>
                <c:pt idx="42">
                  <c:v>1.76</c:v>
                </c:pt>
                <c:pt idx="43">
                  <c:v>1.76</c:v>
                </c:pt>
                <c:pt idx="44">
                  <c:v>1.76</c:v>
                </c:pt>
                <c:pt idx="45">
                  <c:v>1.76</c:v>
                </c:pt>
                <c:pt idx="46">
                  <c:v>1.76</c:v>
                </c:pt>
                <c:pt idx="47">
                  <c:v>1.76</c:v>
                </c:pt>
                <c:pt idx="48">
                  <c:v>1.76</c:v>
                </c:pt>
                <c:pt idx="49">
                  <c:v>1.76</c:v>
                </c:pt>
                <c:pt idx="50">
                  <c:v>1.76</c:v>
                </c:pt>
                <c:pt idx="51">
                  <c:v>1.76</c:v>
                </c:pt>
                <c:pt idx="52">
                  <c:v>1.76</c:v>
                </c:pt>
                <c:pt idx="53">
                  <c:v>1.76</c:v>
                </c:pt>
                <c:pt idx="54">
                  <c:v>1.76</c:v>
                </c:pt>
                <c:pt idx="55">
                  <c:v>1.76</c:v>
                </c:pt>
              </c:numCache>
            </c:numRef>
          </c:yVal>
          <c:smooth val="1"/>
        </c:ser>
        <c:ser>
          <c:idx val="2"/>
          <c:order val="2"/>
          <c:tx>
            <c:strRef>
              <c:f>"highest anchor"</c:f>
              <c:strCache>
                <c:ptCount val="1"/>
                <c:pt idx="0">
                  <c:v>highest anchor</c:v>
                </c:pt>
              </c:strCache>
            </c:strRef>
          </c:tx>
          <c:spPr>
            <a:solidFill>
              <a:srgbClr val="c55a11"/>
            </a:solidFill>
            <a:ln w="1512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Work!$DU$6:$DU$125</c:f>
              <c:numCache>
                <c:formatCode>0.00</c:formatCode>
                <c:ptCount val="120"/>
                <c:pt idx="0">
                  <c:v>20.68</c:v>
                </c:pt>
                <c:pt idx="1">
                  <c:v>20.68</c:v>
                </c:pt>
                <c:pt idx="2">
                  <c:v>20.68</c:v>
                </c:pt>
                <c:pt idx="3">
                  <c:v>20.68</c:v>
                </c:pt>
                <c:pt idx="4">
                  <c:v>20.68</c:v>
                </c:pt>
                <c:pt idx="5">
                  <c:v>20.68</c:v>
                </c:pt>
                <c:pt idx="6">
                  <c:v>20.68</c:v>
                </c:pt>
                <c:pt idx="7">
                  <c:v>20.68</c:v>
                </c:pt>
                <c:pt idx="8">
                  <c:v>20.68</c:v>
                </c:pt>
                <c:pt idx="9">
                  <c:v>20.68</c:v>
                </c:pt>
                <c:pt idx="10">
                  <c:v>20.68</c:v>
                </c:pt>
                <c:pt idx="11">
                  <c:v>20.68</c:v>
                </c:pt>
                <c:pt idx="12">
                  <c:v>20.68</c:v>
                </c:pt>
                <c:pt idx="13">
                  <c:v>20.68</c:v>
                </c:pt>
                <c:pt idx="14">
                  <c:v>20.68</c:v>
                </c:pt>
                <c:pt idx="15">
                  <c:v>20.68</c:v>
                </c:pt>
                <c:pt idx="16">
                  <c:v>20.68</c:v>
                </c:pt>
                <c:pt idx="17">
                  <c:v>20.68</c:v>
                </c:pt>
                <c:pt idx="18">
                  <c:v>20.68</c:v>
                </c:pt>
                <c:pt idx="19">
                  <c:v>20.68</c:v>
                </c:pt>
                <c:pt idx="20">
                  <c:v>20.68</c:v>
                </c:pt>
                <c:pt idx="21">
                  <c:v>20.68</c:v>
                </c:pt>
                <c:pt idx="22">
                  <c:v>20.68</c:v>
                </c:pt>
                <c:pt idx="23">
                  <c:v>20.68</c:v>
                </c:pt>
                <c:pt idx="24">
                  <c:v>20.68</c:v>
                </c:pt>
                <c:pt idx="25">
                  <c:v>20.68</c:v>
                </c:pt>
                <c:pt idx="26">
                  <c:v>20.68</c:v>
                </c:pt>
                <c:pt idx="27">
                  <c:v>20.68</c:v>
                </c:pt>
                <c:pt idx="28">
                  <c:v>20.68</c:v>
                </c:pt>
                <c:pt idx="29">
                  <c:v>20.68</c:v>
                </c:pt>
                <c:pt idx="30">
                  <c:v>20.68</c:v>
                </c:pt>
                <c:pt idx="31">
                  <c:v>20.68</c:v>
                </c:pt>
                <c:pt idx="32">
                  <c:v>20.68</c:v>
                </c:pt>
                <c:pt idx="33">
                  <c:v>20.68</c:v>
                </c:pt>
                <c:pt idx="34">
                  <c:v>20.68</c:v>
                </c:pt>
                <c:pt idx="35">
                  <c:v>20.68</c:v>
                </c:pt>
                <c:pt idx="36">
                  <c:v>20.68</c:v>
                </c:pt>
                <c:pt idx="37">
                  <c:v>20.68</c:v>
                </c:pt>
                <c:pt idx="38">
                  <c:v>20.68</c:v>
                </c:pt>
                <c:pt idx="39">
                  <c:v>20.68</c:v>
                </c:pt>
                <c:pt idx="40">
                  <c:v>20.68</c:v>
                </c:pt>
                <c:pt idx="41">
                  <c:v>20.68</c:v>
                </c:pt>
                <c:pt idx="42">
                  <c:v>20.68</c:v>
                </c:pt>
                <c:pt idx="43">
                  <c:v>20.68</c:v>
                </c:pt>
                <c:pt idx="44">
                  <c:v>20.68</c:v>
                </c:pt>
                <c:pt idx="45">
                  <c:v>20.68</c:v>
                </c:pt>
                <c:pt idx="46">
                  <c:v>20.68</c:v>
                </c:pt>
                <c:pt idx="47">
                  <c:v>20.68</c:v>
                </c:pt>
                <c:pt idx="48">
                  <c:v>20.68</c:v>
                </c:pt>
                <c:pt idx="49">
                  <c:v>20.68</c:v>
                </c:pt>
                <c:pt idx="50">
                  <c:v>20.68</c:v>
                </c:pt>
                <c:pt idx="51">
                  <c:v>20.68</c:v>
                </c:pt>
                <c:pt idx="52">
                  <c:v>20.68</c:v>
                </c:pt>
                <c:pt idx="53">
                  <c:v>20.68</c:v>
                </c:pt>
                <c:pt idx="54">
                  <c:v>20.68</c:v>
                </c:pt>
                <c:pt idx="55">
                  <c:v>20.68</c:v>
                </c:pt>
              </c:numCache>
            </c:numRef>
          </c:yVal>
          <c:smooth val="1"/>
        </c:ser>
        <c:axId val="35459372"/>
        <c:axId val="63799650"/>
      </c:scatterChart>
      <c:valAx>
        <c:axId val="35459372"/>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799650"/>
        <c:crosses val="autoZero"/>
        <c:crossBetween val="midCat"/>
      </c:valAx>
      <c:valAx>
        <c:axId val="6379965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d15N (permil)</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459372"/>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Calibrated d13C of the unknowns against the anchor span</a:t>
            </a:r>
          </a:p>
        </c:rich>
      </c:tx>
      <c:overlay val="0"/>
      <c:spPr>
        <a:noFill/>
        <a:ln w="0">
          <a:noFill/>
        </a:ln>
      </c:spPr>
    </c:title>
    <c:autoTitleDeleted val="0"/>
    <c:plotArea>
      <c:scatterChart>
        <c:scatterStyle val="lineMarker"/>
        <c:varyColors val="0"/>
        <c:ser>
          <c:idx val="0"/>
          <c:order val="0"/>
          <c:tx>
            <c:strRef>
              <c:f>"unknowns and checks"</c:f>
              <c:strCache>
                <c:ptCount val="1"/>
                <c:pt idx="0">
                  <c:v>unknowns and checks</c:v>
                </c:pt>
              </c:strCache>
            </c:strRef>
          </c:tx>
          <c:spPr>
            <a:solidFill>
              <a:srgbClr val="1f4e79"/>
            </a:solidFill>
            <a:ln w="28440">
              <a:noFill/>
            </a:ln>
          </c:spPr>
          <c:marker>
            <c:symbol val="circle"/>
            <c:size val="5"/>
            <c:spPr>
              <a:solidFill>
                <a:srgbClr val="1f4e7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Work!$ED$6:$ED$125</c:f>
              <c:numCache>
                <c:formatCode>General</c:formatCode>
                <c:ptCount val="120"/>
                <c:pt idx="19">
                  <c:v>-26.7065273827704</c:v>
                </c:pt>
                <c:pt idx="20">
                  <c:v>-26.6174741869547</c:v>
                </c:pt>
                <c:pt idx="22">
                  <c:v>-35.1408773286832</c:v>
                </c:pt>
                <c:pt idx="23">
                  <c:v>-26.6115679611122</c:v>
                </c:pt>
                <c:pt idx="24">
                  <c:v>-0.734863329113406</c:v>
                </c:pt>
                <c:pt idx="26">
                  <c:v>-40.765944321845</c:v>
                </c:pt>
                <c:pt idx="27">
                  <c:v>-26.3981706510412</c:v>
                </c:pt>
                <c:pt idx="28">
                  <c:v>-26.8321419235809</c:v>
                </c:pt>
                <c:pt idx="30">
                  <c:v>-26.7535281607883</c:v>
                </c:pt>
                <c:pt idx="31">
                  <c:v>-26.7013006406962</c:v>
                </c:pt>
                <c:pt idx="32">
                  <c:v>-26.7621724616234</c:v>
                </c:pt>
                <c:pt idx="34">
                  <c:v>-26.7373859570577</c:v>
                </c:pt>
                <c:pt idx="35">
                  <c:v>-26.6261727484253</c:v>
                </c:pt>
                <c:pt idx="36">
                  <c:v>-26.7199611050583</c:v>
                </c:pt>
                <c:pt idx="38">
                  <c:v>-26.5943414117116</c:v>
                </c:pt>
                <c:pt idx="39">
                  <c:v>-27.7533343265413</c:v>
                </c:pt>
                <c:pt idx="40">
                  <c:v>-27.8010485866376</c:v>
                </c:pt>
                <c:pt idx="42">
                  <c:v>-27.2995838560812</c:v>
                </c:pt>
                <c:pt idx="43">
                  <c:v>-27.7083704606865</c:v>
                </c:pt>
                <c:pt idx="44">
                  <c:v>-27.8969900359127</c:v>
                </c:pt>
                <c:pt idx="46">
                  <c:v>-27.6756604734608</c:v>
                </c:pt>
                <c:pt idx="47">
                  <c:v>-26.7519927443081</c:v>
                </c:pt>
                <c:pt idx="48">
                  <c:v>-26.7562586697408</c:v>
                </c:pt>
                <c:pt idx="50">
                  <c:v>-26.6941279709507</c:v>
                </c:pt>
                <c:pt idx="51">
                  <c:v>-26.7447541794178</c:v>
                </c:pt>
              </c:numCache>
            </c:numRef>
          </c:yVal>
          <c:smooth val="1"/>
        </c:ser>
        <c:ser>
          <c:idx val="1"/>
          <c:order val="1"/>
          <c:tx>
            <c:strRef>
              <c:f>"lowest anchor"</c:f>
              <c:strCache>
                <c:ptCount val="1"/>
                <c:pt idx="0">
                  <c:v>lowest anchor</c:v>
                </c:pt>
              </c:strCache>
            </c:strRef>
          </c:tx>
          <c:spPr>
            <a:solidFill>
              <a:srgbClr val="c55a11"/>
            </a:solidFill>
            <a:ln w="1512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Work!$EE$6:$EE$125</c:f>
              <c:numCache>
                <c:formatCode>0.00</c:formatCode>
                <c:ptCount val="120"/>
                <c:pt idx="0">
                  <c:v>-40.81</c:v>
                </c:pt>
                <c:pt idx="1">
                  <c:v>-40.81</c:v>
                </c:pt>
                <c:pt idx="2">
                  <c:v>-40.81</c:v>
                </c:pt>
                <c:pt idx="3">
                  <c:v>-40.81</c:v>
                </c:pt>
                <c:pt idx="4">
                  <c:v>-40.81</c:v>
                </c:pt>
                <c:pt idx="5">
                  <c:v>-40.81</c:v>
                </c:pt>
                <c:pt idx="6">
                  <c:v>-40.81</c:v>
                </c:pt>
                <c:pt idx="7">
                  <c:v>-40.81</c:v>
                </c:pt>
                <c:pt idx="8">
                  <c:v>-40.81</c:v>
                </c:pt>
                <c:pt idx="9">
                  <c:v>-40.81</c:v>
                </c:pt>
                <c:pt idx="10">
                  <c:v>-40.81</c:v>
                </c:pt>
                <c:pt idx="11">
                  <c:v>-40.81</c:v>
                </c:pt>
                <c:pt idx="12">
                  <c:v>-40.81</c:v>
                </c:pt>
                <c:pt idx="13">
                  <c:v>-40.81</c:v>
                </c:pt>
                <c:pt idx="14">
                  <c:v>-40.81</c:v>
                </c:pt>
                <c:pt idx="15">
                  <c:v>-40.81</c:v>
                </c:pt>
                <c:pt idx="16">
                  <c:v>-40.81</c:v>
                </c:pt>
                <c:pt idx="17">
                  <c:v>-40.81</c:v>
                </c:pt>
                <c:pt idx="18">
                  <c:v>-40.81</c:v>
                </c:pt>
                <c:pt idx="19">
                  <c:v>-40.81</c:v>
                </c:pt>
                <c:pt idx="20">
                  <c:v>-40.81</c:v>
                </c:pt>
                <c:pt idx="21">
                  <c:v>-40.81</c:v>
                </c:pt>
                <c:pt idx="22">
                  <c:v>-40.81</c:v>
                </c:pt>
                <c:pt idx="23">
                  <c:v>-40.81</c:v>
                </c:pt>
                <c:pt idx="24">
                  <c:v>-40.81</c:v>
                </c:pt>
                <c:pt idx="25">
                  <c:v>-40.81</c:v>
                </c:pt>
                <c:pt idx="26">
                  <c:v>-40.81</c:v>
                </c:pt>
                <c:pt idx="27">
                  <c:v>-40.81</c:v>
                </c:pt>
                <c:pt idx="28">
                  <c:v>-40.81</c:v>
                </c:pt>
                <c:pt idx="29">
                  <c:v>-40.81</c:v>
                </c:pt>
                <c:pt idx="30">
                  <c:v>-40.81</c:v>
                </c:pt>
                <c:pt idx="31">
                  <c:v>-40.81</c:v>
                </c:pt>
                <c:pt idx="32">
                  <c:v>-40.81</c:v>
                </c:pt>
                <c:pt idx="33">
                  <c:v>-40.81</c:v>
                </c:pt>
                <c:pt idx="34">
                  <c:v>-40.81</c:v>
                </c:pt>
                <c:pt idx="35">
                  <c:v>-40.81</c:v>
                </c:pt>
                <c:pt idx="36">
                  <c:v>-40.81</c:v>
                </c:pt>
                <c:pt idx="37">
                  <c:v>-40.81</c:v>
                </c:pt>
                <c:pt idx="38">
                  <c:v>-40.81</c:v>
                </c:pt>
                <c:pt idx="39">
                  <c:v>-40.81</c:v>
                </c:pt>
                <c:pt idx="40">
                  <c:v>-40.81</c:v>
                </c:pt>
                <c:pt idx="41">
                  <c:v>-40.81</c:v>
                </c:pt>
                <c:pt idx="42">
                  <c:v>-40.81</c:v>
                </c:pt>
                <c:pt idx="43">
                  <c:v>-40.81</c:v>
                </c:pt>
                <c:pt idx="44">
                  <c:v>-40.81</c:v>
                </c:pt>
                <c:pt idx="45">
                  <c:v>-40.81</c:v>
                </c:pt>
                <c:pt idx="46">
                  <c:v>-40.81</c:v>
                </c:pt>
                <c:pt idx="47">
                  <c:v>-40.81</c:v>
                </c:pt>
                <c:pt idx="48">
                  <c:v>-40.81</c:v>
                </c:pt>
                <c:pt idx="49">
                  <c:v>-40.81</c:v>
                </c:pt>
                <c:pt idx="50">
                  <c:v>-40.81</c:v>
                </c:pt>
                <c:pt idx="51">
                  <c:v>-40.81</c:v>
                </c:pt>
                <c:pt idx="52">
                  <c:v>-40.81</c:v>
                </c:pt>
                <c:pt idx="53">
                  <c:v>-40.81</c:v>
                </c:pt>
                <c:pt idx="54">
                  <c:v>-40.81</c:v>
                </c:pt>
                <c:pt idx="55">
                  <c:v>-40.81</c:v>
                </c:pt>
              </c:numCache>
            </c:numRef>
          </c:yVal>
          <c:smooth val="1"/>
        </c:ser>
        <c:ser>
          <c:idx val="2"/>
          <c:order val="2"/>
          <c:tx>
            <c:strRef>
              <c:f>"highest anchor"</c:f>
              <c:strCache>
                <c:ptCount val="1"/>
                <c:pt idx="0">
                  <c:v>highest anchor</c:v>
                </c:pt>
              </c:strCache>
            </c:strRef>
          </c:tx>
          <c:spPr>
            <a:solidFill>
              <a:srgbClr val="c55a11"/>
            </a:solidFill>
            <a:ln w="15120">
              <a:solidFill>
                <a:srgbClr val="c55a11"/>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Work!$EF$6:$EF$125</c:f>
              <c:numCache>
                <c:formatCode>0.00</c:formatCode>
                <c:ptCount val="120"/>
                <c:pt idx="0">
                  <c:v>-20.29</c:v>
                </c:pt>
                <c:pt idx="1">
                  <c:v>-20.29</c:v>
                </c:pt>
                <c:pt idx="2">
                  <c:v>-20.29</c:v>
                </c:pt>
                <c:pt idx="3">
                  <c:v>-20.29</c:v>
                </c:pt>
                <c:pt idx="4">
                  <c:v>-20.29</c:v>
                </c:pt>
                <c:pt idx="5">
                  <c:v>-20.29</c:v>
                </c:pt>
                <c:pt idx="6">
                  <c:v>-20.29</c:v>
                </c:pt>
                <c:pt idx="7">
                  <c:v>-20.29</c:v>
                </c:pt>
                <c:pt idx="8">
                  <c:v>-20.29</c:v>
                </c:pt>
                <c:pt idx="9">
                  <c:v>-20.29</c:v>
                </c:pt>
                <c:pt idx="10">
                  <c:v>-20.29</c:v>
                </c:pt>
                <c:pt idx="11">
                  <c:v>-20.29</c:v>
                </c:pt>
                <c:pt idx="12">
                  <c:v>-20.29</c:v>
                </c:pt>
                <c:pt idx="13">
                  <c:v>-20.29</c:v>
                </c:pt>
                <c:pt idx="14">
                  <c:v>-20.29</c:v>
                </c:pt>
                <c:pt idx="15">
                  <c:v>-20.29</c:v>
                </c:pt>
                <c:pt idx="16">
                  <c:v>-20.29</c:v>
                </c:pt>
                <c:pt idx="17">
                  <c:v>-20.29</c:v>
                </c:pt>
                <c:pt idx="18">
                  <c:v>-20.29</c:v>
                </c:pt>
                <c:pt idx="19">
                  <c:v>-20.29</c:v>
                </c:pt>
                <c:pt idx="20">
                  <c:v>-20.29</c:v>
                </c:pt>
                <c:pt idx="21">
                  <c:v>-20.29</c:v>
                </c:pt>
                <c:pt idx="22">
                  <c:v>-20.29</c:v>
                </c:pt>
                <c:pt idx="23">
                  <c:v>-20.29</c:v>
                </c:pt>
                <c:pt idx="24">
                  <c:v>-20.29</c:v>
                </c:pt>
                <c:pt idx="25">
                  <c:v>-20.29</c:v>
                </c:pt>
                <c:pt idx="26">
                  <c:v>-20.29</c:v>
                </c:pt>
                <c:pt idx="27">
                  <c:v>-20.29</c:v>
                </c:pt>
                <c:pt idx="28">
                  <c:v>-20.29</c:v>
                </c:pt>
                <c:pt idx="29">
                  <c:v>-20.29</c:v>
                </c:pt>
                <c:pt idx="30">
                  <c:v>-20.29</c:v>
                </c:pt>
                <c:pt idx="31">
                  <c:v>-20.29</c:v>
                </c:pt>
                <c:pt idx="32">
                  <c:v>-20.29</c:v>
                </c:pt>
                <c:pt idx="33">
                  <c:v>-20.29</c:v>
                </c:pt>
                <c:pt idx="34">
                  <c:v>-20.29</c:v>
                </c:pt>
                <c:pt idx="35">
                  <c:v>-20.29</c:v>
                </c:pt>
                <c:pt idx="36">
                  <c:v>-20.29</c:v>
                </c:pt>
                <c:pt idx="37">
                  <c:v>-20.29</c:v>
                </c:pt>
                <c:pt idx="38">
                  <c:v>-20.29</c:v>
                </c:pt>
                <c:pt idx="39">
                  <c:v>-20.29</c:v>
                </c:pt>
                <c:pt idx="40">
                  <c:v>-20.29</c:v>
                </c:pt>
                <c:pt idx="41">
                  <c:v>-20.29</c:v>
                </c:pt>
                <c:pt idx="42">
                  <c:v>-20.29</c:v>
                </c:pt>
                <c:pt idx="43">
                  <c:v>-20.29</c:v>
                </c:pt>
                <c:pt idx="44">
                  <c:v>-20.29</c:v>
                </c:pt>
                <c:pt idx="45">
                  <c:v>-20.29</c:v>
                </c:pt>
                <c:pt idx="46">
                  <c:v>-20.29</c:v>
                </c:pt>
                <c:pt idx="47">
                  <c:v>-20.29</c:v>
                </c:pt>
                <c:pt idx="48">
                  <c:v>-20.29</c:v>
                </c:pt>
                <c:pt idx="49">
                  <c:v>-20.29</c:v>
                </c:pt>
                <c:pt idx="50">
                  <c:v>-20.29</c:v>
                </c:pt>
                <c:pt idx="51">
                  <c:v>-20.29</c:v>
                </c:pt>
                <c:pt idx="52">
                  <c:v>-20.29</c:v>
                </c:pt>
                <c:pt idx="53">
                  <c:v>-20.29</c:v>
                </c:pt>
                <c:pt idx="54">
                  <c:v>-20.29</c:v>
                </c:pt>
                <c:pt idx="55">
                  <c:v>-20.29</c:v>
                </c:pt>
              </c:numCache>
            </c:numRef>
          </c:yVal>
          <c:smooth val="1"/>
        </c:ser>
        <c:axId val="21530120"/>
        <c:axId val="84802162"/>
      </c:scatterChart>
      <c:valAx>
        <c:axId val="21530120"/>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4802162"/>
        <c:crosses val="autoZero"/>
        <c:crossBetween val="midCat"/>
      </c:valAx>
      <c:valAx>
        <c:axId val="848021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d13C (permil)</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30120"/>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Nitrogen linearity: size series and unknowns</a:t>
            </a:r>
          </a:p>
        </c:rich>
      </c:tx>
      <c:overlay val="0"/>
      <c:spPr>
        <a:noFill/>
        <a:ln w="0">
          <a:noFill/>
        </a:ln>
      </c:spPr>
    </c:title>
    <c:autoTitleDeleted val="0"/>
    <c:plotArea>
      <c:scatterChart>
        <c:scatterStyle val="lineMarker"/>
        <c:varyColors val="0"/>
        <c:ser>
          <c:idx val="0"/>
          <c:order val="0"/>
          <c:tx>
            <c:strRef>
              <c:f>"unknowns, by size"</c:f>
              <c:strCache>
                <c:ptCount val="1"/>
                <c:pt idx="0">
                  <c:v>unknowns, by size</c:v>
                </c:pt>
              </c:strCache>
            </c:strRef>
          </c:tx>
          <c:spPr>
            <a:solidFill>
              <a:srgbClr val="7f7f7f"/>
            </a:solidFill>
            <a:ln w="28440">
              <a:noFill/>
            </a:ln>
          </c:spPr>
          <c:marker>
            <c:symbol val="circle"/>
            <c:size val="4"/>
            <c:spPr>
              <a:solidFill>
                <a:srgbClr val="7f7f7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Work!$DN$6:$DN$125</c:f>
              <c:numCache>
                <c:formatCode>General</c:formatCode>
                <c:ptCount val="120"/>
                <c:pt idx="19">
                  <c:v>29.179</c:v>
                </c:pt>
                <c:pt idx="20">
                  <c:v>10.11</c:v>
                </c:pt>
                <c:pt idx="22">
                  <c:v>59.328</c:v>
                </c:pt>
                <c:pt idx="23">
                  <c:v>25.453</c:v>
                </c:pt>
                <c:pt idx="24">
                  <c:v>47.866</c:v>
                </c:pt>
                <c:pt idx="26">
                  <c:v>47.171</c:v>
                </c:pt>
                <c:pt idx="27">
                  <c:v>22.944</c:v>
                </c:pt>
                <c:pt idx="28">
                  <c:v>50.397</c:v>
                </c:pt>
                <c:pt idx="30">
                  <c:v>25.209</c:v>
                </c:pt>
                <c:pt idx="31">
                  <c:v>12.229</c:v>
                </c:pt>
                <c:pt idx="32">
                  <c:v>64.233</c:v>
                </c:pt>
                <c:pt idx="34">
                  <c:v>23.414</c:v>
                </c:pt>
                <c:pt idx="35">
                  <c:v>22.876</c:v>
                </c:pt>
                <c:pt idx="36">
                  <c:v>31.222</c:v>
                </c:pt>
                <c:pt idx="38">
                  <c:v>13.845</c:v>
                </c:pt>
                <c:pt idx="39">
                  <c:v>2.809</c:v>
                </c:pt>
                <c:pt idx="40">
                  <c:v>4.359</c:v>
                </c:pt>
                <c:pt idx="42">
                  <c:v>2.919</c:v>
                </c:pt>
                <c:pt idx="43">
                  <c:v>2.479</c:v>
                </c:pt>
                <c:pt idx="44">
                  <c:v>2.478</c:v>
                </c:pt>
                <c:pt idx="46">
                  <c:v>2.464</c:v>
                </c:pt>
                <c:pt idx="47">
                  <c:v>27.231</c:v>
                </c:pt>
                <c:pt idx="48">
                  <c:v>41.648</c:v>
                </c:pt>
                <c:pt idx="50">
                  <c:v>16.082</c:v>
                </c:pt>
                <c:pt idx="51">
                  <c:v>22.447</c:v>
                </c:pt>
                <c:pt idx="52">
                  <c:v>1.4</c:v>
                </c:pt>
              </c:numCache>
            </c:numRef>
          </c:xVal>
          <c:yVal>
            <c:numRef>
              <c:f>Work!$DO$6:$DO$125</c:f>
              <c:numCache>
                <c:formatCode>General</c:formatCode>
                <c:ptCount val="120"/>
                <c:pt idx="19">
                  <c:v>-6.0577</c:v>
                </c:pt>
                <c:pt idx="20">
                  <c:v>-6.0577</c:v>
                </c:pt>
                <c:pt idx="22">
                  <c:v>-6.0577</c:v>
                </c:pt>
                <c:pt idx="23">
                  <c:v>-6.0577</c:v>
                </c:pt>
                <c:pt idx="24">
                  <c:v>-6.0577</c:v>
                </c:pt>
                <c:pt idx="26">
                  <c:v>-6.0577</c:v>
                </c:pt>
                <c:pt idx="27">
                  <c:v>-6.0577</c:v>
                </c:pt>
                <c:pt idx="28">
                  <c:v>-6.0577</c:v>
                </c:pt>
                <c:pt idx="30">
                  <c:v>-6.0577</c:v>
                </c:pt>
                <c:pt idx="31">
                  <c:v>-6.0577</c:v>
                </c:pt>
                <c:pt idx="32">
                  <c:v>-6.0577</c:v>
                </c:pt>
                <c:pt idx="34">
                  <c:v>-6.0577</c:v>
                </c:pt>
                <c:pt idx="35">
                  <c:v>-6.0577</c:v>
                </c:pt>
                <c:pt idx="36">
                  <c:v>-6.0577</c:v>
                </c:pt>
                <c:pt idx="38">
                  <c:v>-6.0577</c:v>
                </c:pt>
                <c:pt idx="39">
                  <c:v>-6.0577</c:v>
                </c:pt>
                <c:pt idx="40">
                  <c:v>-6.0577</c:v>
                </c:pt>
                <c:pt idx="42">
                  <c:v>-6.0577</c:v>
                </c:pt>
                <c:pt idx="43">
                  <c:v>-6.0577</c:v>
                </c:pt>
                <c:pt idx="44">
                  <c:v>-6.0577</c:v>
                </c:pt>
                <c:pt idx="46">
                  <c:v>-6.0577</c:v>
                </c:pt>
                <c:pt idx="47">
                  <c:v>-6.0577</c:v>
                </c:pt>
                <c:pt idx="48">
                  <c:v>-6.0577</c:v>
                </c:pt>
                <c:pt idx="50">
                  <c:v>-6.0577</c:v>
                </c:pt>
                <c:pt idx="51">
                  <c:v>-6.0577</c:v>
                </c:pt>
                <c:pt idx="52">
                  <c:v>-6.0577</c:v>
                </c:pt>
              </c:numCache>
            </c:numRef>
          </c:yVal>
          <c:smooth val="1"/>
        </c:ser>
        <c:ser>
          <c:idx val="1"/>
          <c:order val="1"/>
          <c:tx>
            <c:strRef>
              <c:f>"linearity standards"</c:f>
              <c:strCache>
                <c:ptCount val="1"/>
                <c:pt idx="0">
                  <c:v>linearity standards</c:v>
                </c:pt>
              </c:strCache>
            </c:strRef>
          </c:tx>
          <c:spPr>
            <a:solidFill>
              <a:srgbClr val="b8860b"/>
            </a:solidFill>
            <a:ln w="28440">
              <a:noFill/>
            </a:ln>
          </c:spPr>
          <c:marker>
            <c:symbol val="circle"/>
            <c:size val="6"/>
            <c:spPr>
              <a:solidFill>
                <a:srgbClr val="b8860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Work!$DL$6:$DL$125</c:f>
              <c:numCache>
                <c:formatCode>General</c:formatCode>
                <c:ptCount val="120"/>
                <c:pt idx="5">
                  <c:v>8.889</c:v>
                </c:pt>
                <c:pt idx="6">
                  <c:v>12.058</c:v>
                </c:pt>
                <c:pt idx="7">
                  <c:v>38.149</c:v>
                </c:pt>
                <c:pt idx="8">
                  <c:v>51.069</c:v>
                </c:pt>
              </c:numCache>
            </c:numRef>
          </c:xVal>
          <c:yVal>
            <c:numRef>
              <c:f>Work!$DM$6:$DM$125</c:f>
              <c:numCache>
                <c:formatCode>General</c:formatCode>
                <c:ptCount val="120"/>
                <c:pt idx="5">
                  <c:v>-3.024</c:v>
                </c:pt>
                <c:pt idx="6">
                  <c:v>-4.102</c:v>
                </c:pt>
                <c:pt idx="7">
                  <c:v>-5.479</c:v>
                </c:pt>
                <c:pt idx="8">
                  <c:v>-5.662</c:v>
                </c:pt>
              </c:numCache>
            </c:numRef>
          </c:yVal>
          <c:smooth val="1"/>
        </c:ser>
        <c:axId val="44307743"/>
        <c:axId val="18438781"/>
      </c:scatterChart>
      <c:valAx>
        <c:axId val="44307743"/>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Area 28 (Vs), log scale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438781"/>
        <c:crosses val="autoZero"/>
        <c:crossBetween val="midCat"/>
      </c:valAx>
      <c:valAx>
        <c:axId val="1843878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d15N after blank (permil)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307743"/>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Carbon linearity: size series and unknowns</a:t>
            </a:r>
          </a:p>
        </c:rich>
      </c:tx>
      <c:overlay val="0"/>
      <c:spPr>
        <a:noFill/>
        <a:ln w="0">
          <a:noFill/>
        </a:ln>
      </c:spPr>
    </c:title>
    <c:autoTitleDeleted val="0"/>
    <c:plotArea>
      <c:scatterChart>
        <c:scatterStyle val="lineMarker"/>
        <c:varyColors val="0"/>
        <c:ser>
          <c:idx val="0"/>
          <c:order val="0"/>
          <c:tx>
            <c:strRef>
              <c:f>"unknowns, by size"</c:f>
              <c:strCache>
                <c:ptCount val="1"/>
                <c:pt idx="0">
                  <c:v>unknowns, by size</c:v>
                </c:pt>
              </c:strCache>
            </c:strRef>
          </c:tx>
          <c:spPr>
            <a:solidFill>
              <a:srgbClr val="7f7f7f"/>
            </a:solidFill>
            <a:ln w="28440">
              <a:noFill/>
            </a:ln>
          </c:spPr>
          <c:marker>
            <c:symbol val="circle"/>
            <c:size val="4"/>
            <c:spPr>
              <a:solidFill>
                <a:srgbClr val="7f7f7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Work!$DY$6:$DY$125</c:f>
              <c:numCache>
                <c:formatCode>General</c:formatCode>
                <c:ptCount val="120"/>
                <c:pt idx="19">
                  <c:v>139.977</c:v>
                </c:pt>
                <c:pt idx="20">
                  <c:v>49.134</c:v>
                </c:pt>
                <c:pt idx="22">
                  <c:v>18.131</c:v>
                </c:pt>
                <c:pt idx="23">
                  <c:v>122.649</c:v>
                </c:pt>
                <c:pt idx="24">
                  <c:v>58.45</c:v>
                </c:pt>
                <c:pt idx="26">
                  <c:v>57.484</c:v>
                </c:pt>
                <c:pt idx="27">
                  <c:v>71.395</c:v>
                </c:pt>
                <c:pt idx="28">
                  <c:v>240.674</c:v>
                </c:pt>
                <c:pt idx="30">
                  <c:v>121.954</c:v>
                </c:pt>
                <c:pt idx="31">
                  <c:v>56.107</c:v>
                </c:pt>
                <c:pt idx="32">
                  <c:v>302.204</c:v>
                </c:pt>
                <c:pt idx="34">
                  <c:v>109.657</c:v>
                </c:pt>
                <c:pt idx="35">
                  <c:v>107.199</c:v>
                </c:pt>
                <c:pt idx="36">
                  <c:v>146.952</c:v>
                </c:pt>
                <c:pt idx="38">
                  <c:v>62.657</c:v>
                </c:pt>
                <c:pt idx="39">
                  <c:v>22.965</c:v>
                </c:pt>
                <c:pt idx="40">
                  <c:v>27.265</c:v>
                </c:pt>
                <c:pt idx="42">
                  <c:v>15.34</c:v>
                </c:pt>
                <c:pt idx="43">
                  <c:v>20.814</c:v>
                </c:pt>
                <c:pt idx="44">
                  <c:v>20.462</c:v>
                </c:pt>
                <c:pt idx="46">
                  <c:v>20.21</c:v>
                </c:pt>
                <c:pt idx="47">
                  <c:v>127.336</c:v>
                </c:pt>
                <c:pt idx="48">
                  <c:v>195.21</c:v>
                </c:pt>
                <c:pt idx="50">
                  <c:v>71.442</c:v>
                </c:pt>
                <c:pt idx="51">
                  <c:v>101.638</c:v>
                </c:pt>
              </c:numCache>
            </c:numRef>
          </c:xVal>
          <c:yVal>
            <c:numRef>
              <c:f>Work!$DZ$6:$DZ$125</c:f>
              <c:numCache>
                <c:formatCode>General</c:formatCode>
                <c:ptCount val="120"/>
                <c:pt idx="19">
                  <c:v>-9.717</c:v>
                </c:pt>
                <c:pt idx="20">
                  <c:v>-9.717</c:v>
                </c:pt>
                <c:pt idx="22">
                  <c:v>-9.717</c:v>
                </c:pt>
                <c:pt idx="23">
                  <c:v>-9.717</c:v>
                </c:pt>
                <c:pt idx="24">
                  <c:v>-9.717</c:v>
                </c:pt>
                <c:pt idx="26">
                  <c:v>-9.717</c:v>
                </c:pt>
                <c:pt idx="27">
                  <c:v>-9.717</c:v>
                </c:pt>
                <c:pt idx="28">
                  <c:v>-9.717</c:v>
                </c:pt>
                <c:pt idx="30">
                  <c:v>-9.717</c:v>
                </c:pt>
                <c:pt idx="31">
                  <c:v>-9.717</c:v>
                </c:pt>
                <c:pt idx="32">
                  <c:v>-9.717</c:v>
                </c:pt>
                <c:pt idx="34">
                  <c:v>-9.717</c:v>
                </c:pt>
                <c:pt idx="35">
                  <c:v>-9.717</c:v>
                </c:pt>
                <c:pt idx="36">
                  <c:v>-9.717</c:v>
                </c:pt>
                <c:pt idx="38">
                  <c:v>-9.717</c:v>
                </c:pt>
                <c:pt idx="39">
                  <c:v>-9.717</c:v>
                </c:pt>
                <c:pt idx="40">
                  <c:v>-9.717</c:v>
                </c:pt>
                <c:pt idx="42">
                  <c:v>-9.717</c:v>
                </c:pt>
                <c:pt idx="43">
                  <c:v>-9.717</c:v>
                </c:pt>
                <c:pt idx="44">
                  <c:v>-9.717</c:v>
                </c:pt>
                <c:pt idx="46">
                  <c:v>-9.717</c:v>
                </c:pt>
                <c:pt idx="47">
                  <c:v>-9.717</c:v>
                </c:pt>
                <c:pt idx="48">
                  <c:v>-9.717</c:v>
                </c:pt>
                <c:pt idx="50">
                  <c:v>-9.717</c:v>
                </c:pt>
                <c:pt idx="51">
                  <c:v>-9.717</c:v>
                </c:pt>
              </c:numCache>
            </c:numRef>
          </c:yVal>
          <c:smooth val="1"/>
        </c:ser>
        <c:ser>
          <c:idx val="1"/>
          <c:order val="1"/>
          <c:tx>
            <c:strRef>
              <c:f>"linearity standards"</c:f>
              <c:strCache>
                <c:ptCount val="1"/>
                <c:pt idx="0">
                  <c:v>linearity standards</c:v>
                </c:pt>
              </c:strCache>
            </c:strRef>
          </c:tx>
          <c:spPr>
            <a:solidFill>
              <a:srgbClr val="b8860b"/>
            </a:solidFill>
            <a:ln w="28440">
              <a:noFill/>
            </a:ln>
          </c:spPr>
          <c:marker>
            <c:symbol val="circle"/>
            <c:size val="6"/>
            <c:spPr>
              <a:solidFill>
                <a:srgbClr val="b8860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Work!$DW$6:$DW$125</c:f>
              <c:numCache>
                <c:formatCode>General</c:formatCode>
                <c:ptCount val="120"/>
                <c:pt idx="5">
                  <c:v>37.895</c:v>
                </c:pt>
                <c:pt idx="6">
                  <c:v>54.07</c:v>
                </c:pt>
                <c:pt idx="7">
                  <c:v>178.135</c:v>
                </c:pt>
                <c:pt idx="8">
                  <c:v>240.154</c:v>
                </c:pt>
              </c:numCache>
            </c:numRef>
          </c:xVal>
          <c:yVal>
            <c:numRef>
              <c:f>Work!$DX$6:$DX$125</c:f>
              <c:numCache>
                <c:formatCode>General</c:formatCode>
                <c:ptCount val="120"/>
                <c:pt idx="5">
                  <c:v>-9.666</c:v>
                </c:pt>
                <c:pt idx="6">
                  <c:v>-9.667</c:v>
                </c:pt>
                <c:pt idx="7">
                  <c:v>-9.384</c:v>
                </c:pt>
                <c:pt idx="8">
                  <c:v>-9.352</c:v>
                </c:pt>
              </c:numCache>
            </c:numRef>
          </c:yVal>
          <c:smooth val="1"/>
        </c:ser>
        <c:axId val="24223854"/>
        <c:axId val="61088821"/>
      </c:scatterChart>
      <c:valAx>
        <c:axId val="24223854"/>
        <c:scaling>
          <c:logBase val="10"/>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Area 44 (Vs), log scale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088821"/>
        <c:crosses val="autoZero"/>
        <c:crossBetween val="midCat"/>
      </c:valAx>
      <c:valAx>
        <c:axId val="6108882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d13C after blank (permil)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223854"/>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Nitrogen drift monitors, before and after the correction</a:t>
            </a:r>
          </a:p>
        </c:rich>
      </c:tx>
      <c:overlay val="0"/>
      <c:spPr>
        <a:noFill/>
        <a:ln w="0">
          <a:noFill/>
        </a:ln>
      </c:spPr>
    </c:title>
    <c:autoTitleDeleted val="0"/>
    <c:plotArea>
      <c:scatterChart>
        <c:scatterStyle val="lineMarker"/>
        <c:varyColors val="0"/>
        <c:ser>
          <c:idx val="0"/>
          <c:order val="0"/>
          <c:tx>
            <c:strRef>
              <c:f>"after linearity, in the fit"</c:f>
              <c:strCache>
                <c:ptCount val="1"/>
                <c:pt idx="0">
                  <c:v>after linearity, in the fit</c:v>
                </c:pt>
              </c:strCache>
            </c:strRef>
          </c:tx>
          <c:spPr>
            <a:solidFill>
              <a:srgbClr val="1b7f5a"/>
            </a:solidFill>
            <a:ln w="28440">
              <a:noFill/>
            </a:ln>
          </c:spPr>
          <c:marker>
            <c:symbol val="circle"/>
            <c:size val="6"/>
            <c:spPr>
              <a:solidFill>
                <a:srgbClr val="1b7f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Work!$DP$6:$DP$125</c:f>
              <c:numCache>
                <c:formatCode>General</c:formatCode>
                <c:ptCount val="120"/>
                <c:pt idx="9">
                  <c:v>-5.523</c:v>
                </c:pt>
                <c:pt idx="13">
                  <c:v>-5.744</c:v>
                </c:pt>
                <c:pt idx="17">
                  <c:v>-5.945</c:v>
                </c:pt>
                <c:pt idx="21">
                  <c:v>-5.874</c:v>
                </c:pt>
                <c:pt idx="25">
                  <c:v>-6.094</c:v>
                </c:pt>
                <c:pt idx="29">
                  <c:v>-6.19</c:v>
                </c:pt>
                <c:pt idx="33">
                  <c:v>-6.213</c:v>
                </c:pt>
                <c:pt idx="37">
                  <c:v>-6.426</c:v>
                </c:pt>
                <c:pt idx="41">
                  <c:v>-6.24</c:v>
                </c:pt>
                <c:pt idx="45">
                  <c:v>-6.231</c:v>
                </c:pt>
                <c:pt idx="49">
                  <c:v>-6.161</c:v>
                </c:pt>
                <c:pt idx="53">
                  <c:v>-6.297</c:v>
                </c:pt>
                <c:pt idx="54">
                  <c:v>-6.395</c:v>
                </c:pt>
              </c:numCache>
            </c:numRef>
          </c:yVal>
          <c:smooth val="1"/>
        </c:ser>
        <c:ser>
          <c:idx val="1"/>
          <c:order val="1"/>
          <c:tx>
            <c:strRef>
              <c:f>"after linearity, left out"</c:f>
              <c:strCache>
                <c:ptCount val="1"/>
                <c:pt idx="0">
                  <c:v>after linearity, left out</c:v>
                </c:pt>
              </c:strCache>
            </c:strRef>
          </c:tx>
          <c:spPr>
            <a:solidFill>
              <a:srgbClr val="ffffff"/>
            </a:solidFill>
            <a:ln w="28440">
              <a:noFill/>
            </a:ln>
          </c:spPr>
          <c:marker>
            <c:symbol val="circle"/>
            <c:size val="6"/>
            <c:spPr>
              <a:solidFill>
                <a:srgbClr val="fffff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Work!$DQ$6:$DQ$125</c:f>
              <c:numCache>
                <c:formatCode>General</c:formatCode>
                <c:ptCount val="120"/>
              </c:numCache>
            </c:numRef>
          </c:yVal>
          <c:smooth val="1"/>
        </c:ser>
        <c:ser>
          <c:idx val="2"/>
          <c:order val="2"/>
          <c:tx>
            <c:strRef>
              <c:f>"after the drift correction"</c:f>
              <c:strCache>
                <c:ptCount val="1"/>
                <c:pt idx="0">
                  <c:v>after the drift correction</c:v>
                </c:pt>
              </c:strCache>
            </c:strRef>
          </c:tx>
          <c:spPr>
            <a:solidFill>
              <a:srgbClr val="b2182b"/>
            </a:solidFill>
            <a:ln w="28440">
              <a:noFill/>
            </a:ln>
          </c:spPr>
          <c:marker>
            <c:symbol val="circle"/>
            <c:size val="4"/>
            <c:spPr>
              <a:solidFill>
                <a:srgbClr val="b2182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Work!$DR$6:$DR$125</c:f>
              <c:numCache>
                <c:formatCode>General</c:formatCode>
                <c:ptCount val="120"/>
                <c:pt idx="9">
                  <c:v>-5.87369954986828</c:v>
                </c:pt>
                <c:pt idx="13">
                  <c:v>-6.03568214989045</c:v>
                </c:pt>
                <c:pt idx="17">
                  <c:v>-6.17766474991262</c:v>
                </c:pt>
                <c:pt idx="21">
                  <c:v>-6.04764734993478</c:v>
                </c:pt>
                <c:pt idx="25">
                  <c:v>-6.20862994995695</c:v>
                </c:pt>
                <c:pt idx="29">
                  <c:v>-6.24561254997911</c:v>
                </c:pt>
                <c:pt idx="33">
                  <c:v>-6.20959515000128</c:v>
                </c:pt>
                <c:pt idx="37">
                  <c:v>-6.36357775002344</c:v>
                </c:pt>
                <c:pt idx="41">
                  <c:v>-6.11856035004561</c:v>
                </c:pt>
                <c:pt idx="45">
                  <c:v>-6.05054295006778</c:v>
                </c:pt>
                <c:pt idx="49">
                  <c:v>-5.92152555008994</c:v>
                </c:pt>
                <c:pt idx="53">
                  <c:v>-5.99850815011211</c:v>
                </c:pt>
                <c:pt idx="54">
                  <c:v>-6.08175380011765</c:v>
                </c:pt>
              </c:numCache>
            </c:numRef>
          </c:yVal>
          <c:smooth val="1"/>
        </c:ser>
        <c:axId val="25633993"/>
        <c:axId val="24844531"/>
      </c:scatterChart>
      <c:valAx>
        <c:axId val="2563399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844531"/>
        <c:crosses val="autoZero"/>
        <c:crossBetween val="midCat"/>
      </c:valAx>
      <c:valAx>
        <c:axId val="248445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d15N, raw scale (permil)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633993"/>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Carbon drift monitors, before and after the correction</a:t>
            </a:r>
          </a:p>
        </c:rich>
      </c:tx>
      <c:overlay val="0"/>
      <c:spPr>
        <a:noFill/>
        <a:ln w="0">
          <a:noFill/>
        </a:ln>
      </c:spPr>
    </c:title>
    <c:autoTitleDeleted val="0"/>
    <c:plotArea>
      <c:scatterChart>
        <c:scatterStyle val="lineMarker"/>
        <c:varyColors val="0"/>
        <c:ser>
          <c:idx val="0"/>
          <c:order val="0"/>
          <c:tx>
            <c:strRef>
              <c:f>"after linearity, in the fit"</c:f>
              <c:strCache>
                <c:ptCount val="1"/>
                <c:pt idx="0">
                  <c:v>after linearity, in the fit</c:v>
                </c:pt>
              </c:strCache>
            </c:strRef>
          </c:tx>
          <c:spPr>
            <a:solidFill>
              <a:srgbClr val="1b7f5a"/>
            </a:solidFill>
            <a:ln w="28440">
              <a:noFill/>
            </a:ln>
          </c:spPr>
          <c:marker>
            <c:symbol val="circle"/>
            <c:size val="6"/>
            <c:spPr>
              <a:solidFill>
                <a:srgbClr val="1b7f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Work!$EA$6:$EA$125</c:f>
              <c:numCache>
                <c:formatCode>General</c:formatCode>
                <c:ptCount val="120"/>
                <c:pt idx="9">
                  <c:v>-9.54784053144367</c:v>
                </c:pt>
                <c:pt idx="13">
                  <c:v>-9.59919169086634</c:v>
                </c:pt>
                <c:pt idx="17">
                  <c:v>-9.46239410905151</c:v>
                </c:pt>
                <c:pt idx="21">
                  <c:v>-9.54306049902886</c:v>
                </c:pt>
                <c:pt idx="25">
                  <c:v>-9.43590628419798</c:v>
                </c:pt>
                <c:pt idx="29">
                  <c:v>-9.49029646682359</c:v>
                </c:pt>
                <c:pt idx="33">
                  <c:v>-9.46909616767543</c:v>
                </c:pt>
                <c:pt idx="37">
                  <c:v>-9.42605804715544</c:v>
                </c:pt>
                <c:pt idx="41">
                  <c:v>-9.49920929371607</c:v>
                </c:pt>
                <c:pt idx="45">
                  <c:v>-9.42094258018685</c:v>
                </c:pt>
                <c:pt idx="49">
                  <c:v>-9.49792259807867</c:v>
                </c:pt>
                <c:pt idx="53">
                  <c:v>-9.39778069606459</c:v>
                </c:pt>
                <c:pt idx="54">
                  <c:v>-9.4369070951007</c:v>
                </c:pt>
              </c:numCache>
            </c:numRef>
          </c:yVal>
          <c:smooth val="1"/>
        </c:ser>
        <c:ser>
          <c:idx val="1"/>
          <c:order val="1"/>
          <c:tx>
            <c:strRef>
              <c:f>"after linearity, left out"</c:f>
              <c:strCache>
                <c:ptCount val="1"/>
                <c:pt idx="0">
                  <c:v>after linearity, left out</c:v>
                </c:pt>
              </c:strCache>
            </c:strRef>
          </c:tx>
          <c:spPr>
            <a:solidFill>
              <a:srgbClr val="ffffff"/>
            </a:solidFill>
            <a:ln w="28440">
              <a:noFill/>
            </a:ln>
          </c:spPr>
          <c:marker>
            <c:symbol val="circle"/>
            <c:size val="6"/>
            <c:spPr>
              <a:solidFill>
                <a:srgbClr val="fffff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Work!$EB$6:$EB$125</c:f>
              <c:numCache>
                <c:formatCode>General</c:formatCode>
                <c:ptCount val="120"/>
              </c:numCache>
            </c:numRef>
          </c:yVal>
          <c:smooth val="1"/>
        </c:ser>
        <c:ser>
          <c:idx val="2"/>
          <c:order val="2"/>
          <c:tx>
            <c:strRef>
              <c:f>"after the drift correction"</c:f>
              <c:strCache>
                <c:ptCount val="1"/>
                <c:pt idx="0">
                  <c:v>after the drift correction</c:v>
                </c:pt>
              </c:strCache>
            </c:strRef>
          </c:tx>
          <c:spPr>
            <a:solidFill>
              <a:srgbClr val="b2182b"/>
            </a:solidFill>
            <a:ln w="28440">
              <a:noFill/>
            </a:ln>
          </c:spPr>
          <c:marker>
            <c:symbol val="circle"/>
            <c:size val="4"/>
            <c:spPr>
              <a:solidFill>
                <a:srgbClr val="b2182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Work!$EC$6:$EC$125</c:f>
              <c:numCache>
                <c:formatCode>General</c:formatCode>
                <c:ptCount val="120"/>
                <c:pt idx="9">
                  <c:v>-9.48609598083839</c:v>
                </c:pt>
                <c:pt idx="13">
                  <c:v>-9.54783780897134</c:v>
                </c:pt>
                <c:pt idx="17">
                  <c:v>-9.42143089586679</c:v>
                </c:pt>
                <c:pt idx="21">
                  <c:v>-9.5124879545544</c:v>
                </c:pt>
                <c:pt idx="25">
                  <c:v>-9.4157244084338</c:v>
                </c:pt>
                <c:pt idx="29">
                  <c:v>-9.48050525976968</c:v>
                </c:pt>
                <c:pt idx="33">
                  <c:v>-9.4696956293318</c:v>
                </c:pt>
                <c:pt idx="37">
                  <c:v>-9.43704817752208</c:v>
                </c:pt>
                <c:pt idx="41">
                  <c:v>-9.52059009279298</c:v>
                </c:pt>
                <c:pt idx="45">
                  <c:v>-9.45271404797403</c:v>
                </c:pt>
                <c:pt idx="49">
                  <c:v>-9.54008473457612</c:v>
                </c:pt>
                <c:pt idx="53">
                  <c:v>-9.45033350127231</c:v>
                </c:pt>
                <c:pt idx="54">
                  <c:v>-9.492057567486</c:v>
                </c:pt>
              </c:numCache>
            </c:numRef>
          </c:yVal>
          <c:smooth val="1"/>
        </c:ser>
        <c:axId val="36809157"/>
        <c:axId val="22145057"/>
      </c:scatterChart>
      <c:valAx>
        <c:axId val="36809157"/>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145057"/>
        <c:crosses val="autoZero"/>
        <c:crossBetween val="midCat"/>
      </c:valAx>
      <c:valAx>
        <c:axId val="2214505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d13C, raw scale (permil)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6809157"/>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Mass-28 background across the run</a:t>
            </a:r>
          </a:p>
        </c:rich>
      </c:tx>
      <c:overlay val="0"/>
      <c:spPr>
        <a:noFill/>
        <a:ln w="0">
          <a:noFill/>
        </a:ln>
      </c:spPr>
    </c:title>
    <c:autoTitleDeleted val="0"/>
    <c:plotArea>
      <c:scatterChart>
        <c:scatterStyle val="lineMarker"/>
        <c:varyColors val="0"/>
        <c:ser>
          <c:idx val="0"/>
          <c:order val="0"/>
          <c:tx>
            <c:strRef>
              <c:f>"under each sample peak"</c:f>
              <c:strCache>
                <c:ptCount val="1"/>
                <c:pt idx="0">
                  <c:v>under each sample peak</c:v>
                </c:pt>
              </c:strCache>
            </c:strRef>
          </c:tx>
          <c:spPr>
            <a:solidFill>
              <a:srgbClr val="7f7f7f"/>
            </a:solidFill>
            <a:ln w="28440">
              <a:noFill/>
            </a:ln>
          </c:spPr>
          <c:marker>
            <c:symbol val="circle"/>
            <c:size val="4"/>
            <c:spPr>
              <a:solidFill>
                <a:srgbClr val="7f7f7f"/>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Work!$DH$6:$DH$125</c:f>
              <c:numCache>
                <c:formatCode>0.0</c:formatCode>
                <c:ptCount val="120"/>
                <c:pt idx="0">
                  <c:v>38.6</c:v>
                </c:pt>
                <c:pt idx="1">
                  <c:v>37.2</c:v>
                </c:pt>
                <c:pt idx="2">
                  <c:v>36.4</c:v>
                </c:pt>
                <c:pt idx="3">
                  <c:v>35.2</c:v>
                </c:pt>
                <c:pt idx="5">
                  <c:v>33.1</c:v>
                </c:pt>
                <c:pt idx="6">
                  <c:v>32.3</c:v>
                </c:pt>
                <c:pt idx="7">
                  <c:v>31.6</c:v>
                </c:pt>
                <c:pt idx="8">
                  <c:v>30.8</c:v>
                </c:pt>
                <c:pt idx="9">
                  <c:v>30.3</c:v>
                </c:pt>
                <c:pt idx="10">
                  <c:v>30</c:v>
                </c:pt>
                <c:pt idx="11">
                  <c:v>29.5</c:v>
                </c:pt>
                <c:pt idx="12">
                  <c:v>29</c:v>
                </c:pt>
                <c:pt idx="13">
                  <c:v>28.6</c:v>
                </c:pt>
                <c:pt idx="14">
                  <c:v>28.2</c:v>
                </c:pt>
                <c:pt idx="15">
                  <c:v>27.9</c:v>
                </c:pt>
                <c:pt idx="16">
                  <c:v>27.6</c:v>
                </c:pt>
                <c:pt idx="17">
                  <c:v>27.3</c:v>
                </c:pt>
                <c:pt idx="18">
                  <c:v>26.9</c:v>
                </c:pt>
                <c:pt idx="19">
                  <c:v>26.7</c:v>
                </c:pt>
                <c:pt idx="20">
                  <c:v>26.4</c:v>
                </c:pt>
                <c:pt idx="21">
                  <c:v>26.1</c:v>
                </c:pt>
                <c:pt idx="22">
                  <c:v>26</c:v>
                </c:pt>
                <c:pt idx="23">
                  <c:v>25.7</c:v>
                </c:pt>
                <c:pt idx="24">
                  <c:v>25.6</c:v>
                </c:pt>
                <c:pt idx="25">
                  <c:v>25.5</c:v>
                </c:pt>
                <c:pt idx="26">
                  <c:v>25.4</c:v>
                </c:pt>
                <c:pt idx="27">
                  <c:v>25.3</c:v>
                </c:pt>
                <c:pt idx="28">
                  <c:v>25.1</c:v>
                </c:pt>
                <c:pt idx="29">
                  <c:v>25.1</c:v>
                </c:pt>
                <c:pt idx="30">
                  <c:v>25</c:v>
                </c:pt>
                <c:pt idx="31">
                  <c:v>24.9</c:v>
                </c:pt>
                <c:pt idx="32">
                  <c:v>24.7</c:v>
                </c:pt>
                <c:pt idx="33">
                  <c:v>24.8</c:v>
                </c:pt>
                <c:pt idx="34">
                  <c:v>24.6</c:v>
                </c:pt>
                <c:pt idx="35">
                  <c:v>24.5</c:v>
                </c:pt>
                <c:pt idx="36">
                  <c:v>24.5</c:v>
                </c:pt>
                <c:pt idx="37">
                  <c:v>24.5</c:v>
                </c:pt>
                <c:pt idx="38">
                  <c:v>24.4</c:v>
                </c:pt>
                <c:pt idx="39">
                  <c:v>24.3</c:v>
                </c:pt>
                <c:pt idx="40">
                  <c:v>24.1</c:v>
                </c:pt>
                <c:pt idx="41">
                  <c:v>24.1</c:v>
                </c:pt>
                <c:pt idx="42">
                  <c:v>24.1</c:v>
                </c:pt>
                <c:pt idx="43">
                  <c:v>24</c:v>
                </c:pt>
                <c:pt idx="44">
                  <c:v>24</c:v>
                </c:pt>
                <c:pt idx="45">
                  <c:v>23.9</c:v>
                </c:pt>
                <c:pt idx="46">
                  <c:v>24.1</c:v>
                </c:pt>
                <c:pt idx="47">
                  <c:v>23.9</c:v>
                </c:pt>
                <c:pt idx="48">
                  <c:v>24.1</c:v>
                </c:pt>
                <c:pt idx="49">
                  <c:v>24.2</c:v>
                </c:pt>
                <c:pt idx="50">
                  <c:v>24.1</c:v>
                </c:pt>
                <c:pt idx="51">
                  <c:v>24</c:v>
                </c:pt>
                <c:pt idx="52">
                  <c:v>25.7</c:v>
                </c:pt>
                <c:pt idx="53">
                  <c:v>23.8</c:v>
                </c:pt>
                <c:pt idx="54">
                  <c:v>24</c:v>
                </c:pt>
                <c:pt idx="55">
                  <c:v>25.7</c:v>
                </c:pt>
              </c:numCache>
            </c:numRef>
          </c:yVal>
          <c:smooth val="1"/>
        </c:ser>
        <c:ser>
          <c:idx val="1"/>
          <c:order val="1"/>
          <c:tx>
            <c:strRef>
              <c:f>"under the drift monitors"</c:f>
              <c:strCache>
                <c:ptCount val="1"/>
                <c:pt idx="0">
                  <c:v>under the drift monitors</c:v>
                </c:pt>
              </c:strCache>
            </c:strRef>
          </c:tx>
          <c:spPr>
            <a:solidFill>
              <a:srgbClr val="1b7f5a"/>
            </a:solidFill>
            <a:ln w="28440">
              <a:noFill/>
            </a:ln>
          </c:spPr>
          <c:marker>
            <c:symbol val="circle"/>
            <c:size val="6"/>
            <c:spPr>
              <a:solidFill>
                <a:srgbClr val="1b7f5a"/>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trendline>
            <c:spPr>
              <a:ln w="9360">
                <a:solidFill>
                  <a:srgbClr val="000000"/>
                </a:solidFill>
                <a:round/>
              </a:ln>
            </c:spPr>
            <c:trendlineType val="linear"/>
            <c:forward val="0"/>
            <c:backward val="0"/>
            <c:dispRSqr val="0"/>
            <c:dispEq val="0"/>
          </c:trendline>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Work!$DI$6:$DI$125</c:f>
              <c:numCache>
                <c:formatCode>General</c:formatCode>
                <c:ptCount val="120"/>
                <c:pt idx="9">
                  <c:v>30.3</c:v>
                </c:pt>
                <c:pt idx="13">
                  <c:v>28.6</c:v>
                </c:pt>
                <c:pt idx="17">
                  <c:v>27.3</c:v>
                </c:pt>
                <c:pt idx="21">
                  <c:v>26.1</c:v>
                </c:pt>
                <c:pt idx="25">
                  <c:v>25.5</c:v>
                </c:pt>
                <c:pt idx="29">
                  <c:v>25.1</c:v>
                </c:pt>
                <c:pt idx="33">
                  <c:v>24.8</c:v>
                </c:pt>
                <c:pt idx="37">
                  <c:v>24.5</c:v>
                </c:pt>
                <c:pt idx="41">
                  <c:v>24.1</c:v>
                </c:pt>
                <c:pt idx="45">
                  <c:v>23.9</c:v>
                </c:pt>
                <c:pt idx="49">
                  <c:v>24.2</c:v>
                </c:pt>
                <c:pt idx="53">
                  <c:v>23.8</c:v>
                </c:pt>
                <c:pt idx="54">
                  <c:v>24</c:v>
                </c:pt>
              </c:numCache>
            </c:numRef>
          </c:yVal>
          <c:smooth val="1"/>
        </c:ser>
        <c:ser>
          <c:idx val="2"/>
          <c:order val="2"/>
          <c:tx>
            <c:strRef>
              <c:f>"on the reference peaks"</c:f>
              <c:strCache>
                <c:ptCount val="1"/>
                <c:pt idx="0">
                  <c:v>on the reference peaks</c:v>
                </c:pt>
              </c:strCache>
            </c:strRef>
          </c:tx>
          <c:spPr>
            <a:solidFill>
              <a:srgbClr val="1f4e79"/>
            </a:solidFill>
            <a:ln w="15120">
              <a:solidFill>
                <a:srgbClr val="1f4e79"/>
              </a:solidFill>
              <a:round/>
            </a:ln>
          </c:spPr>
          <c:marker>
            <c:symbol val="circle"/>
            <c:size val="5"/>
            <c:spPr>
              <a:solidFill>
                <a:srgbClr val="1f4e79"/>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Work!$DG$6:$DG$125</c:f>
              <c:numCache>
                <c:formatCode>0.0</c:formatCode>
                <c:ptCount val="120"/>
                <c:pt idx="0">
                  <c:v>34.2</c:v>
                </c:pt>
                <c:pt idx="1">
                  <c:v>33.2</c:v>
                </c:pt>
                <c:pt idx="2">
                  <c:v>32.7</c:v>
                </c:pt>
                <c:pt idx="3">
                  <c:v>31.8</c:v>
                </c:pt>
                <c:pt idx="4">
                  <c:v>30.8</c:v>
                </c:pt>
                <c:pt idx="5">
                  <c:v>30</c:v>
                </c:pt>
                <c:pt idx="6">
                  <c:v>29.4</c:v>
                </c:pt>
                <c:pt idx="7">
                  <c:v>28.9</c:v>
                </c:pt>
                <c:pt idx="8">
                  <c:v>28.5</c:v>
                </c:pt>
                <c:pt idx="9">
                  <c:v>28.1</c:v>
                </c:pt>
                <c:pt idx="10">
                  <c:v>27.7</c:v>
                </c:pt>
                <c:pt idx="11">
                  <c:v>27.3</c:v>
                </c:pt>
                <c:pt idx="12">
                  <c:v>27</c:v>
                </c:pt>
                <c:pt idx="13">
                  <c:v>26.7</c:v>
                </c:pt>
                <c:pt idx="14">
                  <c:v>26.4</c:v>
                </c:pt>
                <c:pt idx="15">
                  <c:v>26.1</c:v>
                </c:pt>
                <c:pt idx="16">
                  <c:v>25.9</c:v>
                </c:pt>
                <c:pt idx="17">
                  <c:v>25.7</c:v>
                </c:pt>
                <c:pt idx="18">
                  <c:v>25.4</c:v>
                </c:pt>
                <c:pt idx="19">
                  <c:v>25.3</c:v>
                </c:pt>
                <c:pt idx="20">
                  <c:v>25.1</c:v>
                </c:pt>
                <c:pt idx="21">
                  <c:v>24.8</c:v>
                </c:pt>
                <c:pt idx="22">
                  <c:v>24.7</c:v>
                </c:pt>
                <c:pt idx="23">
                  <c:v>24.4</c:v>
                </c:pt>
                <c:pt idx="24">
                  <c:v>24.4</c:v>
                </c:pt>
                <c:pt idx="25">
                  <c:v>24.3</c:v>
                </c:pt>
                <c:pt idx="26">
                  <c:v>24.2</c:v>
                </c:pt>
                <c:pt idx="27">
                  <c:v>24.1</c:v>
                </c:pt>
                <c:pt idx="28">
                  <c:v>24.1</c:v>
                </c:pt>
                <c:pt idx="29">
                  <c:v>24.1</c:v>
                </c:pt>
                <c:pt idx="30">
                  <c:v>23.9</c:v>
                </c:pt>
                <c:pt idx="31">
                  <c:v>23.9</c:v>
                </c:pt>
                <c:pt idx="32">
                  <c:v>23.7</c:v>
                </c:pt>
                <c:pt idx="33">
                  <c:v>23.9</c:v>
                </c:pt>
                <c:pt idx="34">
                  <c:v>23.7</c:v>
                </c:pt>
                <c:pt idx="35">
                  <c:v>23.6</c:v>
                </c:pt>
                <c:pt idx="36">
                  <c:v>23.5</c:v>
                </c:pt>
                <c:pt idx="37">
                  <c:v>23.6</c:v>
                </c:pt>
                <c:pt idx="38">
                  <c:v>23.5</c:v>
                </c:pt>
                <c:pt idx="39">
                  <c:v>23.4</c:v>
                </c:pt>
                <c:pt idx="40">
                  <c:v>23.2</c:v>
                </c:pt>
                <c:pt idx="41">
                  <c:v>23.2</c:v>
                </c:pt>
                <c:pt idx="42">
                  <c:v>23.3</c:v>
                </c:pt>
                <c:pt idx="43">
                  <c:v>23.2</c:v>
                </c:pt>
                <c:pt idx="44">
                  <c:v>23.1</c:v>
                </c:pt>
                <c:pt idx="45">
                  <c:v>23.1</c:v>
                </c:pt>
                <c:pt idx="46">
                  <c:v>23.3</c:v>
                </c:pt>
                <c:pt idx="47">
                  <c:v>23.1</c:v>
                </c:pt>
                <c:pt idx="48">
                  <c:v>23.2</c:v>
                </c:pt>
                <c:pt idx="49">
                  <c:v>23.3</c:v>
                </c:pt>
                <c:pt idx="50">
                  <c:v>23.3</c:v>
                </c:pt>
                <c:pt idx="51">
                  <c:v>23.2</c:v>
                </c:pt>
                <c:pt idx="52">
                  <c:v>23.2</c:v>
                </c:pt>
                <c:pt idx="53">
                  <c:v>23</c:v>
                </c:pt>
                <c:pt idx="54">
                  <c:v>23.2</c:v>
                </c:pt>
                <c:pt idx="55">
                  <c:v>23.2</c:v>
                </c:pt>
              </c:numCache>
            </c:numRef>
          </c:yVal>
          <c:smooth val="1"/>
        </c:ser>
        <c:ser>
          <c:idx val="3"/>
          <c:order val="3"/>
          <c:tx>
            <c:strRef>
              <c:f>"flagged for possible carryover"</c:f>
              <c:strCache>
                <c:ptCount val="1"/>
                <c:pt idx="0">
                  <c:v>flagged for possible carryover</c:v>
                </c:pt>
              </c:strCache>
            </c:strRef>
          </c:tx>
          <c:spPr>
            <a:solidFill>
              <a:srgbClr val="b2182b"/>
            </a:solidFill>
            <a:ln w="28440">
              <a:noFill/>
            </a:ln>
          </c:spPr>
          <c:marker>
            <c:symbol val="circle"/>
            <c:size val="7"/>
            <c:spPr>
              <a:solidFill>
                <a:srgbClr val="b2182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Work!$DF$6:$DF$125</c:f>
              <c:numCache>
                <c:formatCode>General</c:formatCode>
                <c:ptCount val="1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numCache>
            </c:numRef>
          </c:xVal>
          <c:yVal>
            <c:numRef>
              <c:f>Work!$EH$6:$EH$125</c:f>
              <c:numCache>
                <c:formatCode>General</c:formatCode>
                <c:ptCount val="120"/>
              </c:numCache>
            </c:numRef>
          </c:yVal>
          <c:smooth val="1"/>
        </c:ser>
        <c:axId val="51063573"/>
        <c:axId val="87361290"/>
      </c:scatterChart>
      <c:valAx>
        <c:axId val="51063573"/>
        <c:scaling>
          <c:orientation val="minMax"/>
        </c:scaling>
        <c:delete val="0"/>
        <c:axPos val="b"/>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Autosampler position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361290"/>
        <c:crosses val="autoZero"/>
        <c:crossBetween val="midCat"/>
      </c:valAx>
      <c:valAx>
        <c:axId val="8736129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Background (mV)</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063573"/>
        <c:crosses val="autoZero"/>
        <c:crossBetween val="midCat"/>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8</xdr:row>
      <xdr:rowOff>160920</xdr:rowOff>
    </xdr:from>
    <xdr:to>
      <xdr:col>17</xdr:col>
      <xdr:colOff>579240</xdr:colOff>
      <xdr:row>22</xdr:row>
      <xdr:rowOff>157320</xdr:rowOff>
    </xdr:to>
    <xdr:graphicFrame>
      <xdr:nvGraphicFramePr>
        <xdr:cNvPr id="0" name="Chart 1"/>
        <xdr:cNvGraphicFramePr/>
      </xdr:nvGraphicFramePr>
      <xdr:xfrm>
        <a:off x="10127160" y="1714680"/>
        <a:ext cx="4859640" cy="266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0</xdr:colOff>
      <xdr:row>8</xdr:row>
      <xdr:rowOff>160920</xdr:rowOff>
    </xdr:from>
    <xdr:to>
      <xdr:col>26</xdr:col>
      <xdr:colOff>578880</xdr:colOff>
      <xdr:row>22</xdr:row>
      <xdr:rowOff>157320</xdr:rowOff>
    </xdr:to>
    <xdr:graphicFrame>
      <xdr:nvGraphicFramePr>
        <xdr:cNvPr id="1" name="Chart 2"/>
        <xdr:cNvGraphicFramePr/>
      </xdr:nvGraphicFramePr>
      <xdr:xfrm>
        <a:off x="15630480" y="1714680"/>
        <a:ext cx="4859640" cy="266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23</xdr:row>
      <xdr:rowOff>160560</xdr:rowOff>
    </xdr:from>
    <xdr:to>
      <xdr:col>17</xdr:col>
      <xdr:colOff>579240</xdr:colOff>
      <xdr:row>37</xdr:row>
      <xdr:rowOff>157320</xdr:rowOff>
    </xdr:to>
    <xdr:graphicFrame>
      <xdr:nvGraphicFramePr>
        <xdr:cNvPr id="2" name="Chart 3"/>
        <xdr:cNvGraphicFramePr/>
      </xdr:nvGraphicFramePr>
      <xdr:xfrm>
        <a:off x="10127160" y="4572000"/>
        <a:ext cx="4859640" cy="266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23</xdr:row>
      <xdr:rowOff>160560</xdr:rowOff>
    </xdr:from>
    <xdr:to>
      <xdr:col>26</xdr:col>
      <xdr:colOff>578880</xdr:colOff>
      <xdr:row>37</xdr:row>
      <xdr:rowOff>157320</xdr:rowOff>
    </xdr:to>
    <xdr:graphicFrame>
      <xdr:nvGraphicFramePr>
        <xdr:cNvPr id="3" name="Chart 4"/>
        <xdr:cNvGraphicFramePr/>
      </xdr:nvGraphicFramePr>
      <xdr:xfrm>
        <a:off x="15630480" y="4572000"/>
        <a:ext cx="4859640" cy="2663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0</xdr:colOff>
      <xdr:row>38</xdr:row>
      <xdr:rowOff>160920</xdr:rowOff>
    </xdr:from>
    <xdr:to>
      <xdr:col>17</xdr:col>
      <xdr:colOff>579240</xdr:colOff>
      <xdr:row>52</xdr:row>
      <xdr:rowOff>157320</xdr:rowOff>
    </xdr:to>
    <xdr:graphicFrame>
      <xdr:nvGraphicFramePr>
        <xdr:cNvPr id="4" name="Chart 5"/>
        <xdr:cNvGraphicFramePr/>
      </xdr:nvGraphicFramePr>
      <xdr:xfrm>
        <a:off x="10127160" y="7429680"/>
        <a:ext cx="4859640" cy="2663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0</xdr:colOff>
      <xdr:row>38</xdr:row>
      <xdr:rowOff>160920</xdr:rowOff>
    </xdr:from>
    <xdr:to>
      <xdr:col>26</xdr:col>
      <xdr:colOff>578880</xdr:colOff>
      <xdr:row>52</xdr:row>
      <xdr:rowOff>157320</xdr:rowOff>
    </xdr:to>
    <xdr:graphicFrame>
      <xdr:nvGraphicFramePr>
        <xdr:cNvPr id="5" name="Chart 6"/>
        <xdr:cNvGraphicFramePr/>
      </xdr:nvGraphicFramePr>
      <xdr:xfrm>
        <a:off x="15630480" y="7429680"/>
        <a:ext cx="4859640" cy="2663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0</xdr:colOff>
      <xdr:row>53</xdr:row>
      <xdr:rowOff>160560</xdr:rowOff>
    </xdr:from>
    <xdr:to>
      <xdr:col>17</xdr:col>
      <xdr:colOff>579240</xdr:colOff>
      <xdr:row>67</xdr:row>
      <xdr:rowOff>157320</xdr:rowOff>
    </xdr:to>
    <xdr:graphicFrame>
      <xdr:nvGraphicFramePr>
        <xdr:cNvPr id="6" name="Chart 7"/>
        <xdr:cNvGraphicFramePr/>
      </xdr:nvGraphicFramePr>
      <xdr:xfrm>
        <a:off x="10127160" y="10287000"/>
        <a:ext cx="4859640" cy="2663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0</xdr:colOff>
      <xdr:row>53</xdr:row>
      <xdr:rowOff>160560</xdr:rowOff>
    </xdr:from>
    <xdr:to>
      <xdr:col>26</xdr:col>
      <xdr:colOff>578880</xdr:colOff>
      <xdr:row>67</xdr:row>
      <xdr:rowOff>157320</xdr:rowOff>
    </xdr:to>
    <xdr:graphicFrame>
      <xdr:nvGraphicFramePr>
        <xdr:cNvPr id="7" name="Chart 8"/>
        <xdr:cNvGraphicFramePr/>
      </xdr:nvGraphicFramePr>
      <xdr:xfrm>
        <a:off x="15630480" y="10287000"/>
        <a:ext cx="4859640" cy="2663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0</xdr:colOff>
      <xdr:row>91</xdr:row>
      <xdr:rowOff>160560</xdr:rowOff>
    </xdr:from>
    <xdr:to>
      <xdr:col>17</xdr:col>
      <xdr:colOff>579240</xdr:colOff>
      <xdr:row>105</xdr:row>
      <xdr:rowOff>157320</xdr:rowOff>
    </xdr:to>
    <xdr:graphicFrame>
      <xdr:nvGraphicFramePr>
        <xdr:cNvPr id="8" name="Chart 9"/>
        <xdr:cNvGraphicFramePr/>
      </xdr:nvGraphicFramePr>
      <xdr:xfrm>
        <a:off x="10127160" y="17525880"/>
        <a:ext cx="4859640" cy="2663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4"/>
  </cols>
  <sheetData>
    <row r="2" customFormat="false" ht="17.35" hidden="false" customHeight="false" outlineLevel="0" collapsed="false">
      <c r="B2" s="1" t="s">
        <v>0</v>
      </c>
    </row>
    <row r="4" customFormat="false" ht="23.85" hidden="false" customHeight="false" outlineLevel="0" collapsed="false">
      <c r="B4" s="2" t="s">
        <v>1</v>
      </c>
    </row>
    <row r="6" customFormat="false" ht="15" hidden="false" customHeight="false" outlineLevel="0" collapsed="false">
      <c r="B6" s="3" t="s">
        <v>2</v>
      </c>
    </row>
    <row r="7" customFormat="false" ht="35.05" hidden="false" customHeight="false" outlineLevel="0" collapsed="false">
      <c r="B7" s="2" t="s">
        <v>3</v>
      </c>
    </row>
    <row r="8" customFormat="false" ht="35.05" hidden="false" customHeight="false" outlineLevel="0" collapsed="false">
      <c r="B8" s="2" t="s">
        <v>4</v>
      </c>
    </row>
    <row r="9" customFormat="false" ht="23.85" hidden="false" customHeight="false" outlineLevel="0" collapsed="false">
      <c r="B9" s="2" t="s">
        <v>5</v>
      </c>
    </row>
    <row r="10" customFormat="false" ht="35.05" hidden="false" customHeight="false" outlineLevel="0" collapsed="false">
      <c r="B10" s="2" t="s">
        <v>6</v>
      </c>
    </row>
    <row r="11" customFormat="false" ht="23.85" hidden="false" customHeight="false" outlineLevel="0" collapsed="false">
      <c r="B11" s="2" t="s">
        <v>7</v>
      </c>
    </row>
    <row r="13" customFormat="false" ht="15" hidden="false" customHeight="false" outlineLevel="0" collapsed="false">
      <c r="B13" s="3" t="s">
        <v>8</v>
      </c>
    </row>
    <row r="14" customFormat="false" ht="23.85" hidden="false" customHeight="false" outlineLevel="0" collapsed="false">
      <c r="B14" s="2" t="s">
        <v>9</v>
      </c>
    </row>
    <row r="16" customFormat="false" ht="15" hidden="false" customHeight="false" outlineLevel="0" collapsed="false">
      <c r="B16" s="3" t="s">
        <v>10</v>
      </c>
    </row>
    <row r="17" customFormat="false" ht="15" hidden="false" customHeight="false" outlineLevel="0" collapsed="false">
      <c r="B17" s="4" t="s">
        <v>11</v>
      </c>
    </row>
    <row r="18" customFormat="false" ht="15" hidden="false" customHeight="false" outlineLevel="0" collapsed="false">
      <c r="B18" s="4" t="s">
        <v>12</v>
      </c>
    </row>
    <row r="19" customFormat="false" ht="22.35" hidden="false" customHeight="false" outlineLevel="0" collapsed="false">
      <c r="B19" s="4" t="s">
        <v>13</v>
      </c>
    </row>
    <row r="20" customFormat="false" ht="15" hidden="false" customHeight="false" outlineLevel="0" collapsed="false">
      <c r="B20" s="4" t="s">
        <v>14</v>
      </c>
    </row>
    <row r="21" customFormat="false" ht="15" hidden="false" customHeight="false" outlineLevel="0" collapsed="false">
      <c r="B21" s="4" t="s">
        <v>15</v>
      </c>
    </row>
    <row r="22" customFormat="false" ht="15" hidden="false" customHeight="false" outlineLevel="0" collapsed="false">
      <c r="B22" s="4" t="s">
        <v>16</v>
      </c>
    </row>
    <row r="24" customFormat="false" ht="15" hidden="false" customHeight="false" outlineLevel="0" collapsed="false">
      <c r="B24" s="3" t="s">
        <v>17</v>
      </c>
    </row>
    <row r="25" customFormat="false" ht="35.05" hidden="false" customHeight="false" outlineLevel="0" collapsed="false">
      <c r="B25" s="2" t="s">
        <v>18</v>
      </c>
    </row>
    <row r="26" customFormat="false" ht="35.05" hidden="false" customHeight="false" outlineLevel="0" collapsed="false">
      <c r="B26" s="2" t="s">
        <v>19</v>
      </c>
    </row>
    <row r="27" customFormat="false" ht="35.05" hidden="false" customHeight="false" outlineLevel="0" collapsed="false">
      <c r="B27" s="2" t="s">
        <v>20</v>
      </c>
    </row>
    <row r="29" customFormat="false" ht="79.85" hidden="false" customHeight="false" outlineLevel="0" collapsed="false">
      <c r="B29" s="2" t="s">
        <v>21</v>
      </c>
    </row>
    <row r="31" customFormat="false" ht="23.85" hidden="false" customHeight="false" outlineLevel="0" collapsed="false">
      <c r="B31" s="2" t="s">
        <v>22</v>
      </c>
    </row>
    <row r="33" customFormat="false" ht="15" hidden="false" customHeight="false" outlineLevel="0" collapsed="false">
      <c r="B33" s="3" t="s">
        <v>23</v>
      </c>
    </row>
    <row r="34" customFormat="false" ht="79.85" hidden="false" customHeight="false" outlineLevel="0" collapsed="false">
      <c r="B34" s="2" t="s">
        <v>24</v>
      </c>
    </row>
    <row r="36" customFormat="false" ht="15" hidden="false" customHeight="false" outlineLevel="0" collapsed="false">
      <c r="B36" s="3" t="s">
        <v>25</v>
      </c>
    </row>
    <row r="37" customFormat="false" ht="57.45" hidden="false" customHeight="false" outlineLevel="0" collapsed="false">
      <c r="B37" s="2" t="s">
        <v>26</v>
      </c>
    </row>
    <row r="38" customFormat="false" ht="35.05" hidden="false" customHeight="false" outlineLevel="0" collapsed="false">
      <c r="B38" s="2" t="s">
        <v>27</v>
      </c>
    </row>
    <row r="40" customFormat="false" ht="15" hidden="false" customHeight="false" outlineLevel="0" collapsed="false">
      <c r="B40" s="3" t="s">
        <v>28</v>
      </c>
    </row>
    <row r="41" customFormat="false" ht="35.05" hidden="false" customHeight="false" outlineLevel="0" collapsed="false">
      <c r="B41" s="2" t="s">
        <v>29</v>
      </c>
    </row>
    <row r="42" customFormat="false" ht="46.25" hidden="false" customHeight="false" outlineLevel="0" collapsed="false">
      <c r="B42" s="2" t="s">
        <v>30</v>
      </c>
    </row>
    <row r="43" customFormat="false" ht="23.85" hidden="false" customHeight="false" outlineLevel="0" collapsed="false">
      <c r="B43" s="2" t="s">
        <v>31</v>
      </c>
    </row>
    <row r="45" customFormat="false" ht="15" hidden="false" customHeight="false" outlineLevel="0" collapsed="false">
      <c r="B45" s="5"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1"/>
    <col collapsed="false" customWidth="true" hidden="false" outlineLevel="0" max="4" min="4" style="0" width="8"/>
    <col collapsed="false" customWidth="true" hidden="false" outlineLevel="0" max="6" min="5" style="0" width="9"/>
    <col collapsed="false" customWidth="true" hidden="false" outlineLevel="0" max="7" min="7" style="0" width="8"/>
    <col collapsed="false" customWidth="true" hidden="false" outlineLevel="0" max="8" min="8" style="0" width="9"/>
    <col collapsed="false" customWidth="true" hidden="false" outlineLevel="0" max="9" min="9" style="0" width="8"/>
    <col collapsed="false" customWidth="true" hidden="false" outlineLevel="0" max="11" min="10" style="0" width="9"/>
    <col collapsed="false" customWidth="true" hidden="false" outlineLevel="0" max="12" min="12" style="0" width="11"/>
    <col collapsed="false" customWidth="true" hidden="false" outlineLevel="0" max="13" min="13" style="0" width="12"/>
    <col collapsed="false" customWidth="true" hidden="false" outlineLevel="0" max="16" min="14" style="0" width="11"/>
    <col collapsed="false" customWidth="true" hidden="false" outlineLevel="0" max="17" min="17" style="0" width="3"/>
    <col collapsed="false" customWidth="true" hidden="false" outlineLevel="0" max="18" min="18" style="0" width="9"/>
    <col collapsed="false" customWidth="true" hidden="false" outlineLevel="0" max="19" min="19" style="0" width="13"/>
  </cols>
  <sheetData>
    <row r="1" customFormat="false" ht="22.35" hidden="false" customHeight="false" outlineLevel="0" collapsed="false">
      <c r="A1" s="6" t="s">
        <v>33</v>
      </c>
      <c r="B1" s="6" t="s">
        <v>34</v>
      </c>
      <c r="C1" s="6" t="s">
        <v>35</v>
      </c>
      <c r="D1" s="6" t="s">
        <v>36</v>
      </c>
      <c r="E1" s="6" t="s">
        <v>37</v>
      </c>
      <c r="F1" s="6" t="s">
        <v>38</v>
      </c>
      <c r="G1" s="6" t="s">
        <v>39</v>
      </c>
      <c r="H1" s="6" t="s">
        <v>40</v>
      </c>
      <c r="I1" s="6" t="s">
        <v>41</v>
      </c>
      <c r="J1" s="6" t="s">
        <v>42</v>
      </c>
      <c r="K1" s="6" t="s">
        <v>43</v>
      </c>
      <c r="L1" s="6" t="s">
        <v>44</v>
      </c>
      <c r="M1" s="6" t="s">
        <v>45</v>
      </c>
      <c r="N1" s="6" t="s">
        <v>46</v>
      </c>
      <c r="O1" s="6" t="s">
        <v>47</v>
      </c>
      <c r="P1" s="6" t="s">
        <v>48</v>
      </c>
      <c r="R1" s="7" t="s">
        <v>49</v>
      </c>
      <c r="S1" s="7" t="s">
        <v>50</v>
      </c>
      <c r="T1" s="5" t="s">
        <v>51</v>
      </c>
    </row>
    <row r="2" customFormat="false" ht="15" hidden="false" customHeight="false" outlineLevel="0" collapsed="false">
      <c r="A2" s="8" t="n">
        <v>56</v>
      </c>
      <c r="B2" s="8" t="s">
        <v>52</v>
      </c>
      <c r="E2" s="8" t="n">
        <v>0.397</v>
      </c>
      <c r="L2" s="8" t="s">
        <v>53</v>
      </c>
      <c r="M2" s="8" t="s">
        <v>54</v>
      </c>
      <c r="P2" s="8" t="s">
        <v>55</v>
      </c>
      <c r="R2" s="9" t="str">
        <f aca="false">IF($D2="","",IF($F2&lt;&gt;"","N",IF($J2&lt;&gt;"","C","")))</f>
        <v/>
      </c>
      <c r="S2" s="9" t="str">
        <f aca="false">IF($R2="","",$A2&amp;"|"&amp;$R2&amp;"|"&amp;$D2)</f>
        <v/>
      </c>
    </row>
    <row r="3" customFormat="false" ht="15" hidden="false" customHeight="false" outlineLevel="0" collapsed="false">
      <c r="A3" s="8" t="n">
        <v>56</v>
      </c>
      <c r="B3" s="8" t="s">
        <v>52</v>
      </c>
      <c r="D3" s="8" t="n">
        <v>1</v>
      </c>
      <c r="E3" s="8" t="n">
        <v>0.397</v>
      </c>
      <c r="F3" s="8" t="n">
        <v>673</v>
      </c>
      <c r="G3" s="8" t="n">
        <v>23.3</v>
      </c>
      <c r="H3" s="8" t="n">
        <v>13.036</v>
      </c>
      <c r="I3" s="8" t="n">
        <v>0</v>
      </c>
      <c r="N3" s="8" t="n">
        <v>-1.246</v>
      </c>
      <c r="R3" s="9" t="str">
        <f aca="false">IF($D3="","",IF($F3&lt;&gt;"","N",IF($J3&lt;&gt;"","C","")))</f>
        <v>N</v>
      </c>
      <c r="S3" s="9" t="str">
        <f aca="false">IF($R3="","",$A3&amp;"|"&amp;$R3&amp;"|"&amp;$D3)</f>
        <v>56|N|1</v>
      </c>
    </row>
    <row r="4" customFormat="false" ht="15" hidden="false" customHeight="false" outlineLevel="0" collapsed="false">
      <c r="A4" s="8" t="n">
        <v>56</v>
      </c>
      <c r="B4" s="8" t="s">
        <v>52</v>
      </c>
      <c r="D4" s="8" t="n">
        <v>2</v>
      </c>
      <c r="E4" s="8" t="n">
        <v>0.397</v>
      </c>
      <c r="F4" s="8" t="n">
        <v>677</v>
      </c>
      <c r="G4" s="8" t="n">
        <v>23.2</v>
      </c>
      <c r="H4" s="8" t="n">
        <v>13.038</v>
      </c>
      <c r="I4" s="8" t="n">
        <v>1</v>
      </c>
      <c r="N4" s="8" t="n">
        <v>-1.25</v>
      </c>
      <c r="R4" s="9" t="str">
        <f aca="false">IF($D4="","",IF($F4&lt;&gt;"","N",IF($J4&lt;&gt;"","C","")))</f>
        <v>N</v>
      </c>
      <c r="S4" s="9" t="str">
        <f aca="false">IF($R4="","",$A4&amp;"|"&amp;$R4&amp;"|"&amp;$D4)</f>
        <v>56|N|2</v>
      </c>
    </row>
    <row r="5" customFormat="false" ht="15" hidden="false" customHeight="false" outlineLevel="0" collapsed="false">
      <c r="A5" s="8" t="n">
        <v>56</v>
      </c>
      <c r="B5" s="8" t="s">
        <v>52</v>
      </c>
      <c r="D5" s="8" t="n">
        <v>3</v>
      </c>
      <c r="E5" s="8" t="n">
        <v>0.397</v>
      </c>
      <c r="F5" s="8" t="n">
        <v>92</v>
      </c>
      <c r="G5" s="8" t="n">
        <v>25.7</v>
      </c>
      <c r="H5" s="8" t="n">
        <v>2.058</v>
      </c>
      <c r="I5" s="8" t="n">
        <v>0</v>
      </c>
      <c r="N5" s="8" t="n">
        <v>-6.777</v>
      </c>
      <c r="R5" s="9" t="str">
        <f aca="false">IF($D5="","",IF($F5&lt;&gt;"","N",IF($J5&lt;&gt;"","C","")))</f>
        <v>N</v>
      </c>
      <c r="S5" s="9" t="str">
        <f aca="false">IF($R5="","",$A5&amp;"|"&amp;$R5&amp;"|"&amp;$D5)</f>
        <v>56|N|3</v>
      </c>
    </row>
    <row r="6" customFormat="false" ht="15" hidden="false" customHeight="false" outlineLevel="0" collapsed="false">
      <c r="A6" s="8" t="n">
        <v>56</v>
      </c>
      <c r="B6" s="8" t="s">
        <v>52</v>
      </c>
      <c r="D6" s="8" t="n">
        <v>4</v>
      </c>
      <c r="E6" s="8" t="n">
        <v>0.397</v>
      </c>
      <c r="I6" s="8" t="n">
        <v>1</v>
      </c>
      <c r="J6" s="8" t="n">
        <v>4720</v>
      </c>
      <c r="K6" s="8" t="n">
        <v>89.245</v>
      </c>
      <c r="O6" s="8" t="n">
        <v>-25.22</v>
      </c>
      <c r="R6" s="9" t="str">
        <f aca="false">IF($D6="","",IF($F6&lt;&gt;"","N",IF($J6&lt;&gt;"","C","")))</f>
        <v>C</v>
      </c>
      <c r="S6" s="9" t="str">
        <f aca="false">IF($R6="","",$A6&amp;"|"&amp;$R6&amp;"|"&amp;$D6)</f>
        <v>56|C|4</v>
      </c>
    </row>
    <row r="7" customFormat="false" ht="15" hidden="false" customHeight="false" outlineLevel="0" collapsed="false">
      <c r="A7" s="8" t="n">
        <v>56</v>
      </c>
      <c r="B7" s="8" t="s">
        <v>52</v>
      </c>
      <c r="D7" s="8" t="n">
        <v>5</v>
      </c>
      <c r="E7" s="8" t="n">
        <v>0.397</v>
      </c>
      <c r="I7" s="8" t="n">
        <v>0</v>
      </c>
      <c r="J7" s="8" t="n">
        <v>4685</v>
      </c>
      <c r="K7" s="8" t="n">
        <v>89.236</v>
      </c>
      <c r="O7" s="8" t="n">
        <v>-25.445</v>
      </c>
      <c r="R7" s="9" t="str">
        <f aca="false">IF($D7="","",IF($F7&lt;&gt;"","N",IF($J7&lt;&gt;"","C","")))</f>
        <v>C</v>
      </c>
      <c r="S7" s="9" t="str">
        <f aca="false">IF($R7="","",$A7&amp;"|"&amp;$R7&amp;"|"&amp;$D7)</f>
        <v>56|C|5</v>
      </c>
    </row>
    <row r="8" customFormat="false" ht="15" hidden="false" customHeight="false" outlineLevel="0" collapsed="false">
      <c r="A8" s="8" t="n">
        <v>56</v>
      </c>
      <c r="B8" s="8" t="s">
        <v>52</v>
      </c>
      <c r="D8" s="8" t="n">
        <v>6</v>
      </c>
      <c r="E8" s="8" t="n">
        <v>0.397</v>
      </c>
      <c r="I8" s="8" t="n">
        <v>0</v>
      </c>
      <c r="J8" s="8" t="n">
        <v>4746</v>
      </c>
      <c r="K8" s="8" t="n">
        <v>89.515</v>
      </c>
      <c r="O8" s="8" t="n">
        <v>-25.553</v>
      </c>
      <c r="R8" s="9" t="str">
        <f aca="false">IF($D8="","",IF($F8&lt;&gt;"","N",IF($J8&lt;&gt;"","C","")))</f>
        <v>C</v>
      </c>
      <c r="S8" s="9" t="str">
        <f aca="false">IF($R8="","",$A8&amp;"|"&amp;$R8&amp;"|"&amp;$D8)</f>
        <v>56|C|6</v>
      </c>
    </row>
    <row r="9" customFormat="false" ht="15" hidden="false" customHeight="false" outlineLevel="0" collapsed="false">
      <c r="A9" s="8" t="n">
        <v>55</v>
      </c>
      <c r="B9" s="8" t="s">
        <v>56</v>
      </c>
      <c r="E9" s="8" t="n">
        <v>0.397</v>
      </c>
      <c r="L9" s="8" t="s">
        <v>53</v>
      </c>
      <c r="M9" s="8" t="s">
        <v>57</v>
      </c>
      <c r="P9" s="8" t="s">
        <v>58</v>
      </c>
      <c r="R9" s="9" t="str">
        <f aca="false">IF($D9="","",IF($F9&lt;&gt;"","N",IF($J9&lt;&gt;"","C","")))</f>
        <v/>
      </c>
      <c r="S9" s="9" t="str">
        <f aca="false">IF($R9="","",$A9&amp;"|"&amp;$R9&amp;"|"&amp;$D9)</f>
        <v/>
      </c>
    </row>
    <row r="10" customFormat="false" ht="15" hidden="false" customHeight="false" outlineLevel="0" collapsed="false">
      <c r="A10" s="8" t="n">
        <v>55</v>
      </c>
      <c r="B10" s="8" t="s">
        <v>56</v>
      </c>
      <c r="E10" s="8" t="n">
        <v>0.397</v>
      </c>
      <c r="L10" s="8" t="s">
        <v>59</v>
      </c>
      <c r="M10" s="8" t="s">
        <v>60</v>
      </c>
      <c r="P10" s="8" t="s">
        <v>61</v>
      </c>
      <c r="R10" s="9" t="str">
        <f aca="false">IF($D10="","",IF($F10&lt;&gt;"","N",IF($J10&lt;&gt;"","C","")))</f>
        <v/>
      </c>
      <c r="S10" s="9" t="str">
        <f aca="false">IF($R10="","",$A10&amp;"|"&amp;$R10&amp;"|"&amp;$D10)</f>
        <v/>
      </c>
    </row>
    <row r="11" customFormat="false" ht="15" hidden="false" customHeight="false" outlineLevel="0" collapsed="false">
      <c r="A11" s="8" t="n">
        <v>55</v>
      </c>
      <c r="B11" s="8" t="s">
        <v>56</v>
      </c>
      <c r="D11" s="8" t="n">
        <v>1</v>
      </c>
      <c r="E11" s="8" t="n">
        <v>0.397</v>
      </c>
      <c r="F11" s="8" t="n">
        <v>672</v>
      </c>
      <c r="G11" s="8" t="n">
        <v>23.3</v>
      </c>
      <c r="H11" s="8" t="n">
        <v>13.021</v>
      </c>
      <c r="I11" s="8" t="n">
        <v>0</v>
      </c>
      <c r="N11" s="8" t="n">
        <v>-1.346</v>
      </c>
      <c r="R11" s="9" t="str">
        <f aca="false">IF($D11="","",IF($F11&lt;&gt;"","N",IF($J11&lt;&gt;"","C","")))</f>
        <v>N</v>
      </c>
      <c r="S11" s="9" t="str">
        <f aca="false">IF($R11="","",$A11&amp;"|"&amp;$R11&amp;"|"&amp;$D11)</f>
        <v>55|N|1</v>
      </c>
    </row>
    <row r="12" customFormat="false" ht="15" hidden="false" customHeight="false" outlineLevel="0" collapsed="false">
      <c r="A12" s="8" t="n">
        <v>55</v>
      </c>
      <c r="B12" s="8" t="s">
        <v>56</v>
      </c>
      <c r="D12" s="8" t="n">
        <v>2</v>
      </c>
      <c r="E12" s="8" t="n">
        <v>0.397</v>
      </c>
      <c r="F12" s="8" t="n">
        <v>677</v>
      </c>
      <c r="G12" s="8" t="n">
        <v>23.2</v>
      </c>
      <c r="H12" s="8" t="n">
        <v>13.038</v>
      </c>
      <c r="I12" s="8" t="n">
        <v>1</v>
      </c>
      <c r="N12" s="8" t="n">
        <v>-1.25</v>
      </c>
      <c r="R12" s="9" t="str">
        <f aca="false">IF($D12="","",IF($F12&lt;&gt;"","N",IF($J12&lt;&gt;"","C","")))</f>
        <v>N</v>
      </c>
      <c r="S12" s="9" t="str">
        <f aca="false">IF($R12="","",$A12&amp;"|"&amp;$R12&amp;"|"&amp;$D12)</f>
        <v>55|N|2</v>
      </c>
    </row>
    <row r="13" customFormat="false" ht="15" hidden="false" customHeight="false" outlineLevel="0" collapsed="false">
      <c r="A13" s="8" t="n">
        <v>55</v>
      </c>
      <c r="B13" s="8" t="s">
        <v>56</v>
      </c>
      <c r="D13" s="8" t="n">
        <v>3</v>
      </c>
      <c r="E13" s="8" t="n">
        <v>0.397</v>
      </c>
      <c r="F13" s="8" t="n">
        <v>1555</v>
      </c>
      <c r="G13" s="8" t="n">
        <v>24</v>
      </c>
      <c r="H13" s="8" t="n">
        <v>28.314</v>
      </c>
      <c r="I13" s="8" t="n">
        <v>0</v>
      </c>
      <c r="N13" s="8" t="n">
        <v>-6.395</v>
      </c>
      <c r="R13" s="9" t="str">
        <f aca="false">IF($D13="","",IF($F13&lt;&gt;"","N",IF($J13&lt;&gt;"","C","")))</f>
        <v>N</v>
      </c>
      <c r="S13" s="9" t="str">
        <f aca="false">IF($R13="","",$A13&amp;"|"&amp;$R13&amp;"|"&amp;$D13)</f>
        <v>55|N|3</v>
      </c>
    </row>
    <row r="14" customFormat="false" ht="15" hidden="false" customHeight="false" outlineLevel="0" collapsed="false">
      <c r="A14" s="8" t="n">
        <v>55</v>
      </c>
      <c r="B14" s="8" t="s">
        <v>56</v>
      </c>
      <c r="D14" s="8" t="n">
        <v>4</v>
      </c>
      <c r="E14" s="8" t="n">
        <v>0.397</v>
      </c>
      <c r="I14" s="8" t="n">
        <v>0</v>
      </c>
      <c r="J14" s="8" t="n">
        <v>5635</v>
      </c>
      <c r="K14" s="8" t="n">
        <v>128.087</v>
      </c>
      <c r="O14" s="8" t="n">
        <v>-9.436</v>
      </c>
      <c r="R14" s="9" t="str">
        <f aca="false">IF($D14="","",IF($F14&lt;&gt;"","N",IF($J14&lt;&gt;"","C","")))</f>
        <v>C</v>
      </c>
      <c r="S14" s="9" t="str">
        <f aca="false">IF($R14="","",$A14&amp;"|"&amp;$R14&amp;"|"&amp;$D14)</f>
        <v>55|C|4</v>
      </c>
    </row>
    <row r="15" customFormat="false" ht="15" hidden="false" customHeight="false" outlineLevel="0" collapsed="false">
      <c r="A15" s="8" t="n">
        <v>55</v>
      </c>
      <c r="B15" s="8" t="s">
        <v>56</v>
      </c>
      <c r="D15" s="8" t="n">
        <v>5</v>
      </c>
      <c r="E15" s="8" t="n">
        <v>0.397</v>
      </c>
      <c r="I15" s="8" t="n">
        <v>1</v>
      </c>
      <c r="J15" s="8" t="n">
        <v>4749</v>
      </c>
      <c r="K15" s="8" t="n">
        <v>89.293</v>
      </c>
      <c r="O15" s="8" t="n">
        <v>-25.22</v>
      </c>
      <c r="R15" s="9" t="str">
        <f aca="false">IF($D15="","",IF($F15&lt;&gt;"","N",IF($J15&lt;&gt;"","C","")))</f>
        <v>C</v>
      </c>
      <c r="S15" s="9" t="str">
        <f aca="false">IF($R15="","",$A15&amp;"|"&amp;$R15&amp;"|"&amp;$D15)</f>
        <v>55|C|5</v>
      </c>
    </row>
    <row r="16" customFormat="false" ht="15" hidden="false" customHeight="false" outlineLevel="0" collapsed="false">
      <c r="A16" s="8" t="n">
        <v>55</v>
      </c>
      <c r="B16" s="8" t="s">
        <v>56</v>
      </c>
      <c r="D16" s="8" t="n">
        <v>6</v>
      </c>
      <c r="E16" s="8" t="n">
        <v>0.397</v>
      </c>
      <c r="I16" s="8" t="n">
        <v>0</v>
      </c>
      <c r="J16" s="8" t="n">
        <v>4759</v>
      </c>
      <c r="K16" s="8" t="n">
        <v>89.385</v>
      </c>
      <c r="O16" s="8" t="n">
        <v>-25.343</v>
      </c>
      <c r="R16" s="9" t="str">
        <f aca="false">IF($D16="","",IF($F16&lt;&gt;"","N",IF($J16&lt;&gt;"","C","")))</f>
        <v>C</v>
      </c>
      <c r="S16" s="9" t="str">
        <f aca="false">IF($R16="","",$A16&amp;"|"&amp;$R16&amp;"|"&amp;$D16)</f>
        <v>55|C|6</v>
      </c>
    </row>
    <row r="17" customFormat="false" ht="15" hidden="false" customHeight="false" outlineLevel="0" collapsed="false">
      <c r="A17" s="8" t="n">
        <v>55</v>
      </c>
      <c r="B17" s="8" t="s">
        <v>56</v>
      </c>
      <c r="D17" s="8" t="n">
        <v>7</v>
      </c>
      <c r="E17" s="8" t="n">
        <v>0.397</v>
      </c>
      <c r="I17" s="8" t="n">
        <v>0</v>
      </c>
      <c r="J17" s="8" t="n">
        <v>4753</v>
      </c>
      <c r="K17" s="8" t="n">
        <v>89.531</v>
      </c>
      <c r="O17" s="8" t="n">
        <v>-25.405</v>
      </c>
      <c r="R17" s="9" t="str">
        <f aca="false">IF($D17="","",IF($F17&lt;&gt;"","N",IF($J17&lt;&gt;"","C","")))</f>
        <v>C</v>
      </c>
      <c r="S17" s="9" t="str">
        <f aca="false">IF($R17="","",$A17&amp;"|"&amp;$R17&amp;"|"&amp;$D17)</f>
        <v>55|C|7</v>
      </c>
    </row>
    <row r="18" customFormat="false" ht="15" hidden="false" customHeight="false" outlineLevel="0" collapsed="false">
      <c r="A18" s="8" t="n">
        <v>54</v>
      </c>
      <c r="B18" s="8" t="s">
        <v>62</v>
      </c>
      <c r="E18" s="8" t="n">
        <v>0.38</v>
      </c>
      <c r="L18" s="8" t="s">
        <v>53</v>
      </c>
      <c r="M18" s="8" t="s">
        <v>63</v>
      </c>
      <c r="P18" s="8" t="s">
        <v>64</v>
      </c>
      <c r="R18" s="9" t="str">
        <f aca="false">IF($D18="","",IF($F18&lt;&gt;"","N",IF($J18&lt;&gt;"","C","")))</f>
        <v/>
      </c>
      <c r="S18" s="9" t="str">
        <f aca="false">IF($R18="","",$A18&amp;"|"&amp;$R18&amp;"|"&amp;$D18)</f>
        <v/>
      </c>
    </row>
    <row r="19" customFormat="false" ht="15" hidden="false" customHeight="false" outlineLevel="0" collapsed="false">
      <c r="A19" s="8" t="n">
        <v>54</v>
      </c>
      <c r="B19" s="8" t="s">
        <v>62</v>
      </c>
      <c r="E19" s="8" t="n">
        <v>0.38</v>
      </c>
      <c r="L19" s="8" t="s">
        <v>59</v>
      </c>
      <c r="M19" s="8" t="s">
        <v>65</v>
      </c>
      <c r="P19" s="8" t="s">
        <v>66</v>
      </c>
      <c r="R19" s="9" t="str">
        <f aca="false">IF($D19="","",IF($F19&lt;&gt;"","N",IF($J19&lt;&gt;"","C","")))</f>
        <v/>
      </c>
      <c r="S19" s="9" t="str">
        <f aca="false">IF($R19="","",$A19&amp;"|"&amp;$R19&amp;"|"&amp;$D19)</f>
        <v/>
      </c>
    </row>
    <row r="20" customFormat="false" ht="15" hidden="false" customHeight="false" outlineLevel="0" collapsed="false">
      <c r="A20" s="8" t="n">
        <v>54</v>
      </c>
      <c r="B20" s="8" t="s">
        <v>62</v>
      </c>
      <c r="D20" s="8" t="n">
        <v>1</v>
      </c>
      <c r="E20" s="8" t="n">
        <v>0.38</v>
      </c>
      <c r="F20" s="8" t="n">
        <v>673</v>
      </c>
      <c r="G20" s="8" t="n">
        <v>23</v>
      </c>
      <c r="H20" s="8" t="n">
        <v>13.018</v>
      </c>
      <c r="I20" s="8" t="n">
        <v>0</v>
      </c>
      <c r="N20" s="8" t="n">
        <v>-1.255</v>
      </c>
      <c r="R20" s="9" t="str">
        <f aca="false">IF($D20="","",IF($F20&lt;&gt;"","N",IF($J20&lt;&gt;"","C","")))</f>
        <v>N</v>
      </c>
      <c r="S20" s="9" t="str">
        <f aca="false">IF($R20="","",$A20&amp;"|"&amp;$R20&amp;"|"&amp;$D20)</f>
        <v>54|N|1</v>
      </c>
    </row>
    <row r="21" customFormat="false" ht="15" hidden="false" customHeight="false" outlineLevel="0" collapsed="false">
      <c r="A21" s="8" t="n">
        <v>54</v>
      </c>
      <c r="B21" s="8" t="s">
        <v>62</v>
      </c>
      <c r="D21" s="8" t="n">
        <v>2</v>
      </c>
      <c r="E21" s="8" t="n">
        <v>0.38</v>
      </c>
      <c r="F21" s="8" t="n">
        <v>677</v>
      </c>
      <c r="G21" s="8" t="n">
        <v>23</v>
      </c>
      <c r="H21" s="8" t="n">
        <v>13.035</v>
      </c>
      <c r="I21" s="8" t="n">
        <v>1</v>
      </c>
      <c r="N21" s="8" t="n">
        <v>-1.25</v>
      </c>
      <c r="R21" s="9" t="str">
        <f aca="false">IF($D21="","",IF($F21&lt;&gt;"","N",IF($J21&lt;&gt;"","C","")))</f>
        <v>N</v>
      </c>
      <c r="S21" s="9" t="str">
        <f aca="false">IF($R21="","",$A21&amp;"|"&amp;$R21&amp;"|"&amp;$D21)</f>
        <v>54|N|2</v>
      </c>
    </row>
    <row r="22" customFormat="false" ht="15" hidden="false" customHeight="false" outlineLevel="0" collapsed="false">
      <c r="A22" s="8" t="n">
        <v>54</v>
      </c>
      <c r="B22" s="8" t="s">
        <v>62</v>
      </c>
      <c r="D22" s="8" t="n">
        <v>3</v>
      </c>
      <c r="E22" s="8" t="n">
        <v>0.38</v>
      </c>
      <c r="F22" s="8" t="n">
        <v>1494</v>
      </c>
      <c r="G22" s="8" t="n">
        <v>23.8</v>
      </c>
      <c r="H22" s="8" t="n">
        <v>27.037</v>
      </c>
      <c r="I22" s="8" t="n">
        <v>0</v>
      </c>
      <c r="N22" s="8" t="n">
        <v>-6.297</v>
      </c>
      <c r="R22" s="9" t="str">
        <f aca="false">IF($D22="","",IF($F22&lt;&gt;"","N",IF($J22&lt;&gt;"","C","")))</f>
        <v>N</v>
      </c>
      <c r="S22" s="9" t="str">
        <f aca="false">IF($R22="","",$A22&amp;"|"&amp;$R22&amp;"|"&amp;$D22)</f>
        <v>54|N|3</v>
      </c>
    </row>
    <row r="23" customFormat="false" ht="15" hidden="false" customHeight="false" outlineLevel="0" collapsed="false">
      <c r="A23" s="8" t="n">
        <v>54</v>
      </c>
      <c r="B23" s="8" t="s">
        <v>62</v>
      </c>
      <c r="D23" s="8" t="n">
        <v>4</v>
      </c>
      <c r="E23" s="8" t="n">
        <v>0.38</v>
      </c>
      <c r="I23" s="8" t="n">
        <v>0</v>
      </c>
      <c r="J23" s="8" t="n">
        <v>5383</v>
      </c>
      <c r="K23" s="8" t="n">
        <v>122.82</v>
      </c>
      <c r="O23" s="8" t="n">
        <v>-9.406</v>
      </c>
      <c r="R23" s="9" t="str">
        <f aca="false">IF($D23="","",IF($F23&lt;&gt;"","N",IF($J23&lt;&gt;"","C","")))</f>
        <v>C</v>
      </c>
      <c r="S23" s="9" t="str">
        <f aca="false">IF($R23="","",$A23&amp;"|"&amp;$R23&amp;"|"&amp;$D23)</f>
        <v>54|C|4</v>
      </c>
    </row>
    <row r="24" customFormat="false" ht="15" hidden="false" customHeight="false" outlineLevel="0" collapsed="false">
      <c r="A24" s="8" t="n">
        <v>54</v>
      </c>
      <c r="B24" s="8" t="s">
        <v>62</v>
      </c>
      <c r="D24" s="8" t="n">
        <v>5</v>
      </c>
      <c r="E24" s="8" t="n">
        <v>0.38</v>
      </c>
      <c r="I24" s="8" t="n">
        <v>1</v>
      </c>
      <c r="J24" s="8" t="n">
        <v>4728</v>
      </c>
      <c r="K24" s="8" t="n">
        <v>89.218</v>
      </c>
      <c r="O24" s="8" t="n">
        <v>-25.22</v>
      </c>
      <c r="R24" s="9" t="str">
        <f aca="false">IF($D24="","",IF($F24&lt;&gt;"","N",IF($J24&lt;&gt;"","C","")))</f>
        <v>C</v>
      </c>
      <c r="S24" s="9" t="str">
        <f aca="false">IF($R24="","",$A24&amp;"|"&amp;$R24&amp;"|"&amp;$D24)</f>
        <v>54|C|5</v>
      </c>
    </row>
    <row r="25" customFormat="false" ht="15" hidden="false" customHeight="false" outlineLevel="0" collapsed="false">
      <c r="A25" s="8" t="n">
        <v>54</v>
      </c>
      <c r="B25" s="8" t="s">
        <v>62</v>
      </c>
      <c r="D25" s="8" t="n">
        <v>6</v>
      </c>
      <c r="E25" s="8" t="n">
        <v>0.38</v>
      </c>
      <c r="I25" s="8" t="n">
        <v>0</v>
      </c>
      <c r="J25" s="8" t="n">
        <v>4760</v>
      </c>
      <c r="K25" s="8" t="n">
        <v>89.44</v>
      </c>
      <c r="O25" s="8" t="n">
        <v>-25.342</v>
      </c>
      <c r="R25" s="9" t="str">
        <f aca="false">IF($D25="","",IF($F25&lt;&gt;"","N",IF($J25&lt;&gt;"","C","")))</f>
        <v>C</v>
      </c>
      <c r="S25" s="9" t="str">
        <f aca="false">IF($R25="","",$A25&amp;"|"&amp;$R25&amp;"|"&amp;$D25)</f>
        <v>54|C|6</v>
      </c>
    </row>
    <row r="26" customFormat="false" ht="15" hidden="false" customHeight="false" outlineLevel="0" collapsed="false">
      <c r="A26" s="8" t="n">
        <v>54</v>
      </c>
      <c r="B26" s="8" t="s">
        <v>62</v>
      </c>
      <c r="D26" s="8" t="n">
        <v>7</v>
      </c>
      <c r="E26" s="8" t="n">
        <v>0.38</v>
      </c>
      <c r="I26" s="8" t="n">
        <v>0</v>
      </c>
      <c r="J26" s="8" t="n">
        <v>4761</v>
      </c>
      <c r="K26" s="8" t="n">
        <v>89.366</v>
      </c>
      <c r="O26" s="8" t="n">
        <v>-25.42</v>
      </c>
      <c r="R26" s="9" t="str">
        <f aca="false">IF($D26="","",IF($F26&lt;&gt;"","N",IF($J26&lt;&gt;"","C","")))</f>
        <v>C</v>
      </c>
      <c r="S26" s="9" t="str">
        <f aca="false">IF($R26="","",$A26&amp;"|"&amp;$R26&amp;"|"&amp;$D26)</f>
        <v>54|C|7</v>
      </c>
    </row>
    <row r="27" customFormat="false" ht="15" hidden="false" customHeight="false" outlineLevel="0" collapsed="false">
      <c r="A27" s="8" t="n">
        <v>53</v>
      </c>
      <c r="B27" s="8" t="s">
        <v>67</v>
      </c>
      <c r="L27" s="8" t="s">
        <v>53</v>
      </c>
      <c r="M27" s="8" t="s">
        <v>68</v>
      </c>
      <c r="P27" s="8" t="s">
        <v>55</v>
      </c>
      <c r="R27" s="9" t="str">
        <f aca="false">IF($D27="","",IF($F27&lt;&gt;"","N",IF($J27&lt;&gt;"","C","")))</f>
        <v/>
      </c>
      <c r="S27" s="9" t="str">
        <f aca="false">IF($R27="","",$A27&amp;"|"&amp;$R27&amp;"|"&amp;$D27)</f>
        <v/>
      </c>
    </row>
    <row r="28" customFormat="false" ht="15" hidden="false" customHeight="false" outlineLevel="0" collapsed="false">
      <c r="A28" s="8" t="n">
        <v>53</v>
      </c>
      <c r="B28" s="8" t="s">
        <v>67</v>
      </c>
      <c r="D28" s="8" t="n">
        <v>1</v>
      </c>
      <c r="F28" s="8" t="n">
        <v>672</v>
      </c>
      <c r="G28" s="8" t="n">
        <v>23.3</v>
      </c>
      <c r="H28" s="8" t="n">
        <v>13.007</v>
      </c>
      <c r="I28" s="8" t="n">
        <v>0</v>
      </c>
      <c r="N28" s="8" t="n">
        <v>-1.245</v>
      </c>
      <c r="R28" s="9" t="str">
        <f aca="false">IF($D28="","",IF($F28&lt;&gt;"","N",IF($J28&lt;&gt;"","C","")))</f>
        <v>N</v>
      </c>
      <c r="S28" s="9" t="str">
        <f aca="false">IF($R28="","",$A28&amp;"|"&amp;$R28&amp;"|"&amp;$D28)</f>
        <v>53|N|1</v>
      </c>
    </row>
    <row r="29" customFormat="false" ht="15" hidden="false" customHeight="false" outlineLevel="0" collapsed="false">
      <c r="A29" s="8" t="n">
        <v>53</v>
      </c>
      <c r="B29" s="8" t="s">
        <v>67</v>
      </c>
      <c r="D29" s="8" t="n">
        <v>2</v>
      </c>
      <c r="F29" s="8" t="n">
        <v>676</v>
      </c>
      <c r="G29" s="8" t="n">
        <v>23.2</v>
      </c>
      <c r="H29" s="8" t="n">
        <v>13.02</v>
      </c>
      <c r="I29" s="8" t="n">
        <v>1</v>
      </c>
      <c r="N29" s="8" t="n">
        <v>-1.25</v>
      </c>
      <c r="R29" s="9" t="str">
        <f aca="false">IF($D29="","",IF($F29&lt;&gt;"","N",IF($J29&lt;&gt;"","C","")))</f>
        <v>N</v>
      </c>
      <c r="S29" s="9" t="str">
        <f aca="false">IF($R29="","",$A29&amp;"|"&amp;$R29&amp;"|"&amp;$D29)</f>
        <v>53|N|2</v>
      </c>
    </row>
    <row r="30" customFormat="false" ht="15" hidden="false" customHeight="false" outlineLevel="0" collapsed="false">
      <c r="A30" s="8" t="n">
        <v>53</v>
      </c>
      <c r="B30" s="8" t="s">
        <v>67</v>
      </c>
      <c r="D30" s="8" t="n">
        <v>3</v>
      </c>
      <c r="F30" s="8" t="n">
        <v>63</v>
      </c>
      <c r="G30" s="8" t="n">
        <v>25.7</v>
      </c>
      <c r="H30" s="8" t="n">
        <v>1.4</v>
      </c>
      <c r="I30" s="8" t="n">
        <v>0</v>
      </c>
      <c r="N30" s="8" t="n">
        <v>-9.347</v>
      </c>
      <c r="R30" s="9" t="str">
        <f aca="false">IF($D30="","",IF($F30&lt;&gt;"","N",IF($J30&lt;&gt;"","C","")))</f>
        <v>N</v>
      </c>
      <c r="S30" s="9" t="str">
        <f aca="false">IF($R30="","",$A30&amp;"|"&amp;$R30&amp;"|"&amp;$D30)</f>
        <v>53|N|3</v>
      </c>
    </row>
    <row r="31" customFormat="false" ht="15" hidden="false" customHeight="false" outlineLevel="0" collapsed="false">
      <c r="A31" s="8" t="n">
        <v>53</v>
      </c>
      <c r="B31" s="8" t="s">
        <v>67</v>
      </c>
      <c r="D31" s="8" t="n">
        <v>4</v>
      </c>
      <c r="I31" s="8" t="n">
        <v>1</v>
      </c>
      <c r="J31" s="8" t="n">
        <v>4723</v>
      </c>
      <c r="K31" s="8" t="n">
        <v>89.184</v>
      </c>
      <c r="O31" s="8" t="n">
        <v>-25.22</v>
      </c>
      <c r="R31" s="9" t="str">
        <f aca="false">IF($D31="","",IF($F31&lt;&gt;"","N",IF($J31&lt;&gt;"","C","")))</f>
        <v>C</v>
      </c>
      <c r="S31" s="9" t="str">
        <f aca="false">IF($R31="","",$A31&amp;"|"&amp;$R31&amp;"|"&amp;$D31)</f>
        <v>53|C|4</v>
      </c>
    </row>
    <row r="32" customFormat="false" ht="15" hidden="false" customHeight="false" outlineLevel="0" collapsed="false">
      <c r="A32" s="8" t="n">
        <v>53</v>
      </c>
      <c r="B32" s="8" t="s">
        <v>67</v>
      </c>
      <c r="D32" s="8" t="n">
        <v>5</v>
      </c>
      <c r="I32" s="8" t="n">
        <v>0</v>
      </c>
      <c r="J32" s="8" t="n">
        <v>4706</v>
      </c>
      <c r="K32" s="8" t="n">
        <v>89.357</v>
      </c>
      <c r="O32" s="8" t="n">
        <v>-25.479</v>
      </c>
      <c r="R32" s="9" t="str">
        <f aca="false">IF($D32="","",IF($F32&lt;&gt;"","N",IF($J32&lt;&gt;"","C","")))</f>
        <v>C</v>
      </c>
      <c r="S32" s="9" t="str">
        <f aca="false">IF($R32="","",$A32&amp;"|"&amp;$R32&amp;"|"&amp;$D32)</f>
        <v>53|C|5</v>
      </c>
    </row>
    <row r="33" customFormat="false" ht="15" hidden="false" customHeight="false" outlineLevel="0" collapsed="false">
      <c r="A33" s="8" t="n">
        <v>53</v>
      </c>
      <c r="B33" s="8" t="s">
        <v>67</v>
      </c>
      <c r="D33" s="8" t="n">
        <v>6</v>
      </c>
      <c r="I33" s="8" t="n">
        <v>0</v>
      </c>
      <c r="J33" s="8" t="n">
        <v>4735</v>
      </c>
      <c r="K33" s="8" t="n">
        <v>89.215</v>
      </c>
      <c r="O33" s="8" t="n">
        <v>-25.543</v>
      </c>
      <c r="R33" s="9" t="str">
        <f aca="false">IF($D33="","",IF($F33&lt;&gt;"","N",IF($J33&lt;&gt;"","C","")))</f>
        <v>C</v>
      </c>
      <c r="S33" s="9" t="str">
        <f aca="false">IF($R33="","",$A33&amp;"|"&amp;$R33&amp;"|"&amp;$D33)</f>
        <v>53|C|6</v>
      </c>
    </row>
    <row r="34" customFormat="false" ht="15" hidden="false" customHeight="false" outlineLevel="0" collapsed="false">
      <c r="A34" s="8" t="n">
        <v>52</v>
      </c>
      <c r="B34" s="8" t="s">
        <v>67</v>
      </c>
      <c r="L34" s="8" t="s">
        <v>53</v>
      </c>
      <c r="M34" s="8" t="s">
        <v>69</v>
      </c>
      <c r="P34" s="8" t="s">
        <v>70</v>
      </c>
      <c r="R34" s="9" t="str">
        <f aca="false">IF($D34="","",IF($F34&lt;&gt;"","N",IF($J34&lt;&gt;"","C","")))</f>
        <v/>
      </c>
      <c r="S34" s="9" t="str">
        <f aca="false">IF($R34="","",$A34&amp;"|"&amp;$R34&amp;"|"&amp;$D34)</f>
        <v/>
      </c>
    </row>
    <row r="35" customFormat="false" ht="15" hidden="false" customHeight="false" outlineLevel="0" collapsed="false">
      <c r="A35" s="8" t="n">
        <v>52</v>
      </c>
      <c r="B35" s="8" t="s">
        <v>67</v>
      </c>
      <c r="L35" s="8" t="s">
        <v>59</v>
      </c>
      <c r="M35" s="8" t="s">
        <v>71</v>
      </c>
      <c r="P35" s="8" t="s">
        <v>72</v>
      </c>
      <c r="R35" s="9" t="str">
        <f aca="false">IF($D35="","",IF($F35&lt;&gt;"","N",IF($J35&lt;&gt;"","C","")))</f>
        <v/>
      </c>
      <c r="S35" s="9" t="str">
        <f aca="false">IF($R35="","",$A35&amp;"|"&amp;$R35&amp;"|"&amp;$D35)</f>
        <v/>
      </c>
    </row>
    <row r="36" customFormat="false" ht="15" hidden="false" customHeight="false" outlineLevel="0" collapsed="false">
      <c r="A36" s="8" t="n">
        <v>52</v>
      </c>
      <c r="B36" s="8" t="s">
        <v>67</v>
      </c>
      <c r="D36" s="8" t="n">
        <v>1</v>
      </c>
      <c r="F36" s="8" t="n">
        <v>671</v>
      </c>
      <c r="G36" s="8" t="n">
        <v>23.2</v>
      </c>
      <c r="H36" s="8" t="n">
        <v>13.005</v>
      </c>
      <c r="I36" s="8" t="n">
        <v>0</v>
      </c>
      <c r="N36" s="8" t="n">
        <v>-1.193</v>
      </c>
      <c r="R36" s="9" t="str">
        <f aca="false">IF($D36="","",IF($F36&lt;&gt;"","N",IF($J36&lt;&gt;"","C","")))</f>
        <v>N</v>
      </c>
      <c r="S36" s="9" t="str">
        <f aca="false">IF($R36="","",$A36&amp;"|"&amp;$R36&amp;"|"&amp;$D36)</f>
        <v>52|N|1</v>
      </c>
    </row>
    <row r="37" customFormat="false" ht="15" hidden="false" customHeight="false" outlineLevel="0" collapsed="false">
      <c r="A37" s="8" t="n">
        <v>52</v>
      </c>
      <c r="B37" s="8" t="s">
        <v>67</v>
      </c>
      <c r="D37" s="8" t="n">
        <v>2</v>
      </c>
      <c r="F37" s="8" t="n">
        <v>677</v>
      </c>
      <c r="G37" s="8" t="n">
        <v>23.2</v>
      </c>
      <c r="H37" s="8" t="n">
        <v>13.02</v>
      </c>
      <c r="I37" s="8" t="n">
        <v>1</v>
      </c>
      <c r="N37" s="8" t="n">
        <v>-1.25</v>
      </c>
      <c r="R37" s="9" t="str">
        <f aca="false">IF($D37="","",IF($F37&lt;&gt;"","N",IF($J37&lt;&gt;"","C","")))</f>
        <v>N</v>
      </c>
      <c r="S37" s="9" t="str">
        <f aca="false">IF($R37="","",$A37&amp;"|"&amp;$R37&amp;"|"&amp;$D37)</f>
        <v>52|N|2</v>
      </c>
    </row>
    <row r="38" customFormat="false" ht="15" hidden="false" customHeight="false" outlineLevel="0" collapsed="false">
      <c r="A38" s="8" t="n">
        <v>52</v>
      </c>
      <c r="B38" s="8" t="s">
        <v>67</v>
      </c>
      <c r="D38" s="8" t="n">
        <v>3</v>
      </c>
      <c r="F38" s="8" t="n">
        <v>1236</v>
      </c>
      <c r="G38" s="8" t="n">
        <v>24</v>
      </c>
      <c r="H38" s="8" t="n">
        <v>22.447</v>
      </c>
      <c r="I38" s="8" t="n">
        <v>0</v>
      </c>
      <c r="N38" s="8" t="n">
        <v>-5.883</v>
      </c>
      <c r="R38" s="9" t="str">
        <f aca="false">IF($D38="","",IF($F38&lt;&gt;"","N",IF($J38&lt;&gt;"","C","")))</f>
        <v>N</v>
      </c>
      <c r="S38" s="9" t="str">
        <f aca="false">IF($R38="","",$A38&amp;"|"&amp;$R38&amp;"|"&amp;$D38)</f>
        <v>52|N|3</v>
      </c>
    </row>
    <row r="39" customFormat="false" ht="15" hidden="false" customHeight="false" outlineLevel="0" collapsed="false">
      <c r="A39" s="8" t="n">
        <v>52</v>
      </c>
      <c r="B39" s="8" t="s">
        <v>67</v>
      </c>
      <c r="D39" s="8" t="n">
        <v>4</v>
      </c>
      <c r="I39" s="8" t="n">
        <v>0</v>
      </c>
      <c r="J39" s="8" t="n">
        <v>4540</v>
      </c>
      <c r="K39" s="8" t="n">
        <v>101.638</v>
      </c>
      <c r="O39" s="8" t="n">
        <v>-9.614</v>
      </c>
      <c r="R39" s="9" t="str">
        <f aca="false">IF($D39="","",IF($F39&lt;&gt;"","N",IF($J39&lt;&gt;"","C","")))</f>
        <v>C</v>
      </c>
      <c r="S39" s="9" t="str">
        <f aca="false">IF($R39="","",$A39&amp;"|"&amp;$R39&amp;"|"&amp;$D39)</f>
        <v>52|C|4</v>
      </c>
    </row>
    <row r="40" customFormat="false" ht="15" hidden="false" customHeight="false" outlineLevel="0" collapsed="false">
      <c r="A40" s="8" t="n">
        <v>52</v>
      </c>
      <c r="B40" s="8" t="s">
        <v>67</v>
      </c>
      <c r="D40" s="8" t="n">
        <v>5</v>
      </c>
      <c r="I40" s="8" t="n">
        <v>1</v>
      </c>
      <c r="J40" s="8" t="n">
        <v>4733</v>
      </c>
      <c r="K40" s="8" t="n">
        <v>89.262</v>
      </c>
      <c r="O40" s="8" t="n">
        <v>-25.22</v>
      </c>
      <c r="R40" s="9" t="str">
        <f aca="false">IF($D40="","",IF($F40&lt;&gt;"","N",IF($J40&lt;&gt;"","C","")))</f>
        <v>C</v>
      </c>
      <c r="S40" s="9" t="str">
        <f aca="false">IF($R40="","",$A40&amp;"|"&amp;$R40&amp;"|"&amp;$D40)</f>
        <v>52|C|5</v>
      </c>
    </row>
    <row r="41" customFormat="false" ht="15" hidden="false" customHeight="false" outlineLevel="0" collapsed="false">
      <c r="A41" s="8" t="n">
        <v>52</v>
      </c>
      <c r="B41" s="8" t="s">
        <v>67</v>
      </c>
      <c r="D41" s="8" t="n">
        <v>6</v>
      </c>
      <c r="I41" s="8" t="n">
        <v>0</v>
      </c>
      <c r="J41" s="8" t="n">
        <v>4770</v>
      </c>
      <c r="K41" s="8" t="n">
        <v>89.463</v>
      </c>
      <c r="O41" s="8" t="n">
        <v>-25.377</v>
      </c>
      <c r="R41" s="9" t="str">
        <f aca="false">IF($D41="","",IF($F41&lt;&gt;"","N",IF($J41&lt;&gt;"","C","")))</f>
        <v>C</v>
      </c>
      <c r="S41" s="9" t="str">
        <f aca="false">IF($R41="","",$A41&amp;"|"&amp;$R41&amp;"|"&amp;$D41)</f>
        <v>52|C|6</v>
      </c>
    </row>
    <row r="42" customFormat="false" ht="15" hidden="false" customHeight="false" outlineLevel="0" collapsed="false">
      <c r="A42" s="8" t="n">
        <v>52</v>
      </c>
      <c r="B42" s="8" t="s">
        <v>67</v>
      </c>
      <c r="D42" s="8" t="n">
        <v>7</v>
      </c>
      <c r="I42" s="8" t="n">
        <v>0</v>
      </c>
      <c r="J42" s="8" t="n">
        <v>4769</v>
      </c>
      <c r="K42" s="8" t="n">
        <v>89.429</v>
      </c>
      <c r="O42" s="8" t="n">
        <v>-25.41</v>
      </c>
      <c r="R42" s="9" t="str">
        <f aca="false">IF($D42="","",IF($F42&lt;&gt;"","N",IF($J42&lt;&gt;"","C","")))</f>
        <v>C</v>
      </c>
      <c r="S42" s="9" t="str">
        <f aca="false">IF($R42="","",$A42&amp;"|"&amp;$R42&amp;"|"&amp;$D42)</f>
        <v>52|C|7</v>
      </c>
    </row>
    <row r="43" customFormat="false" ht="15" hidden="false" customHeight="false" outlineLevel="0" collapsed="false">
      <c r="A43" s="8" t="n">
        <v>51</v>
      </c>
      <c r="B43" s="8" t="s">
        <v>67</v>
      </c>
      <c r="L43" s="8" t="s">
        <v>53</v>
      </c>
      <c r="M43" s="8" t="s">
        <v>73</v>
      </c>
      <c r="P43" s="8" t="s">
        <v>74</v>
      </c>
      <c r="R43" s="9" t="str">
        <f aca="false">IF($D43="","",IF($F43&lt;&gt;"","N",IF($J43&lt;&gt;"","C","")))</f>
        <v/>
      </c>
      <c r="S43" s="9" t="str">
        <f aca="false">IF($R43="","",$A43&amp;"|"&amp;$R43&amp;"|"&amp;$D43)</f>
        <v/>
      </c>
    </row>
    <row r="44" customFormat="false" ht="15" hidden="false" customHeight="false" outlineLevel="0" collapsed="false">
      <c r="A44" s="8" t="n">
        <v>51</v>
      </c>
      <c r="B44" s="8" t="s">
        <v>67</v>
      </c>
      <c r="L44" s="8" t="s">
        <v>59</v>
      </c>
      <c r="M44" s="8" t="s">
        <v>75</v>
      </c>
      <c r="P44" s="8" t="s">
        <v>76</v>
      </c>
      <c r="R44" s="9" t="str">
        <f aca="false">IF($D44="","",IF($F44&lt;&gt;"","N",IF($J44&lt;&gt;"","C","")))</f>
        <v/>
      </c>
      <c r="S44" s="9" t="str">
        <f aca="false">IF($R44="","",$A44&amp;"|"&amp;$R44&amp;"|"&amp;$D44)</f>
        <v/>
      </c>
    </row>
    <row r="45" customFormat="false" ht="15" hidden="false" customHeight="false" outlineLevel="0" collapsed="false">
      <c r="A45" s="8" t="n">
        <v>51</v>
      </c>
      <c r="B45" s="8" t="s">
        <v>67</v>
      </c>
      <c r="D45" s="8" t="n">
        <v>1</v>
      </c>
      <c r="F45" s="8" t="n">
        <v>671</v>
      </c>
      <c r="G45" s="8" t="n">
        <v>23.3</v>
      </c>
      <c r="H45" s="8" t="n">
        <v>13.001</v>
      </c>
      <c r="I45" s="8" t="n">
        <v>0</v>
      </c>
      <c r="N45" s="8" t="n">
        <v>-1.183</v>
      </c>
      <c r="R45" s="9" t="str">
        <f aca="false">IF($D45="","",IF($F45&lt;&gt;"","N",IF($J45&lt;&gt;"","C","")))</f>
        <v>N</v>
      </c>
      <c r="S45" s="9" t="str">
        <f aca="false">IF($R45="","",$A45&amp;"|"&amp;$R45&amp;"|"&amp;$D45)</f>
        <v>51|N|1</v>
      </c>
    </row>
    <row r="46" customFormat="false" ht="15" hidden="false" customHeight="false" outlineLevel="0" collapsed="false">
      <c r="A46" s="8" t="n">
        <v>51</v>
      </c>
      <c r="B46" s="8" t="s">
        <v>67</v>
      </c>
      <c r="D46" s="8" t="n">
        <v>2</v>
      </c>
      <c r="F46" s="8" t="n">
        <v>676</v>
      </c>
      <c r="G46" s="8" t="n">
        <v>23.3</v>
      </c>
      <c r="H46" s="8" t="n">
        <v>13.019</v>
      </c>
      <c r="I46" s="8" t="n">
        <v>1</v>
      </c>
      <c r="N46" s="8" t="n">
        <v>-1.25</v>
      </c>
      <c r="R46" s="9" t="str">
        <f aca="false">IF($D46="","",IF($F46&lt;&gt;"","N",IF($J46&lt;&gt;"","C","")))</f>
        <v>N</v>
      </c>
      <c r="S46" s="9" t="str">
        <f aca="false">IF($R46="","",$A46&amp;"|"&amp;$R46&amp;"|"&amp;$D46)</f>
        <v>51|N|2</v>
      </c>
    </row>
    <row r="47" customFormat="false" ht="15" hidden="false" customHeight="false" outlineLevel="0" collapsed="false">
      <c r="A47" s="8" t="n">
        <v>51</v>
      </c>
      <c r="B47" s="8" t="s">
        <v>67</v>
      </c>
      <c r="D47" s="8" t="n">
        <v>3</v>
      </c>
      <c r="F47" s="8" t="n">
        <v>855</v>
      </c>
      <c r="G47" s="8" t="n">
        <v>24.1</v>
      </c>
      <c r="H47" s="8" t="n">
        <v>16.082</v>
      </c>
      <c r="I47" s="8" t="n">
        <v>0</v>
      </c>
      <c r="N47" s="8" t="n">
        <v>-6.109</v>
      </c>
      <c r="R47" s="9" t="str">
        <f aca="false">IF($D47="","",IF($F47&lt;&gt;"","N",IF($J47&lt;&gt;"","C","")))</f>
        <v>N</v>
      </c>
      <c r="S47" s="9" t="str">
        <f aca="false">IF($R47="","",$A47&amp;"|"&amp;$R47&amp;"|"&amp;$D47)</f>
        <v>51|N|3</v>
      </c>
    </row>
    <row r="48" customFormat="false" ht="15" hidden="false" customHeight="false" outlineLevel="0" collapsed="false">
      <c r="A48" s="8" t="n">
        <v>51</v>
      </c>
      <c r="B48" s="8" t="s">
        <v>67</v>
      </c>
      <c r="D48" s="8" t="n">
        <v>4</v>
      </c>
      <c r="I48" s="8" t="n">
        <v>0</v>
      </c>
      <c r="J48" s="8" t="n">
        <v>3202</v>
      </c>
      <c r="K48" s="8" t="n">
        <v>71.442</v>
      </c>
      <c r="O48" s="8" t="n">
        <v>-9.619</v>
      </c>
      <c r="R48" s="9" t="str">
        <f aca="false">IF($D48="","",IF($F48&lt;&gt;"","N",IF($J48&lt;&gt;"","C","")))</f>
        <v>C</v>
      </c>
      <c r="S48" s="9" t="str">
        <f aca="false">IF($R48="","",$A48&amp;"|"&amp;$R48&amp;"|"&amp;$D48)</f>
        <v>51|C|4</v>
      </c>
    </row>
    <row r="49" customFormat="false" ht="15" hidden="false" customHeight="false" outlineLevel="0" collapsed="false">
      <c r="A49" s="8" t="n">
        <v>51</v>
      </c>
      <c r="B49" s="8" t="s">
        <v>67</v>
      </c>
      <c r="D49" s="8" t="n">
        <v>5</v>
      </c>
      <c r="I49" s="8" t="n">
        <v>1</v>
      </c>
      <c r="J49" s="8" t="n">
        <v>4738</v>
      </c>
      <c r="K49" s="8" t="n">
        <v>89.283</v>
      </c>
      <c r="O49" s="8" t="n">
        <v>-25.22</v>
      </c>
      <c r="R49" s="9" t="str">
        <f aca="false">IF($D49="","",IF($F49&lt;&gt;"","N",IF($J49&lt;&gt;"","C","")))</f>
        <v>C</v>
      </c>
      <c r="S49" s="9" t="str">
        <f aca="false">IF($R49="","",$A49&amp;"|"&amp;$R49&amp;"|"&amp;$D49)</f>
        <v>51|C|5</v>
      </c>
    </row>
    <row r="50" customFormat="false" ht="15" hidden="false" customHeight="false" outlineLevel="0" collapsed="false">
      <c r="A50" s="8" t="n">
        <v>51</v>
      </c>
      <c r="B50" s="8" t="s">
        <v>67</v>
      </c>
      <c r="D50" s="8" t="n">
        <v>6</v>
      </c>
      <c r="I50" s="8" t="n">
        <v>0</v>
      </c>
      <c r="J50" s="8" t="n">
        <v>4769</v>
      </c>
      <c r="K50" s="8" t="n">
        <v>89.406</v>
      </c>
      <c r="O50" s="8" t="n">
        <v>-25.407</v>
      </c>
      <c r="R50" s="9" t="str">
        <f aca="false">IF($D50="","",IF($F50&lt;&gt;"","N",IF($J50&lt;&gt;"","C","")))</f>
        <v>C</v>
      </c>
      <c r="S50" s="9" t="str">
        <f aca="false">IF($R50="","",$A50&amp;"|"&amp;$R50&amp;"|"&amp;$D50)</f>
        <v>51|C|6</v>
      </c>
    </row>
    <row r="51" customFormat="false" ht="15" hidden="false" customHeight="false" outlineLevel="0" collapsed="false">
      <c r="A51" s="8" t="n">
        <v>51</v>
      </c>
      <c r="B51" s="8" t="s">
        <v>67</v>
      </c>
      <c r="D51" s="8" t="n">
        <v>7</v>
      </c>
      <c r="I51" s="8" t="n">
        <v>0</v>
      </c>
      <c r="J51" s="8" t="n">
        <v>4758</v>
      </c>
      <c r="K51" s="8" t="n">
        <v>89.389</v>
      </c>
      <c r="O51" s="8" t="n">
        <v>-25.464</v>
      </c>
      <c r="R51" s="9" t="str">
        <f aca="false">IF($D51="","",IF($F51&lt;&gt;"","N",IF($J51&lt;&gt;"","C","")))</f>
        <v>C</v>
      </c>
      <c r="S51" s="9" t="str">
        <f aca="false">IF($R51="","",$A51&amp;"|"&amp;$R51&amp;"|"&amp;$D51)</f>
        <v>51|C|7</v>
      </c>
    </row>
    <row r="52" customFormat="false" ht="15" hidden="false" customHeight="false" outlineLevel="0" collapsed="false">
      <c r="A52" s="8" t="n">
        <v>50</v>
      </c>
      <c r="B52" s="8" t="s">
        <v>77</v>
      </c>
      <c r="E52" s="8" t="n">
        <v>0.424</v>
      </c>
      <c r="L52" s="8" t="s">
        <v>53</v>
      </c>
      <c r="M52" s="8" t="s">
        <v>78</v>
      </c>
      <c r="P52" s="8" t="s">
        <v>79</v>
      </c>
      <c r="R52" s="9" t="str">
        <f aca="false">IF($D52="","",IF($F52&lt;&gt;"","N",IF($J52&lt;&gt;"","C","")))</f>
        <v/>
      </c>
      <c r="S52" s="9" t="str">
        <f aca="false">IF($R52="","",$A52&amp;"|"&amp;$R52&amp;"|"&amp;$D52)</f>
        <v/>
      </c>
    </row>
    <row r="53" customFormat="false" ht="15" hidden="false" customHeight="false" outlineLevel="0" collapsed="false">
      <c r="A53" s="8" t="n">
        <v>50</v>
      </c>
      <c r="B53" s="8" t="s">
        <v>77</v>
      </c>
      <c r="E53" s="8" t="n">
        <v>0.424</v>
      </c>
      <c r="L53" s="8" t="s">
        <v>59</v>
      </c>
      <c r="M53" s="8" t="s">
        <v>80</v>
      </c>
      <c r="P53" s="8" t="s">
        <v>81</v>
      </c>
      <c r="R53" s="9" t="str">
        <f aca="false">IF($D53="","",IF($F53&lt;&gt;"","N",IF($J53&lt;&gt;"","C","")))</f>
        <v/>
      </c>
      <c r="S53" s="9" t="str">
        <f aca="false">IF($R53="","",$A53&amp;"|"&amp;$R53&amp;"|"&amp;$D53)</f>
        <v/>
      </c>
    </row>
    <row r="54" customFormat="false" ht="15" hidden="false" customHeight="false" outlineLevel="0" collapsed="false">
      <c r="A54" s="8" t="n">
        <v>50</v>
      </c>
      <c r="B54" s="8" t="s">
        <v>77</v>
      </c>
      <c r="D54" s="8" t="n">
        <v>1</v>
      </c>
      <c r="E54" s="8" t="n">
        <v>0.424</v>
      </c>
      <c r="F54" s="8" t="n">
        <v>671</v>
      </c>
      <c r="G54" s="8" t="n">
        <v>23.4</v>
      </c>
      <c r="H54" s="8" t="n">
        <v>13.006</v>
      </c>
      <c r="I54" s="8" t="n">
        <v>0</v>
      </c>
      <c r="N54" s="8" t="n">
        <v>-1.258</v>
      </c>
      <c r="R54" s="9" t="str">
        <f aca="false">IF($D54="","",IF($F54&lt;&gt;"","N",IF($J54&lt;&gt;"","C","")))</f>
        <v>N</v>
      </c>
      <c r="S54" s="9" t="str">
        <f aca="false">IF($R54="","",$A54&amp;"|"&amp;$R54&amp;"|"&amp;$D54)</f>
        <v>50|N|1</v>
      </c>
    </row>
    <row r="55" customFormat="false" ht="15" hidden="false" customHeight="false" outlineLevel="0" collapsed="false">
      <c r="A55" s="8" t="n">
        <v>50</v>
      </c>
      <c r="B55" s="8" t="s">
        <v>77</v>
      </c>
      <c r="D55" s="8" t="n">
        <v>2</v>
      </c>
      <c r="E55" s="8" t="n">
        <v>0.424</v>
      </c>
      <c r="F55" s="8" t="n">
        <v>676</v>
      </c>
      <c r="G55" s="8" t="n">
        <v>23.3</v>
      </c>
      <c r="H55" s="8" t="n">
        <v>13.021</v>
      </c>
      <c r="I55" s="8" t="n">
        <v>1</v>
      </c>
      <c r="N55" s="8" t="n">
        <v>-1.25</v>
      </c>
      <c r="R55" s="9" t="str">
        <f aca="false">IF($D55="","",IF($F55&lt;&gt;"","N",IF($J55&lt;&gt;"","C","")))</f>
        <v>N</v>
      </c>
      <c r="S55" s="9" t="str">
        <f aca="false">IF($R55="","",$A55&amp;"|"&amp;$R55&amp;"|"&amp;$D55)</f>
        <v>50|N|2</v>
      </c>
    </row>
    <row r="56" customFormat="false" ht="15" hidden="false" customHeight="false" outlineLevel="0" collapsed="false">
      <c r="A56" s="8" t="n">
        <v>50</v>
      </c>
      <c r="B56" s="8" t="s">
        <v>77</v>
      </c>
      <c r="D56" s="8" t="n">
        <v>3</v>
      </c>
      <c r="E56" s="8" t="n">
        <v>0.424</v>
      </c>
      <c r="F56" s="8" t="n">
        <v>1623</v>
      </c>
      <c r="G56" s="8" t="n">
        <v>24.2</v>
      </c>
      <c r="H56" s="8" t="n">
        <v>28.692</v>
      </c>
      <c r="I56" s="8" t="n">
        <v>0</v>
      </c>
      <c r="N56" s="8" t="n">
        <v>-6.161</v>
      </c>
      <c r="R56" s="9" t="str">
        <f aca="false">IF($D56="","",IF($F56&lt;&gt;"","N",IF($J56&lt;&gt;"","C","")))</f>
        <v>N</v>
      </c>
      <c r="S56" s="9" t="str">
        <f aca="false">IF($R56="","",$A56&amp;"|"&amp;$R56&amp;"|"&amp;$D56)</f>
        <v>50|N|3</v>
      </c>
    </row>
    <row r="57" customFormat="false" ht="15" hidden="false" customHeight="false" outlineLevel="0" collapsed="false">
      <c r="A57" s="8" t="n">
        <v>50</v>
      </c>
      <c r="B57" s="8" t="s">
        <v>77</v>
      </c>
      <c r="D57" s="8" t="n">
        <v>4</v>
      </c>
      <c r="E57" s="8" t="n">
        <v>0.424</v>
      </c>
      <c r="I57" s="8" t="n">
        <v>0</v>
      </c>
      <c r="J57" s="8" t="n">
        <v>5892</v>
      </c>
      <c r="K57" s="8" t="n">
        <v>133.29</v>
      </c>
      <c r="O57" s="8" t="n">
        <v>-9.488</v>
      </c>
      <c r="R57" s="9" t="str">
        <f aca="false">IF($D57="","",IF($F57&lt;&gt;"","N",IF($J57&lt;&gt;"","C","")))</f>
        <v>C</v>
      </c>
      <c r="S57" s="9" t="str">
        <f aca="false">IF($R57="","",$A57&amp;"|"&amp;$R57&amp;"|"&amp;$D57)</f>
        <v>50|C|4</v>
      </c>
    </row>
    <row r="58" customFormat="false" ht="15" hidden="false" customHeight="false" outlineLevel="0" collapsed="false">
      <c r="A58" s="8" t="n">
        <v>50</v>
      </c>
      <c r="B58" s="8" t="s">
        <v>77</v>
      </c>
      <c r="D58" s="8" t="n">
        <v>5</v>
      </c>
      <c r="E58" s="8" t="n">
        <v>0.424</v>
      </c>
      <c r="I58" s="8" t="n">
        <v>1</v>
      </c>
      <c r="J58" s="8" t="n">
        <v>4751</v>
      </c>
      <c r="K58" s="8" t="n">
        <v>89.434</v>
      </c>
      <c r="O58" s="8" t="n">
        <v>-25.22</v>
      </c>
      <c r="R58" s="9" t="str">
        <f aca="false">IF($D58="","",IF($F58&lt;&gt;"","N",IF($J58&lt;&gt;"","C","")))</f>
        <v>C</v>
      </c>
      <c r="S58" s="9" t="str">
        <f aca="false">IF($R58="","",$A58&amp;"|"&amp;$R58&amp;"|"&amp;$D58)</f>
        <v>50|C|5</v>
      </c>
    </row>
    <row r="59" customFormat="false" ht="15" hidden="false" customHeight="false" outlineLevel="0" collapsed="false">
      <c r="A59" s="8" t="n">
        <v>50</v>
      </c>
      <c r="B59" s="8" t="s">
        <v>77</v>
      </c>
      <c r="D59" s="8" t="n">
        <v>6</v>
      </c>
      <c r="E59" s="8" t="n">
        <v>0.424</v>
      </c>
      <c r="I59" s="8" t="n">
        <v>0</v>
      </c>
      <c r="J59" s="8" t="n">
        <v>4755</v>
      </c>
      <c r="K59" s="8" t="n">
        <v>89.442</v>
      </c>
      <c r="O59" s="8" t="n">
        <v>-25.373</v>
      </c>
      <c r="R59" s="9" t="str">
        <f aca="false">IF($D59="","",IF($F59&lt;&gt;"","N",IF($J59&lt;&gt;"","C","")))</f>
        <v>C</v>
      </c>
      <c r="S59" s="9" t="str">
        <f aca="false">IF($R59="","",$A59&amp;"|"&amp;$R59&amp;"|"&amp;$D59)</f>
        <v>50|C|6</v>
      </c>
    </row>
    <row r="60" customFormat="false" ht="15" hidden="false" customHeight="false" outlineLevel="0" collapsed="false">
      <c r="A60" s="8" t="n">
        <v>50</v>
      </c>
      <c r="B60" s="8" t="s">
        <v>77</v>
      </c>
      <c r="D60" s="8" t="n">
        <v>7</v>
      </c>
      <c r="E60" s="8" t="n">
        <v>0.424</v>
      </c>
      <c r="I60" s="8" t="n">
        <v>0</v>
      </c>
      <c r="J60" s="8" t="n">
        <v>4756</v>
      </c>
      <c r="K60" s="8" t="n">
        <v>89.506</v>
      </c>
      <c r="O60" s="8" t="n">
        <v>-25.413</v>
      </c>
      <c r="R60" s="9" t="str">
        <f aca="false">IF($D60="","",IF($F60&lt;&gt;"","N",IF($J60&lt;&gt;"","C","")))</f>
        <v>C</v>
      </c>
      <c r="S60" s="9" t="str">
        <f aca="false">IF($R60="","",$A60&amp;"|"&amp;$R60&amp;"|"&amp;$D60)</f>
        <v>50|C|7</v>
      </c>
    </row>
    <row r="61" customFormat="false" ht="15" hidden="false" customHeight="false" outlineLevel="0" collapsed="false">
      <c r="A61" s="8" t="n">
        <v>49</v>
      </c>
      <c r="B61" s="8" t="s">
        <v>67</v>
      </c>
      <c r="L61" s="8" t="s">
        <v>53</v>
      </c>
      <c r="M61" s="8" t="s">
        <v>82</v>
      </c>
      <c r="P61" s="8" t="s">
        <v>83</v>
      </c>
      <c r="R61" s="9" t="str">
        <f aca="false">IF($D61="","",IF($F61&lt;&gt;"","N",IF($J61&lt;&gt;"","C","")))</f>
        <v/>
      </c>
      <c r="S61" s="9" t="str">
        <f aca="false">IF($R61="","",$A61&amp;"|"&amp;$R61&amp;"|"&amp;$D61)</f>
        <v/>
      </c>
    </row>
    <row r="62" customFormat="false" ht="15" hidden="false" customHeight="false" outlineLevel="0" collapsed="false">
      <c r="A62" s="8" t="n">
        <v>49</v>
      </c>
      <c r="B62" s="8" t="s">
        <v>67</v>
      </c>
      <c r="L62" s="8" t="s">
        <v>59</v>
      </c>
      <c r="M62" s="8" t="s">
        <v>84</v>
      </c>
      <c r="P62" s="8" t="s">
        <v>85</v>
      </c>
      <c r="R62" s="9" t="str">
        <f aca="false">IF($D62="","",IF($F62&lt;&gt;"","N",IF($J62&lt;&gt;"","C","")))</f>
        <v/>
      </c>
      <c r="S62" s="9" t="str">
        <f aca="false">IF($R62="","",$A62&amp;"|"&amp;$R62&amp;"|"&amp;$D62)</f>
        <v/>
      </c>
    </row>
    <row r="63" customFormat="false" ht="15" hidden="false" customHeight="false" outlineLevel="0" collapsed="false">
      <c r="A63" s="8" t="n">
        <v>49</v>
      </c>
      <c r="B63" s="8" t="s">
        <v>67</v>
      </c>
      <c r="D63" s="8" t="n">
        <v>1</v>
      </c>
      <c r="F63" s="8" t="n">
        <v>672</v>
      </c>
      <c r="G63" s="8" t="n">
        <v>23.3</v>
      </c>
      <c r="H63" s="8" t="n">
        <v>13.002</v>
      </c>
      <c r="I63" s="8" t="n">
        <v>0</v>
      </c>
      <c r="N63" s="8" t="n">
        <v>-1.223</v>
      </c>
      <c r="R63" s="9" t="str">
        <f aca="false">IF($D63="","",IF($F63&lt;&gt;"","N",IF($J63&lt;&gt;"","C","")))</f>
        <v>N</v>
      </c>
      <c r="S63" s="9" t="str">
        <f aca="false">IF($R63="","",$A63&amp;"|"&amp;$R63&amp;"|"&amp;$D63)</f>
        <v>49|N|1</v>
      </c>
    </row>
    <row r="64" customFormat="false" ht="15" hidden="false" customHeight="false" outlineLevel="0" collapsed="false">
      <c r="A64" s="8" t="n">
        <v>49</v>
      </c>
      <c r="B64" s="8" t="s">
        <v>67</v>
      </c>
      <c r="D64" s="8" t="n">
        <v>2</v>
      </c>
      <c r="F64" s="8" t="n">
        <v>676</v>
      </c>
      <c r="G64" s="8" t="n">
        <v>23.2</v>
      </c>
      <c r="H64" s="8" t="n">
        <v>13.022</v>
      </c>
      <c r="I64" s="8" t="n">
        <v>1</v>
      </c>
      <c r="N64" s="8" t="n">
        <v>-1.25</v>
      </c>
      <c r="R64" s="9" t="str">
        <f aca="false">IF($D64="","",IF($F64&lt;&gt;"","N",IF($J64&lt;&gt;"","C","")))</f>
        <v>N</v>
      </c>
      <c r="S64" s="9" t="str">
        <f aca="false">IF($R64="","",$A64&amp;"|"&amp;$R64&amp;"|"&amp;$D64)</f>
        <v>49|N|2</v>
      </c>
    </row>
    <row r="65" customFormat="false" ht="15" hidden="false" customHeight="false" outlineLevel="0" collapsed="false">
      <c r="A65" s="8" t="n">
        <v>49</v>
      </c>
      <c r="B65" s="8" t="s">
        <v>67</v>
      </c>
      <c r="D65" s="8" t="n">
        <v>3</v>
      </c>
      <c r="F65" s="8" t="n">
        <v>2404</v>
      </c>
      <c r="G65" s="8" t="n">
        <v>24.1</v>
      </c>
      <c r="H65" s="8" t="n">
        <v>41.648</v>
      </c>
      <c r="I65" s="8" t="n">
        <v>0</v>
      </c>
      <c r="N65" s="8" t="n">
        <v>-5.971</v>
      </c>
      <c r="R65" s="9" t="str">
        <f aca="false">IF($D65="","",IF($F65&lt;&gt;"","N",IF($J65&lt;&gt;"","C","")))</f>
        <v>N</v>
      </c>
      <c r="S65" s="9" t="str">
        <f aca="false">IF($R65="","",$A65&amp;"|"&amp;$R65&amp;"|"&amp;$D65)</f>
        <v>49|N|3</v>
      </c>
    </row>
    <row r="66" customFormat="false" ht="15" hidden="false" customHeight="false" outlineLevel="0" collapsed="false">
      <c r="A66" s="8" t="n">
        <v>49</v>
      </c>
      <c r="B66" s="8" t="s">
        <v>67</v>
      </c>
      <c r="D66" s="8" t="n">
        <v>4</v>
      </c>
      <c r="I66" s="8" t="n">
        <v>0</v>
      </c>
      <c r="J66" s="8" t="n">
        <v>8403</v>
      </c>
      <c r="K66" s="8" t="n">
        <v>195.21</v>
      </c>
      <c r="O66" s="8" t="n">
        <v>-9.471</v>
      </c>
      <c r="R66" s="9" t="str">
        <f aca="false">IF($D66="","",IF($F66&lt;&gt;"","N",IF($J66&lt;&gt;"","C","")))</f>
        <v>C</v>
      </c>
      <c r="S66" s="9" t="str">
        <f aca="false">IF($R66="","",$A66&amp;"|"&amp;$R66&amp;"|"&amp;$D66)</f>
        <v>49|C|4</v>
      </c>
    </row>
    <row r="67" customFormat="false" ht="15" hidden="false" customHeight="false" outlineLevel="0" collapsed="false">
      <c r="A67" s="8" t="n">
        <v>49</v>
      </c>
      <c r="B67" s="8" t="s">
        <v>67</v>
      </c>
      <c r="D67" s="8" t="n">
        <v>5</v>
      </c>
      <c r="I67" s="8" t="n">
        <v>1</v>
      </c>
      <c r="J67" s="8" t="n">
        <v>4749</v>
      </c>
      <c r="K67" s="8" t="n">
        <v>89.332</v>
      </c>
      <c r="O67" s="8" t="n">
        <v>-25.22</v>
      </c>
      <c r="R67" s="9" t="str">
        <f aca="false">IF($D67="","",IF($F67&lt;&gt;"","N",IF($J67&lt;&gt;"","C","")))</f>
        <v>C</v>
      </c>
      <c r="S67" s="9" t="str">
        <f aca="false">IF($R67="","",$A67&amp;"|"&amp;$R67&amp;"|"&amp;$D67)</f>
        <v>49|C|5</v>
      </c>
    </row>
    <row r="68" customFormat="false" ht="15" hidden="false" customHeight="false" outlineLevel="0" collapsed="false">
      <c r="A68" s="8" t="n">
        <v>49</v>
      </c>
      <c r="B68" s="8" t="s">
        <v>67</v>
      </c>
      <c r="D68" s="8" t="n">
        <v>6</v>
      </c>
      <c r="I68" s="8" t="n">
        <v>0</v>
      </c>
      <c r="J68" s="8" t="n">
        <v>4755</v>
      </c>
      <c r="K68" s="8" t="n">
        <v>89.498</v>
      </c>
      <c r="O68" s="8" t="n">
        <v>-25.338</v>
      </c>
      <c r="R68" s="9" t="str">
        <f aca="false">IF($D68="","",IF($F68&lt;&gt;"","N",IF($J68&lt;&gt;"","C","")))</f>
        <v>C</v>
      </c>
      <c r="S68" s="9" t="str">
        <f aca="false">IF($R68="","",$A68&amp;"|"&amp;$R68&amp;"|"&amp;$D68)</f>
        <v>49|C|6</v>
      </c>
    </row>
    <row r="69" customFormat="false" ht="15" hidden="false" customHeight="false" outlineLevel="0" collapsed="false">
      <c r="A69" s="8" t="n">
        <v>49</v>
      </c>
      <c r="B69" s="8" t="s">
        <v>67</v>
      </c>
      <c r="D69" s="8" t="n">
        <v>7</v>
      </c>
      <c r="I69" s="8" t="n">
        <v>0</v>
      </c>
      <c r="J69" s="8" t="n">
        <v>4755</v>
      </c>
      <c r="K69" s="8" t="n">
        <v>89.6</v>
      </c>
      <c r="O69" s="8" t="n">
        <v>-25.395</v>
      </c>
      <c r="R69" s="9" t="str">
        <f aca="false">IF($D69="","",IF($F69&lt;&gt;"","N",IF($J69&lt;&gt;"","C","")))</f>
        <v>C</v>
      </c>
      <c r="S69" s="9" t="str">
        <f aca="false">IF($R69="","",$A69&amp;"|"&amp;$R69&amp;"|"&amp;$D69)</f>
        <v>49|C|7</v>
      </c>
    </row>
    <row r="70" customFormat="false" ht="15" hidden="false" customHeight="false" outlineLevel="0" collapsed="false">
      <c r="A70" s="8" t="n">
        <v>48</v>
      </c>
      <c r="B70" s="8" t="s">
        <v>67</v>
      </c>
      <c r="L70" s="8" t="s">
        <v>53</v>
      </c>
      <c r="M70" s="8" t="s">
        <v>86</v>
      </c>
      <c r="P70" s="8" t="s">
        <v>74</v>
      </c>
      <c r="R70" s="9" t="str">
        <f aca="false">IF($D70="","",IF($F70&lt;&gt;"","N",IF($J70&lt;&gt;"","C","")))</f>
        <v/>
      </c>
      <c r="S70" s="9" t="str">
        <f aca="false">IF($R70="","",$A70&amp;"|"&amp;$R70&amp;"|"&amp;$D70)</f>
        <v/>
      </c>
    </row>
    <row r="71" customFormat="false" ht="15" hidden="false" customHeight="false" outlineLevel="0" collapsed="false">
      <c r="A71" s="8" t="n">
        <v>48</v>
      </c>
      <c r="B71" s="8" t="s">
        <v>67</v>
      </c>
      <c r="L71" s="8" t="s">
        <v>59</v>
      </c>
      <c r="M71" s="8" t="s">
        <v>87</v>
      </c>
      <c r="P71" s="8" t="s">
        <v>88</v>
      </c>
      <c r="R71" s="9" t="str">
        <f aca="false">IF($D71="","",IF($F71&lt;&gt;"","N",IF($J71&lt;&gt;"","C","")))</f>
        <v/>
      </c>
      <c r="S71" s="9" t="str">
        <f aca="false">IF($R71="","",$A71&amp;"|"&amp;$R71&amp;"|"&amp;$D71)</f>
        <v/>
      </c>
    </row>
    <row r="72" customFormat="false" ht="15" hidden="false" customHeight="false" outlineLevel="0" collapsed="false">
      <c r="A72" s="8" t="n">
        <v>48</v>
      </c>
      <c r="B72" s="8" t="s">
        <v>67</v>
      </c>
      <c r="D72" s="8" t="n">
        <v>1</v>
      </c>
      <c r="F72" s="8" t="n">
        <v>672</v>
      </c>
      <c r="G72" s="8" t="n">
        <v>23.1</v>
      </c>
      <c r="H72" s="8" t="n">
        <v>13.007</v>
      </c>
      <c r="I72" s="8" t="n">
        <v>0</v>
      </c>
      <c r="N72" s="8" t="n">
        <v>-1.244</v>
      </c>
      <c r="R72" s="9" t="str">
        <f aca="false">IF($D72="","",IF($F72&lt;&gt;"","N",IF($J72&lt;&gt;"","C","")))</f>
        <v>N</v>
      </c>
      <c r="S72" s="9" t="str">
        <f aca="false">IF($R72="","",$A72&amp;"|"&amp;$R72&amp;"|"&amp;$D72)</f>
        <v>48|N|1</v>
      </c>
    </row>
    <row r="73" customFormat="false" ht="15" hidden="false" customHeight="false" outlineLevel="0" collapsed="false">
      <c r="A73" s="8" t="n">
        <v>48</v>
      </c>
      <c r="B73" s="8" t="s">
        <v>67</v>
      </c>
      <c r="D73" s="8" t="n">
        <v>2</v>
      </c>
      <c r="F73" s="8" t="n">
        <v>676</v>
      </c>
      <c r="G73" s="8" t="n">
        <v>23.1</v>
      </c>
      <c r="H73" s="8" t="n">
        <v>13.022</v>
      </c>
      <c r="I73" s="8" t="n">
        <v>1</v>
      </c>
      <c r="N73" s="8" t="n">
        <v>-1.25</v>
      </c>
      <c r="R73" s="9" t="str">
        <f aca="false">IF($D73="","",IF($F73&lt;&gt;"","N",IF($J73&lt;&gt;"","C","")))</f>
        <v>N</v>
      </c>
      <c r="S73" s="9" t="str">
        <f aca="false">IF($R73="","",$A73&amp;"|"&amp;$R73&amp;"|"&amp;$D73)</f>
        <v>48|N|2</v>
      </c>
    </row>
    <row r="74" customFormat="false" ht="15" hidden="false" customHeight="false" outlineLevel="0" collapsed="false">
      <c r="A74" s="8" t="n">
        <v>48</v>
      </c>
      <c r="B74" s="8" t="s">
        <v>67</v>
      </c>
      <c r="D74" s="8" t="n">
        <v>3</v>
      </c>
      <c r="F74" s="8" t="n">
        <v>1538</v>
      </c>
      <c r="G74" s="8" t="n">
        <v>23.9</v>
      </c>
      <c r="H74" s="8" t="n">
        <v>27.231</v>
      </c>
      <c r="I74" s="8" t="n">
        <v>0</v>
      </c>
      <c r="N74" s="8" t="n">
        <v>-6.25</v>
      </c>
      <c r="R74" s="9" t="str">
        <f aca="false">IF($D74="","",IF($F74&lt;&gt;"","N",IF($J74&lt;&gt;"","C","")))</f>
        <v>N</v>
      </c>
      <c r="S74" s="9" t="str">
        <f aca="false">IF($R74="","",$A74&amp;"|"&amp;$R74&amp;"|"&amp;$D74)</f>
        <v>48|N|3</v>
      </c>
    </row>
    <row r="75" customFormat="false" ht="15" hidden="false" customHeight="false" outlineLevel="0" collapsed="false">
      <c r="A75" s="8" t="n">
        <v>48</v>
      </c>
      <c r="B75" s="8" t="s">
        <v>67</v>
      </c>
      <c r="D75" s="8" t="n">
        <v>4</v>
      </c>
      <c r="I75" s="8" t="n">
        <v>0</v>
      </c>
      <c r="J75" s="8" t="n">
        <v>5640</v>
      </c>
      <c r="K75" s="8" t="n">
        <v>127.336</v>
      </c>
      <c r="O75" s="8" t="n">
        <v>-9.587</v>
      </c>
      <c r="R75" s="9" t="str">
        <f aca="false">IF($D75="","",IF($F75&lt;&gt;"","N",IF($J75&lt;&gt;"","C","")))</f>
        <v>C</v>
      </c>
      <c r="S75" s="9" t="str">
        <f aca="false">IF($R75="","",$A75&amp;"|"&amp;$R75&amp;"|"&amp;$D75)</f>
        <v>48|C|4</v>
      </c>
    </row>
    <row r="76" customFormat="false" ht="15" hidden="false" customHeight="false" outlineLevel="0" collapsed="false">
      <c r="A76" s="8" t="n">
        <v>48</v>
      </c>
      <c r="B76" s="8" t="s">
        <v>67</v>
      </c>
      <c r="D76" s="8" t="n">
        <v>5</v>
      </c>
      <c r="I76" s="8" t="n">
        <v>1</v>
      </c>
      <c r="J76" s="8" t="n">
        <v>4725</v>
      </c>
      <c r="K76" s="8" t="n">
        <v>89.404</v>
      </c>
      <c r="O76" s="8" t="n">
        <v>-25.22</v>
      </c>
      <c r="R76" s="9" t="str">
        <f aca="false">IF($D76="","",IF($F76&lt;&gt;"","N",IF($J76&lt;&gt;"","C","")))</f>
        <v>C</v>
      </c>
      <c r="S76" s="9" t="str">
        <f aca="false">IF($R76="","",$A76&amp;"|"&amp;$R76&amp;"|"&amp;$D76)</f>
        <v>48|C|5</v>
      </c>
    </row>
    <row r="77" customFormat="false" ht="15" hidden="false" customHeight="false" outlineLevel="0" collapsed="false">
      <c r="A77" s="8" t="n">
        <v>48</v>
      </c>
      <c r="B77" s="8" t="s">
        <v>67</v>
      </c>
      <c r="D77" s="8" t="n">
        <v>6</v>
      </c>
      <c r="I77" s="8" t="n">
        <v>0</v>
      </c>
      <c r="J77" s="8" t="n">
        <v>4759</v>
      </c>
      <c r="K77" s="8" t="n">
        <v>89.363</v>
      </c>
      <c r="O77" s="8" t="n">
        <v>-25.357</v>
      </c>
      <c r="R77" s="9" t="str">
        <f aca="false">IF($D77="","",IF($F77&lt;&gt;"","N",IF($J77&lt;&gt;"","C","")))</f>
        <v>C</v>
      </c>
      <c r="S77" s="9" t="str">
        <f aca="false">IF($R77="","",$A77&amp;"|"&amp;$R77&amp;"|"&amp;$D77)</f>
        <v>48|C|6</v>
      </c>
    </row>
    <row r="78" customFormat="false" ht="15" hidden="false" customHeight="false" outlineLevel="0" collapsed="false">
      <c r="A78" s="8" t="n">
        <v>48</v>
      </c>
      <c r="B78" s="8" t="s">
        <v>67</v>
      </c>
      <c r="D78" s="8" t="n">
        <v>7</v>
      </c>
      <c r="I78" s="8" t="n">
        <v>0</v>
      </c>
      <c r="J78" s="8" t="n">
        <v>4763</v>
      </c>
      <c r="K78" s="8" t="n">
        <v>89.585</v>
      </c>
      <c r="O78" s="8" t="n">
        <v>-25.4</v>
      </c>
      <c r="R78" s="9" t="str">
        <f aca="false">IF($D78="","",IF($F78&lt;&gt;"","N",IF($J78&lt;&gt;"","C","")))</f>
        <v>C</v>
      </c>
      <c r="S78" s="9" t="str">
        <f aca="false">IF($R78="","",$A78&amp;"|"&amp;$R78&amp;"|"&amp;$D78)</f>
        <v>48|C|7</v>
      </c>
    </row>
    <row r="79" customFormat="false" ht="15" hidden="false" customHeight="false" outlineLevel="0" collapsed="false">
      <c r="A79" s="8" t="n">
        <v>47</v>
      </c>
      <c r="B79" s="8" t="s">
        <v>67</v>
      </c>
      <c r="L79" s="8" t="s">
        <v>53</v>
      </c>
      <c r="M79" s="8" t="s">
        <v>89</v>
      </c>
      <c r="P79" s="8" t="s">
        <v>90</v>
      </c>
      <c r="R79" s="9" t="str">
        <f aca="false">IF($D79="","",IF($F79&lt;&gt;"","N",IF($J79&lt;&gt;"","C","")))</f>
        <v/>
      </c>
      <c r="S79" s="9" t="str">
        <f aca="false">IF($R79="","",$A79&amp;"|"&amp;$R79&amp;"|"&amp;$D79)</f>
        <v/>
      </c>
    </row>
    <row r="80" customFormat="false" ht="15" hidden="false" customHeight="false" outlineLevel="0" collapsed="false">
      <c r="A80" s="8" t="n">
        <v>47</v>
      </c>
      <c r="B80" s="8" t="s">
        <v>67</v>
      </c>
      <c r="D80" s="8" t="n">
        <v>1</v>
      </c>
      <c r="F80" s="8" t="n">
        <v>671</v>
      </c>
      <c r="G80" s="8" t="n">
        <v>23.3</v>
      </c>
      <c r="H80" s="8" t="n">
        <v>13.003</v>
      </c>
      <c r="I80" s="8" t="n">
        <v>0</v>
      </c>
      <c r="N80" s="8" t="n">
        <v>-1.175</v>
      </c>
      <c r="R80" s="9" t="str">
        <f aca="false">IF($D80="","",IF($F80&lt;&gt;"","N",IF($J80&lt;&gt;"","C","")))</f>
        <v>N</v>
      </c>
      <c r="S80" s="9" t="str">
        <f aca="false">IF($R80="","",$A80&amp;"|"&amp;$R80&amp;"|"&amp;$D80)</f>
        <v>47|N|1</v>
      </c>
    </row>
    <row r="81" customFormat="false" ht="15" hidden="false" customHeight="false" outlineLevel="0" collapsed="false">
      <c r="A81" s="8" t="n">
        <v>47</v>
      </c>
      <c r="B81" s="8" t="s">
        <v>67</v>
      </c>
      <c r="D81" s="8" t="n">
        <v>2</v>
      </c>
      <c r="F81" s="8" t="n">
        <v>675</v>
      </c>
      <c r="G81" s="8" t="n">
        <v>23.3</v>
      </c>
      <c r="H81" s="8" t="n">
        <v>13.009</v>
      </c>
      <c r="I81" s="8" t="n">
        <v>1</v>
      </c>
      <c r="N81" s="8" t="n">
        <v>-1.25</v>
      </c>
      <c r="R81" s="9" t="str">
        <f aca="false">IF($D81="","",IF($F81&lt;&gt;"","N",IF($J81&lt;&gt;"","C","")))</f>
        <v>N</v>
      </c>
      <c r="S81" s="9" t="str">
        <f aca="false">IF($R81="","",$A81&amp;"|"&amp;$R81&amp;"|"&amp;$D81)</f>
        <v>47|N|2</v>
      </c>
    </row>
    <row r="82" customFormat="false" ht="15" hidden="false" customHeight="false" outlineLevel="0" collapsed="false">
      <c r="A82" s="8" t="n">
        <v>47</v>
      </c>
      <c r="B82" s="8" t="s">
        <v>67</v>
      </c>
      <c r="D82" s="8" t="n">
        <v>3</v>
      </c>
      <c r="F82" s="8" t="n">
        <v>142</v>
      </c>
      <c r="G82" s="8" t="n">
        <v>24.1</v>
      </c>
      <c r="H82" s="8" t="n">
        <v>2.464</v>
      </c>
      <c r="I82" s="8" t="n">
        <v>0</v>
      </c>
      <c r="N82" s="8" t="n">
        <v>1.617</v>
      </c>
      <c r="R82" s="9" t="str">
        <f aca="false">IF($D82="","",IF($F82&lt;&gt;"","N",IF($J82&lt;&gt;"","C","")))</f>
        <v>N</v>
      </c>
      <c r="S82" s="9" t="str">
        <f aca="false">IF($R82="","",$A82&amp;"|"&amp;$R82&amp;"|"&amp;$D82)</f>
        <v>47|N|3</v>
      </c>
    </row>
    <row r="83" customFormat="false" ht="15" hidden="false" customHeight="false" outlineLevel="0" collapsed="false">
      <c r="A83" s="8" t="n">
        <v>47</v>
      </c>
      <c r="B83" s="8" t="s">
        <v>67</v>
      </c>
      <c r="D83" s="8" t="n">
        <v>4</v>
      </c>
      <c r="I83" s="8" t="n">
        <v>0</v>
      </c>
      <c r="J83" s="8" t="n">
        <v>926</v>
      </c>
      <c r="K83" s="8" t="n">
        <v>20.21</v>
      </c>
      <c r="O83" s="8" t="n">
        <v>-10.686</v>
      </c>
      <c r="R83" s="9" t="str">
        <f aca="false">IF($D83="","",IF($F83&lt;&gt;"","N",IF($J83&lt;&gt;"","C","")))</f>
        <v>C</v>
      </c>
      <c r="S83" s="9" t="str">
        <f aca="false">IF($R83="","",$A83&amp;"|"&amp;$R83&amp;"|"&amp;$D83)</f>
        <v>47|C|4</v>
      </c>
    </row>
    <row r="84" customFormat="false" ht="15" hidden="false" customHeight="false" outlineLevel="0" collapsed="false">
      <c r="A84" s="8" t="n">
        <v>47</v>
      </c>
      <c r="B84" s="8" t="s">
        <v>67</v>
      </c>
      <c r="D84" s="8" t="n">
        <v>5</v>
      </c>
      <c r="I84" s="8" t="n">
        <v>1</v>
      </c>
      <c r="J84" s="8" t="n">
        <v>4702</v>
      </c>
      <c r="K84" s="8" t="n">
        <v>89.345</v>
      </c>
      <c r="O84" s="8" t="n">
        <v>-25.22</v>
      </c>
      <c r="R84" s="9" t="str">
        <f aca="false">IF($D84="","",IF($F84&lt;&gt;"","N",IF($J84&lt;&gt;"","C","")))</f>
        <v>C</v>
      </c>
      <c r="S84" s="9" t="str">
        <f aca="false">IF($R84="","",$A84&amp;"|"&amp;$R84&amp;"|"&amp;$D84)</f>
        <v>47|C|5</v>
      </c>
    </row>
    <row r="85" customFormat="false" ht="15" hidden="false" customHeight="false" outlineLevel="0" collapsed="false">
      <c r="A85" s="8" t="n">
        <v>47</v>
      </c>
      <c r="B85" s="8" t="s">
        <v>67</v>
      </c>
      <c r="D85" s="8" t="n">
        <v>6</v>
      </c>
      <c r="I85" s="8" t="n">
        <v>0</v>
      </c>
      <c r="J85" s="8" t="n">
        <v>4743</v>
      </c>
      <c r="K85" s="8" t="n">
        <v>89.435</v>
      </c>
      <c r="O85" s="8" t="n">
        <v>-25.449</v>
      </c>
      <c r="R85" s="9" t="str">
        <f aca="false">IF($D85="","",IF($F85&lt;&gt;"","N",IF($J85&lt;&gt;"","C","")))</f>
        <v>C</v>
      </c>
      <c r="S85" s="9" t="str">
        <f aca="false">IF($R85="","",$A85&amp;"|"&amp;$R85&amp;"|"&amp;$D85)</f>
        <v>47|C|6</v>
      </c>
    </row>
    <row r="86" customFormat="false" ht="15" hidden="false" customHeight="false" outlineLevel="0" collapsed="false">
      <c r="A86" s="8" t="n">
        <v>47</v>
      </c>
      <c r="B86" s="8" t="s">
        <v>67</v>
      </c>
      <c r="D86" s="8" t="n">
        <v>7</v>
      </c>
      <c r="I86" s="8" t="n">
        <v>0</v>
      </c>
      <c r="J86" s="8" t="n">
        <v>4776</v>
      </c>
      <c r="K86" s="8" t="n">
        <v>89.445</v>
      </c>
      <c r="O86" s="8" t="n">
        <v>-25.539</v>
      </c>
      <c r="R86" s="9" t="str">
        <f aca="false">IF($D86="","",IF($F86&lt;&gt;"","N",IF($J86&lt;&gt;"","C","")))</f>
        <v>C</v>
      </c>
      <c r="S86" s="9" t="str">
        <f aca="false">IF($R86="","",$A86&amp;"|"&amp;$R86&amp;"|"&amp;$D86)</f>
        <v>47|C|7</v>
      </c>
    </row>
    <row r="87" customFormat="false" ht="15" hidden="false" customHeight="false" outlineLevel="0" collapsed="false">
      <c r="A87" s="8" t="n">
        <v>46</v>
      </c>
      <c r="B87" s="8" t="s">
        <v>91</v>
      </c>
      <c r="E87" s="8" t="n">
        <v>0.419</v>
      </c>
      <c r="L87" s="8" t="s">
        <v>53</v>
      </c>
      <c r="M87" s="8" t="s">
        <v>92</v>
      </c>
      <c r="P87" s="8" t="s">
        <v>83</v>
      </c>
      <c r="R87" s="9" t="str">
        <f aca="false">IF($D87="","",IF($F87&lt;&gt;"","N",IF($J87&lt;&gt;"","C","")))</f>
        <v/>
      </c>
      <c r="S87" s="9" t="str">
        <f aca="false">IF($R87="","",$A87&amp;"|"&amp;$R87&amp;"|"&amp;$D87)</f>
        <v/>
      </c>
    </row>
    <row r="88" customFormat="false" ht="15" hidden="false" customHeight="false" outlineLevel="0" collapsed="false">
      <c r="A88" s="8" t="n">
        <v>46</v>
      </c>
      <c r="B88" s="8" t="s">
        <v>91</v>
      </c>
      <c r="E88" s="8" t="n">
        <v>0.419</v>
      </c>
      <c r="L88" s="8" t="s">
        <v>59</v>
      </c>
      <c r="M88" s="8" t="s">
        <v>93</v>
      </c>
      <c r="P88" s="8" t="s">
        <v>81</v>
      </c>
      <c r="R88" s="9" t="str">
        <f aca="false">IF($D88="","",IF($F88&lt;&gt;"","N",IF($J88&lt;&gt;"","C","")))</f>
        <v/>
      </c>
      <c r="S88" s="9" t="str">
        <f aca="false">IF($R88="","",$A88&amp;"|"&amp;$R88&amp;"|"&amp;$D88)</f>
        <v/>
      </c>
    </row>
    <row r="89" customFormat="false" ht="15" hidden="false" customHeight="false" outlineLevel="0" collapsed="false">
      <c r="A89" s="8" t="n">
        <v>46</v>
      </c>
      <c r="B89" s="8" t="s">
        <v>91</v>
      </c>
      <c r="D89" s="8" t="n">
        <v>1</v>
      </c>
      <c r="E89" s="8" t="n">
        <v>0.419</v>
      </c>
      <c r="F89" s="8" t="n">
        <v>671</v>
      </c>
      <c r="G89" s="8" t="n">
        <v>23.1</v>
      </c>
      <c r="H89" s="8" t="n">
        <v>13.003</v>
      </c>
      <c r="I89" s="8" t="n">
        <v>0</v>
      </c>
      <c r="N89" s="8" t="n">
        <v>-1.263</v>
      </c>
      <c r="R89" s="9" t="str">
        <f aca="false">IF($D89="","",IF($F89&lt;&gt;"","N",IF($J89&lt;&gt;"","C","")))</f>
        <v>N</v>
      </c>
      <c r="S89" s="9" t="str">
        <f aca="false">IF($R89="","",$A89&amp;"|"&amp;$R89&amp;"|"&amp;$D89)</f>
        <v>46|N|1</v>
      </c>
    </row>
    <row r="90" customFormat="false" ht="15" hidden="false" customHeight="false" outlineLevel="0" collapsed="false">
      <c r="A90" s="8" t="n">
        <v>46</v>
      </c>
      <c r="B90" s="8" t="s">
        <v>91</v>
      </c>
      <c r="D90" s="8" t="n">
        <v>2</v>
      </c>
      <c r="E90" s="8" t="n">
        <v>0.419</v>
      </c>
      <c r="F90" s="8" t="n">
        <v>675</v>
      </c>
      <c r="G90" s="8" t="n">
        <v>23.1</v>
      </c>
      <c r="H90" s="8" t="n">
        <v>13.013</v>
      </c>
      <c r="I90" s="8" t="n">
        <v>1</v>
      </c>
      <c r="N90" s="8" t="n">
        <v>-1.25</v>
      </c>
      <c r="R90" s="9" t="str">
        <f aca="false">IF($D90="","",IF($F90&lt;&gt;"","N",IF($J90&lt;&gt;"","C","")))</f>
        <v>N</v>
      </c>
      <c r="S90" s="9" t="str">
        <f aca="false">IF($R90="","",$A90&amp;"|"&amp;$R90&amp;"|"&amp;$D90)</f>
        <v>46|N|2</v>
      </c>
    </row>
    <row r="91" customFormat="false" ht="15" hidden="false" customHeight="false" outlineLevel="0" collapsed="false">
      <c r="A91" s="8" t="n">
        <v>46</v>
      </c>
      <c r="B91" s="8" t="s">
        <v>91</v>
      </c>
      <c r="D91" s="8" t="n">
        <v>3</v>
      </c>
      <c r="E91" s="8" t="n">
        <v>0.419</v>
      </c>
      <c r="F91" s="8" t="n">
        <v>1652</v>
      </c>
      <c r="G91" s="8" t="n">
        <v>23.9</v>
      </c>
      <c r="H91" s="8" t="n">
        <v>29.047</v>
      </c>
      <c r="I91" s="8" t="n">
        <v>0</v>
      </c>
      <c r="N91" s="8" t="n">
        <v>-6.231</v>
      </c>
      <c r="R91" s="9" t="str">
        <f aca="false">IF($D91="","",IF($F91&lt;&gt;"","N",IF($J91&lt;&gt;"","C","")))</f>
        <v>N</v>
      </c>
      <c r="S91" s="9" t="str">
        <f aca="false">IF($R91="","",$A91&amp;"|"&amp;$R91&amp;"|"&amp;$D91)</f>
        <v>46|N|3</v>
      </c>
    </row>
    <row r="92" customFormat="false" ht="15" hidden="false" customHeight="false" outlineLevel="0" collapsed="false">
      <c r="A92" s="8" t="n">
        <v>46</v>
      </c>
      <c r="B92" s="8" t="s">
        <v>91</v>
      </c>
      <c r="D92" s="8" t="n">
        <v>4</v>
      </c>
      <c r="E92" s="8" t="n">
        <v>0.419</v>
      </c>
      <c r="I92" s="8" t="n">
        <v>0</v>
      </c>
      <c r="J92" s="8" t="n">
        <v>5971</v>
      </c>
      <c r="K92" s="8" t="n">
        <v>135.61</v>
      </c>
      <c r="O92" s="8" t="n">
        <v>-9.407</v>
      </c>
      <c r="R92" s="9" t="str">
        <f aca="false">IF($D92="","",IF($F92&lt;&gt;"","N",IF($J92&lt;&gt;"","C","")))</f>
        <v>C</v>
      </c>
      <c r="S92" s="9" t="str">
        <f aca="false">IF($R92="","",$A92&amp;"|"&amp;$R92&amp;"|"&amp;$D92)</f>
        <v>46|C|4</v>
      </c>
    </row>
    <row r="93" customFormat="false" ht="15" hidden="false" customHeight="false" outlineLevel="0" collapsed="false">
      <c r="A93" s="8" t="n">
        <v>46</v>
      </c>
      <c r="B93" s="8" t="s">
        <v>91</v>
      </c>
      <c r="D93" s="8" t="n">
        <v>5</v>
      </c>
      <c r="E93" s="8" t="n">
        <v>0.419</v>
      </c>
      <c r="I93" s="8" t="n">
        <v>1</v>
      </c>
      <c r="J93" s="8" t="n">
        <v>4735</v>
      </c>
      <c r="K93" s="8" t="n">
        <v>89.383</v>
      </c>
      <c r="O93" s="8" t="n">
        <v>-25.22</v>
      </c>
      <c r="R93" s="9" t="str">
        <f aca="false">IF($D93="","",IF($F93&lt;&gt;"","N",IF($J93&lt;&gt;"","C","")))</f>
        <v>C</v>
      </c>
      <c r="S93" s="9" t="str">
        <f aca="false">IF($R93="","",$A93&amp;"|"&amp;$R93&amp;"|"&amp;$D93)</f>
        <v>46|C|5</v>
      </c>
    </row>
    <row r="94" customFormat="false" ht="15" hidden="false" customHeight="false" outlineLevel="0" collapsed="false">
      <c r="A94" s="8" t="n">
        <v>46</v>
      </c>
      <c r="B94" s="8" t="s">
        <v>91</v>
      </c>
      <c r="D94" s="8" t="n">
        <v>6</v>
      </c>
      <c r="E94" s="8" t="n">
        <v>0.419</v>
      </c>
      <c r="I94" s="8" t="n">
        <v>0</v>
      </c>
      <c r="J94" s="8" t="n">
        <v>4769</v>
      </c>
      <c r="K94" s="8" t="n">
        <v>89.475</v>
      </c>
      <c r="O94" s="8" t="n">
        <v>-25.35</v>
      </c>
      <c r="R94" s="9" t="str">
        <f aca="false">IF($D94="","",IF($F94&lt;&gt;"","N",IF($J94&lt;&gt;"","C","")))</f>
        <v>C</v>
      </c>
      <c r="S94" s="9" t="str">
        <f aca="false">IF($R94="","",$A94&amp;"|"&amp;$R94&amp;"|"&amp;$D94)</f>
        <v>46|C|6</v>
      </c>
    </row>
    <row r="95" customFormat="false" ht="15" hidden="false" customHeight="false" outlineLevel="0" collapsed="false">
      <c r="A95" s="8" t="n">
        <v>46</v>
      </c>
      <c r="B95" s="8" t="s">
        <v>91</v>
      </c>
      <c r="D95" s="8" t="n">
        <v>7</v>
      </c>
      <c r="E95" s="8" t="n">
        <v>0.419</v>
      </c>
      <c r="I95" s="8" t="n">
        <v>0</v>
      </c>
      <c r="J95" s="8" t="n">
        <v>4750</v>
      </c>
      <c r="K95" s="8" t="n">
        <v>89.43</v>
      </c>
      <c r="O95" s="8" t="n">
        <v>-25.403</v>
      </c>
      <c r="R95" s="9" t="str">
        <f aca="false">IF($D95="","",IF($F95&lt;&gt;"","N",IF($J95&lt;&gt;"","C","")))</f>
        <v>C</v>
      </c>
      <c r="S95" s="9" t="str">
        <f aca="false">IF($R95="","",$A95&amp;"|"&amp;$R95&amp;"|"&amp;$D95)</f>
        <v>46|C|7</v>
      </c>
    </row>
    <row r="96" customFormat="false" ht="15" hidden="false" customHeight="false" outlineLevel="0" collapsed="false">
      <c r="A96" s="8" t="n">
        <v>45</v>
      </c>
      <c r="B96" s="8" t="s">
        <v>67</v>
      </c>
      <c r="L96" s="8" t="s">
        <v>53</v>
      </c>
      <c r="M96" s="8" t="s">
        <v>94</v>
      </c>
      <c r="P96" s="8" t="s">
        <v>95</v>
      </c>
      <c r="R96" s="9" t="str">
        <f aca="false">IF($D96="","",IF($F96&lt;&gt;"","N",IF($J96&lt;&gt;"","C","")))</f>
        <v/>
      </c>
      <c r="S96" s="9" t="str">
        <f aca="false">IF($R96="","",$A96&amp;"|"&amp;$R96&amp;"|"&amp;$D96)</f>
        <v/>
      </c>
    </row>
    <row r="97" customFormat="false" ht="15" hidden="false" customHeight="false" outlineLevel="0" collapsed="false">
      <c r="A97" s="8" t="n">
        <v>45</v>
      </c>
      <c r="B97" s="8" t="s">
        <v>67</v>
      </c>
      <c r="D97" s="8" t="n">
        <v>1</v>
      </c>
      <c r="F97" s="8" t="n">
        <v>669</v>
      </c>
      <c r="G97" s="8" t="n">
        <v>23.1</v>
      </c>
      <c r="H97" s="8" t="n">
        <v>12.987</v>
      </c>
      <c r="I97" s="8" t="n">
        <v>0</v>
      </c>
      <c r="N97" s="8" t="n">
        <v>-1.315</v>
      </c>
      <c r="R97" s="9" t="str">
        <f aca="false">IF($D97="","",IF($F97&lt;&gt;"","N",IF($J97&lt;&gt;"","C","")))</f>
        <v>N</v>
      </c>
      <c r="S97" s="9" t="str">
        <f aca="false">IF($R97="","",$A97&amp;"|"&amp;$R97&amp;"|"&amp;$D97)</f>
        <v>45|N|1</v>
      </c>
    </row>
    <row r="98" customFormat="false" ht="15" hidden="false" customHeight="false" outlineLevel="0" collapsed="false">
      <c r="A98" s="8" t="n">
        <v>45</v>
      </c>
      <c r="B98" s="8" t="s">
        <v>67</v>
      </c>
      <c r="D98" s="8" t="n">
        <v>2</v>
      </c>
      <c r="F98" s="8" t="n">
        <v>675</v>
      </c>
      <c r="G98" s="8" t="n">
        <v>23.1</v>
      </c>
      <c r="H98" s="8" t="n">
        <v>12.999</v>
      </c>
      <c r="I98" s="8" t="n">
        <v>1</v>
      </c>
      <c r="N98" s="8" t="n">
        <v>-1.25</v>
      </c>
      <c r="R98" s="9" t="str">
        <f aca="false">IF($D98="","",IF($F98&lt;&gt;"","N",IF($J98&lt;&gt;"","C","")))</f>
        <v>N</v>
      </c>
      <c r="S98" s="9" t="str">
        <f aca="false">IF($R98="","",$A98&amp;"|"&amp;$R98&amp;"|"&amp;$D98)</f>
        <v>45|N|2</v>
      </c>
    </row>
    <row r="99" customFormat="false" ht="15" hidden="false" customHeight="false" outlineLevel="0" collapsed="false">
      <c r="A99" s="8" t="n">
        <v>45</v>
      </c>
      <c r="B99" s="8" t="s">
        <v>67</v>
      </c>
      <c r="D99" s="8" t="n">
        <v>3</v>
      </c>
      <c r="F99" s="8" t="n">
        <v>141</v>
      </c>
      <c r="G99" s="8" t="n">
        <v>24</v>
      </c>
      <c r="H99" s="8" t="n">
        <v>2.478</v>
      </c>
      <c r="I99" s="8" t="n">
        <v>0</v>
      </c>
      <c r="N99" s="8" t="n">
        <v>1.975</v>
      </c>
      <c r="R99" s="9" t="str">
        <f aca="false">IF($D99="","",IF($F99&lt;&gt;"","N",IF($J99&lt;&gt;"","C","")))</f>
        <v>N</v>
      </c>
      <c r="S99" s="9" t="str">
        <f aca="false">IF($R99="","",$A99&amp;"|"&amp;$R99&amp;"|"&amp;$D99)</f>
        <v>45|N|3</v>
      </c>
    </row>
    <row r="100" customFormat="false" ht="15" hidden="false" customHeight="false" outlineLevel="0" collapsed="false">
      <c r="A100" s="8" t="n">
        <v>45</v>
      </c>
      <c r="B100" s="8" t="s">
        <v>67</v>
      </c>
      <c r="D100" s="8" t="n">
        <v>4</v>
      </c>
      <c r="I100" s="8" t="n">
        <v>0</v>
      </c>
      <c r="J100" s="8" t="n">
        <v>945</v>
      </c>
      <c r="K100" s="8" t="n">
        <v>20.462</v>
      </c>
      <c r="O100" s="8" t="n">
        <v>-10.909</v>
      </c>
      <c r="R100" s="9" t="str">
        <f aca="false">IF($D100="","",IF($F100&lt;&gt;"","N",IF($J100&lt;&gt;"","C","")))</f>
        <v>C</v>
      </c>
      <c r="S100" s="9" t="str">
        <f aca="false">IF($R100="","",$A100&amp;"|"&amp;$R100&amp;"|"&amp;$D100)</f>
        <v>45|C|4</v>
      </c>
    </row>
    <row r="101" customFormat="false" ht="15" hidden="false" customHeight="false" outlineLevel="0" collapsed="false">
      <c r="A101" s="8" t="n">
        <v>45</v>
      </c>
      <c r="B101" s="8" t="s">
        <v>67</v>
      </c>
      <c r="D101" s="8" t="n">
        <v>5</v>
      </c>
      <c r="I101" s="8" t="n">
        <v>1</v>
      </c>
      <c r="J101" s="8" t="n">
        <v>4711</v>
      </c>
      <c r="K101" s="8" t="n">
        <v>89.291</v>
      </c>
      <c r="O101" s="8" t="n">
        <v>-25.22</v>
      </c>
      <c r="R101" s="9" t="str">
        <f aca="false">IF($D101="","",IF($F101&lt;&gt;"","N",IF($J101&lt;&gt;"","C","")))</f>
        <v>C</v>
      </c>
      <c r="S101" s="9" t="str">
        <f aca="false">IF($R101="","",$A101&amp;"|"&amp;$R101&amp;"|"&amp;$D101)</f>
        <v>45|C|5</v>
      </c>
    </row>
    <row r="102" customFormat="false" ht="15" hidden="false" customHeight="false" outlineLevel="0" collapsed="false">
      <c r="A102" s="8" t="n">
        <v>45</v>
      </c>
      <c r="B102" s="8" t="s">
        <v>67</v>
      </c>
      <c r="D102" s="8" t="n">
        <v>6</v>
      </c>
      <c r="I102" s="8" t="n">
        <v>0</v>
      </c>
      <c r="J102" s="8" t="n">
        <v>4720</v>
      </c>
      <c r="K102" s="8" t="n">
        <v>89.297</v>
      </c>
      <c r="O102" s="8" t="n">
        <v>-25.444</v>
      </c>
      <c r="R102" s="9" t="str">
        <f aca="false">IF($D102="","",IF($F102&lt;&gt;"","N",IF($J102&lt;&gt;"","C","")))</f>
        <v>C</v>
      </c>
      <c r="S102" s="9" t="str">
        <f aca="false">IF($R102="","",$A102&amp;"|"&amp;$R102&amp;"|"&amp;$D102)</f>
        <v>45|C|6</v>
      </c>
    </row>
    <row r="103" customFormat="false" ht="15" hidden="false" customHeight="false" outlineLevel="0" collapsed="false">
      <c r="A103" s="8" t="n">
        <v>45</v>
      </c>
      <c r="B103" s="8" t="s">
        <v>67</v>
      </c>
      <c r="D103" s="8" t="n">
        <v>7</v>
      </c>
      <c r="I103" s="8" t="n">
        <v>0</v>
      </c>
      <c r="J103" s="8" t="n">
        <v>4753</v>
      </c>
      <c r="K103" s="8" t="n">
        <v>89.331</v>
      </c>
      <c r="O103" s="8" t="n">
        <v>-25.521</v>
      </c>
      <c r="R103" s="9" t="str">
        <f aca="false">IF($D103="","",IF($F103&lt;&gt;"","N",IF($J103&lt;&gt;"","C","")))</f>
        <v>C</v>
      </c>
      <c r="S103" s="9" t="str">
        <f aca="false">IF($R103="","",$A103&amp;"|"&amp;$R103&amp;"|"&amp;$D103)</f>
        <v>45|C|7</v>
      </c>
    </row>
    <row r="104" customFormat="false" ht="15" hidden="false" customHeight="false" outlineLevel="0" collapsed="false">
      <c r="A104" s="8" t="n">
        <v>44</v>
      </c>
      <c r="B104" s="8" t="s">
        <v>67</v>
      </c>
      <c r="L104" s="8" t="s">
        <v>53</v>
      </c>
      <c r="M104" s="8" t="s">
        <v>96</v>
      </c>
      <c r="P104" s="8" t="s">
        <v>97</v>
      </c>
      <c r="R104" s="9" t="str">
        <f aca="false">IF($D104="","",IF($F104&lt;&gt;"","N",IF($J104&lt;&gt;"","C","")))</f>
        <v/>
      </c>
      <c r="S104" s="9" t="str">
        <f aca="false">IF($R104="","",$A104&amp;"|"&amp;$R104&amp;"|"&amp;$D104)</f>
        <v/>
      </c>
    </row>
    <row r="105" customFormat="false" ht="15" hidden="false" customHeight="false" outlineLevel="0" collapsed="false">
      <c r="A105" s="8" t="n">
        <v>44</v>
      </c>
      <c r="B105" s="8" t="s">
        <v>67</v>
      </c>
      <c r="D105" s="8" t="n">
        <v>1</v>
      </c>
      <c r="F105" s="8" t="n">
        <v>670</v>
      </c>
      <c r="G105" s="8" t="n">
        <v>23.2</v>
      </c>
      <c r="H105" s="8" t="n">
        <v>12.974</v>
      </c>
      <c r="I105" s="8" t="n">
        <v>0</v>
      </c>
      <c r="N105" s="8" t="n">
        <v>-1.265</v>
      </c>
      <c r="R105" s="9" t="str">
        <f aca="false">IF($D105="","",IF($F105&lt;&gt;"","N",IF($J105&lt;&gt;"","C","")))</f>
        <v>N</v>
      </c>
      <c r="S105" s="9" t="str">
        <f aca="false">IF($R105="","",$A105&amp;"|"&amp;$R105&amp;"|"&amp;$D105)</f>
        <v>44|N|1</v>
      </c>
    </row>
    <row r="106" customFormat="false" ht="15" hidden="false" customHeight="false" outlineLevel="0" collapsed="false">
      <c r="A106" s="8" t="n">
        <v>44</v>
      </c>
      <c r="B106" s="8" t="s">
        <v>67</v>
      </c>
      <c r="D106" s="8" t="n">
        <v>2</v>
      </c>
      <c r="F106" s="8" t="n">
        <v>674</v>
      </c>
      <c r="G106" s="8" t="n">
        <v>23.2</v>
      </c>
      <c r="H106" s="8" t="n">
        <v>12.977</v>
      </c>
      <c r="I106" s="8" t="n">
        <v>1</v>
      </c>
      <c r="N106" s="8" t="n">
        <v>-1.25</v>
      </c>
      <c r="R106" s="9" t="str">
        <f aca="false">IF($D106="","",IF($F106&lt;&gt;"","N",IF($J106&lt;&gt;"","C","")))</f>
        <v>N</v>
      </c>
      <c r="S106" s="9" t="str">
        <f aca="false">IF($R106="","",$A106&amp;"|"&amp;$R106&amp;"|"&amp;$D106)</f>
        <v>44|N|2</v>
      </c>
    </row>
    <row r="107" customFormat="false" ht="15" hidden="false" customHeight="false" outlineLevel="0" collapsed="false">
      <c r="A107" s="8" t="n">
        <v>44</v>
      </c>
      <c r="B107" s="8" t="s">
        <v>67</v>
      </c>
      <c r="D107" s="8" t="n">
        <v>3</v>
      </c>
      <c r="F107" s="8" t="n">
        <v>143</v>
      </c>
      <c r="G107" s="8" t="n">
        <v>24</v>
      </c>
      <c r="H107" s="8" t="n">
        <v>2.479</v>
      </c>
      <c r="I107" s="8" t="n">
        <v>0</v>
      </c>
      <c r="N107" s="8" t="n">
        <v>1.903</v>
      </c>
      <c r="R107" s="9" t="str">
        <f aca="false">IF($D107="","",IF($F107&lt;&gt;"","N",IF($J107&lt;&gt;"","C","")))</f>
        <v>N</v>
      </c>
      <c r="S107" s="9" t="str">
        <f aca="false">IF($R107="","",$A107&amp;"|"&amp;$R107&amp;"|"&amp;$D107)</f>
        <v>44|N|3</v>
      </c>
    </row>
    <row r="108" customFormat="false" ht="15" hidden="false" customHeight="false" outlineLevel="0" collapsed="false">
      <c r="A108" s="8" t="n">
        <v>44</v>
      </c>
      <c r="B108" s="8" t="s">
        <v>67</v>
      </c>
      <c r="D108" s="8" t="n">
        <v>4</v>
      </c>
      <c r="I108" s="8" t="n">
        <v>0</v>
      </c>
      <c r="J108" s="8" t="n">
        <v>954</v>
      </c>
      <c r="K108" s="8" t="n">
        <v>20.814</v>
      </c>
      <c r="O108" s="8" t="n">
        <v>-10.725</v>
      </c>
      <c r="R108" s="9" t="str">
        <f aca="false">IF($D108="","",IF($F108&lt;&gt;"","N",IF($J108&lt;&gt;"","C","")))</f>
        <v>C</v>
      </c>
      <c r="S108" s="9" t="str">
        <f aca="false">IF($R108="","",$A108&amp;"|"&amp;$R108&amp;"|"&amp;$D108)</f>
        <v>44|C|4</v>
      </c>
    </row>
    <row r="109" customFormat="false" ht="15" hidden="false" customHeight="false" outlineLevel="0" collapsed="false">
      <c r="A109" s="8" t="n">
        <v>44</v>
      </c>
      <c r="B109" s="8" t="s">
        <v>67</v>
      </c>
      <c r="D109" s="8" t="n">
        <v>5</v>
      </c>
      <c r="I109" s="8" t="n">
        <v>1</v>
      </c>
      <c r="J109" s="8" t="n">
        <v>4710</v>
      </c>
      <c r="K109" s="8" t="n">
        <v>89.289</v>
      </c>
      <c r="O109" s="8" t="n">
        <v>-25.22</v>
      </c>
      <c r="R109" s="9" t="str">
        <f aca="false">IF($D109="","",IF($F109&lt;&gt;"","N",IF($J109&lt;&gt;"","C","")))</f>
        <v>C</v>
      </c>
      <c r="S109" s="9" t="str">
        <f aca="false">IF($R109="","",$A109&amp;"|"&amp;$R109&amp;"|"&amp;$D109)</f>
        <v>44|C|5</v>
      </c>
    </row>
    <row r="110" customFormat="false" ht="15" hidden="false" customHeight="false" outlineLevel="0" collapsed="false">
      <c r="A110" s="8" t="n">
        <v>44</v>
      </c>
      <c r="B110" s="8" t="s">
        <v>67</v>
      </c>
      <c r="D110" s="8" t="n">
        <v>6</v>
      </c>
      <c r="I110" s="8" t="n">
        <v>0</v>
      </c>
      <c r="J110" s="8" t="n">
        <v>4730</v>
      </c>
      <c r="K110" s="8" t="n">
        <v>89.244</v>
      </c>
      <c r="O110" s="8" t="n">
        <v>-25.415</v>
      </c>
      <c r="R110" s="9" t="str">
        <f aca="false">IF($D110="","",IF($F110&lt;&gt;"","N",IF($J110&lt;&gt;"","C","")))</f>
        <v>C</v>
      </c>
      <c r="S110" s="9" t="str">
        <f aca="false">IF($R110="","",$A110&amp;"|"&amp;$R110&amp;"|"&amp;$D110)</f>
        <v>44|C|6</v>
      </c>
    </row>
    <row r="111" customFormat="false" ht="15" hidden="false" customHeight="false" outlineLevel="0" collapsed="false">
      <c r="A111" s="8" t="n">
        <v>44</v>
      </c>
      <c r="B111" s="8" t="s">
        <v>67</v>
      </c>
      <c r="D111" s="8" t="n">
        <v>7</v>
      </c>
      <c r="I111" s="8" t="n">
        <v>0</v>
      </c>
      <c r="J111" s="8" t="n">
        <v>4764</v>
      </c>
      <c r="K111" s="8" t="n">
        <v>89.347</v>
      </c>
      <c r="O111" s="8" t="n">
        <v>-25.479</v>
      </c>
      <c r="R111" s="9" t="str">
        <f aca="false">IF($D111="","",IF($F111&lt;&gt;"","N",IF($J111&lt;&gt;"","C","")))</f>
        <v>C</v>
      </c>
      <c r="S111" s="9" t="str">
        <f aca="false">IF($R111="","",$A111&amp;"|"&amp;$R111&amp;"|"&amp;$D111)</f>
        <v>44|C|7</v>
      </c>
    </row>
    <row r="112" customFormat="false" ht="15" hidden="false" customHeight="false" outlineLevel="0" collapsed="false">
      <c r="A112" s="8" t="n">
        <v>43</v>
      </c>
      <c r="B112" s="8" t="s">
        <v>67</v>
      </c>
      <c r="L112" s="8" t="s">
        <v>53</v>
      </c>
      <c r="M112" s="8" t="s">
        <v>98</v>
      </c>
      <c r="P112" s="8" t="s">
        <v>99</v>
      </c>
      <c r="R112" s="9" t="str">
        <f aca="false">IF($D112="","",IF($F112&lt;&gt;"","N",IF($J112&lt;&gt;"","C","")))</f>
        <v/>
      </c>
      <c r="S112" s="9" t="str">
        <f aca="false">IF($R112="","",$A112&amp;"|"&amp;$R112&amp;"|"&amp;$D112)</f>
        <v/>
      </c>
    </row>
    <row r="113" customFormat="false" ht="15" hidden="false" customHeight="false" outlineLevel="0" collapsed="false">
      <c r="A113" s="8" t="n">
        <v>43</v>
      </c>
      <c r="B113" s="8" t="s">
        <v>67</v>
      </c>
      <c r="D113" s="8" t="n">
        <v>1</v>
      </c>
      <c r="F113" s="8" t="n">
        <v>669</v>
      </c>
      <c r="G113" s="8" t="n">
        <v>23.4</v>
      </c>
      <c r="H113" s="8" t="n">
        <v>12.96</v>
      </c>
      <c r="I113" s="8" t="n">
        <v>0</v>
      </c>
      <c r="N113" s="8" t="n">
        <v>-1.277</v>
      </c>
      <c r="R113" s="9" t="str">
        <f aca="false">IF($D113="","",IF($F113&lt;&gt;"","N",IF($J113&lt;&gt;"","C","")))</f>
        <v>N</v>
      </c>
      <c r="S113" s="9" t="str">
        <f aca="false">IF($R113="","",$A113&amp;"|"&amp;$R113&amp;"|"&amp;$D113)</f>
        <v>43|N|1</v>
      </c>
    </row>
    <row r="114" customFormat="false" ht="15" hidden="false" customHeight="false" outlineLevel="0" collapsed="false">
      <c r="A114" s="8" t="n">
        <v>43</v>
      </c>
      <c r="B114" s="8" t="s">
        <v>67</v>
      </c>
      <c r="D114" s="8" t="n">
        <v>2</v>
      </c>
      <c r="F114" s="8" t="n">
        <v>673</v>
      </c>
      <c r="G114" s="8" t="n">
        <v>23.3</v>
      </c>
      <c r="H114" s="8" t="n">
        <v>12.973</v>
      </c>
      <c r="I114" s="8" t="n">
        <v>1</v>
      </c>
      <c r="N114" s="8" t="n">
        <v>-1.25</v>
      </c>
      <c r="R114" s="9" t="str">
        <f aca="false">IF($D114="","",IF($F114&lt;&gt;"","N",IF($J114&lt;&gt;"","C","")))</f>
        <v>N</v>
      </c>
      <c r="S114" s="9" t="str">
        <f aca="false">IF($R114="","",$A114&amp;"|"&amp;$R114&amp;"|"&amp;$D114)</f>
        <v>43|N|2</v>
      </c>
    </row>
    <row r="115" customFormat="false" ht="15" hidden="false" customHeight="false" outlineLevel="0" collapsed="false">
      <c r="A115" s="8" t="n">
        <v>43</v>
      </c>
      <c r="B115" s="8" t="s">
        <v>67</v>
      </c>
      <c r="D115" s="8" t="n">
        <v>3</v>
      </c>
      <c r="F115" s="8" t="n">
        <v>105</v>
      </c>
      <c r="G115" s="8" t="n">
        <v>24.1</v>
      </c>
      <c r="H115" s="8" t="n">
        <v>2.919</v>
      </c>
      <c r="I115" s="8" t="n">
        <v>0</v>
      </c>
      <c r="N115" s="8" t="n">
        <v>-1.599</v>
      </c>
      <c r="R115" s="9" t="str">
        <f aca="false">IF($D115="","",IF($F115&lt;&gt;"","N",IF($J115&lt;&gt;"","C","")))</f>
        <v>N</v>
      </c>
      <c r="S115" s="9" t="str">
        <f aca="false">IF($R115="","",$A115&amp;"|"&amp;$R115&amp;"|"&amp;$D115)</f>
        <v>43|N|3</v>
      </c>
    </row>
    <row r="116" customFormat="false" ht="15" hidden="false" customHeight="false" outlineLevel="0" collapsed="false">
      <c r="A116" s="8" t="n">
        <v>43</v>
      </c>
      <c r="B116" s="8" t="s">
        <v>67</v>
      </c>
      <c r="D116" s="8" t="n">
        <v>4</v>
      </c>
      <c r="I116" s="8" t="n">
        <v>0</v>
      </c>
      <c r="J116" s="8" t="n">
        <v>710</v>
      </c>
      <c r="K116" s="8" t="n">
        <v>15.34</v>
      </c>
      <c r="O116" s="8" t="n">
        <v>-10.334</v>
      </c>
      <c r="R116" s="9" t="str">
        <f aca="false">IF($D116="","",IF($F116&lt;&gt;"","N",IF($J116&lt;&gt;"","C","")))</f>
        <v>C</v>
      </c>
      <c r="S116" s="9" t="str">
        <f aca="false">IF($R116="","",$A116&amp;"|"&amp;$R116&amp;"|"&amp;$D116)</f>
        <v>43|C|4</v>
      </c>
    </row>
    <row r="117" customFormat="false" ht="15" hidden="false" customHeight="false" outlineLevel="0" collapsed="false">
      <c r="A117" s="8" t="n">
        <v>43</v>
      </c>
      <c r="B117" s="8" t="s">
        <v>67</v>
      </c>
      <c r="D117" s="8" t="n">
        <v>5</v>
      </c>
      <c r="I117" s="8" t="n">
        <v>1</v>
      </c>
      <c r="J117" s="8" t="n">
        <v>4700</v>
      </c>
      <c r="K117" s="8" t="n">
        <v>89.335</v>
      </c>
      <c r="O117" s="8" t="n">
        <v>-25.22</v>
      </c>
      <c r="R117" s="9" t="str">
        <f aca="false">IF($D117="","",IF($F117&lt;&gt;"","N",IF($J117&lt;&gt;"","C","")))</f>
        <v>C</v>
      </c>
      <c r="S117" s="9" t="str">
        <f aca="false">IF($R117="","",$A117&amp;"|"&amp;$R117&amp;"|"&amp;$D117)</f>
        <v>43|C|5</v>
      </c>
    </row>
    <row r="118" customFormat="false" ht="15" hidden="false" customHeight="false" outlineLevel="0" collapsed="false">
      <c r="A118" s="8" t="n">
        <v>43</v>
      </c>
      <c r="B118" s="8" t="s">
        <v>67</v>
      </c>
      <c r="D118" s="8" t="n">
        <v>6</v>
      </c>
      <c r="I118" s="8" t="n">
        <v>0</v>
      </c>
      <c r="J118" s="8" t="n">
        <v>4737</v>
      </c>
      <c r="K118" s="8" t="n">
        <v>89.228</v>
      </c>
      <c r="O118" s="8" t="n">
        <v>-25.447</v>
      </c>
      <c r="R118" s="9" t="str">
        <f aca="false">IF($D118="","",IF($F118&lt;&gt;"","N",IF($J118&lt;&gt;"","C","")))</f>
        <v>C</v>
      </c>
      <c r="S118" s="9" t="str">
        <f aca="false">IF($R118="","",$A118&amp;"|"&amp;$R118&amp;"|"&amp;$D118)</f>
        <v>43|C|6</v>
      </c>
    </row>
    <row r="119" customFormat="false" ht="15" hidden="false" customHeight="false" outlineLevel="0" collapsed="false">
      <c r="A119" s="8" t="n">
        <v>43</v>
      </c>
      <c r="B119" s="8" t="s">
        <v>67</v>
      </c>
      <c r="D119" s="8" t="n">
        <v>7</v>
      </c>
      <c r="I119" s="8" t="n">
        <v>0</v>
      </c>
      <c r="J119" s="8" t="n">
        <v>4756</v>
      </c>
      <c r="K119" s="8" t="n">
        <v>89.384</v>
      </c>
      <c r="O119" s="8" t="n">
        <v>-25.519</v>
      </c>
      <c r="R119" s="9" t="str">
        <f aca="false">IF($D119="","",IF($F119&lt;&gt;"","N",IF($J119&lt;&gt;"","C","")))</f>
        <v>C</v>
      </c>
      <c r="S119" s="9" t="str">
        <f aca="false">IF($R119="","",$A119&amp;"|"&amp;$R119&amp;"|"&amp;$D119)</f>
        <v>43|C|7</v>
      </c>
    </row>
    <row r="120" customFormat="false" ht="15" hidden="false" customHeight="false" outlineLevel="0" collapsed="false">
      <c r="A120" s="8" t="n">
        <v>42</v>
      </c>
      <c r="B120" s="8" t="s">
        <v>100</v>
      </c>
      <c r="E120" s="8" t="n">
        <v>0.38</v>
      </c>
      <c r="L120" s="8" t="s">
        <v>53</v>
      </c>
      <c r="M120" s="8" t="s">
        <v>101</v>
      </c>
      <c r="P120" s="8" t="s">
        <v>102</v>
      </c>
      <c r="R120" s="9" t="str">
        <f aca="false">IF($D120="","",IF($F120&lt;&gt;"","N",IF($J120&lt;&gt;"","C","")))</f>
        <v/>
      </c>
      <c r="S120" s="9" t="str">
        <f aca="false">IF($R120="","",$A120&amp;"|"&amp;$R120&amp;"|"&amp;$D120)</f>
        <v/>
      </c>
    </row>
    <row r="121" customFormat="false" ht="15" hidden="false" customHeight="false" outlineLevel="0" collapsed="false">
      <c r="A121" s="8" t="n">
        <v>42</v>
      </c>
      <c r="B121" s="8" t="s">
        <v>100</v>
      </c>
      <c r="E121" s="8" t="n">
        <v>0.38</v>
      </c>
      <c r="L121" s="8" t="s">
        <v>59</v>
      </c>
      <c r="M121" s="8" t="s">
        <v>103</v>
      </c>
      <c r="P121" s="8" t="s">
        <v>104</v>
      </c>
      <c r="R121" s="9" t="str">
        <f aca="false">IF($D121="","",IF($F121&lt;&gt;"","N",IF($J121&lt;&gt;"","C","")))</f>
        <v/>
      </c>
      <c r="S121" s="9" t="str">
        <f aca="false">IF($R121="","",$A121&amp;"|"&amp;$R121&amp;"|"&amp;$D121)</f>
        <v/>
      </c>
    </row>
    <row r="122" customFormat="false" ht="15" hidden="false" customHeight="false" outlineLevel="0" collapsed="false">
      <c r="A122" s="8" t="n">
        <v>42</v>
      </c>
      <c r="B122" s="8" t="s">
        <v>100</v>
      </c>
      <c r="D122" s="8" t="n">
        <v>1</v>
      </c>
      <c r="E122" s="8" t="n">
        <v>0.38</v>
      </c>
      <c r="F122" s="8" t="n">
        <v>668</v>
      </c>
      <c r="G122" s="8" t="n">
        <v>23.2</v>
      </c>
      <c r="H122" s="8" t="n">
        <v>12.946</v>
      </c>
      <c r="I122" s="8" t="n">
        <v>0</v>
      </c>
      <c r="N122" s="8" t="n">
        <v>-1.09</v>
      </c>
      <c r="R122" s="9" t="str">
        <f aca="false">IF($D122="","",IF($F122&lt;&gt;"","N",IF($J122&lt;&gt;"","C","")))</f>
        <v>N</v>
      </c>
      <c r="S122" s="9" t="str">
        <f aca="false">IF($R122="","",$A122&amp;"|"&amp;$R122&amp;"|"&amp;$D122)</f>
        <v>42|N|1</v>
      </c>
    </row>
    <row r="123" customFormat="false" ht="15" hidden="false" customHeight="false" outlineLevel="0" collapsed="false">
      <c r="A123" s="8" t="n">
        <v>42</v>
      </c>
      <c r="B123" s="8" t="s">
        <v>100</v>
      </c>
      <c r="D123" s="8" t="n">
        <v>2</v>
      </c>
      <c r="E123" s="8" t="n">
        <v>0.38</v>
      </c>
      <c r="F123" s="8" t="n">
        <v>673</v>
      </c>
      <c r="G123" s="8" t="n">
        <v>23.2</v>
      </c>
      <c r="H123" s="8" t="n">
        <v>12.966</v>
      </c>
      <c r="I123" s="8" t="n">
        <v>1</v>
      </c>
      <c r="N123" s="8" t="n">
        <v>-1.25</v>
      </c>
      <c r="R123" s="9" t="str">
        <f aca="false">IF($D123="","",IF($F123&lt;&gt;"","N",IF($J123&lt;&gt;"","C","")))</f>
        <v>N</v>
      </c>
      <c r="S123" s="9" t="str">
        <f aca="false">IF($R123="","",$A123&amp;"|"&amp;$R123&amp;"|"&amp;$D123)</f>
        <v>42|N|2</v>
      </c>
    </row>
    <row r="124" customFormat="false" ht="15" hidden="false" customHeight="false" outlineLevel="0" collapsed="false">
      <c r="A124" s="8" t="n">
        <v>42</v>
      </c>
      <c r="B124" s="8" t="s">
        <v>100</v>
      </c>
      <c r="D124" s="8" t="n">
        <v>3</v>
      </c>
      <c r="E124" s="8" t="n">
        <v>0.38</v>
      </c>
      <c r="F124" s="8" t="n">
        <v>1469</v>
      </c>
      <c r="G124" s="8" t="n">
        <v>24.1</v>
      </c>
      <c r="H124" s="8" t="n">
        <v>25.931</v>
      </c>
      <c r="I124" s="8" t="n">
        <v>0</v>
      </c>
      <c r="N124" s="8" t="n">
        <v>-6.24</v>
      </c>
      <c r="R124" s="9" t="str">
        <f aca="false">IF($D124="","",IF($F124&lt;&gt;"","N",IF($J124&lt;&gt;"","C","")))</f>
        <v>N</v>
      </c>
      <c r="S124" s="9" t="str">
        <f aca="false">IF($R124="","",$A124&amp;"|"&amp;$R124&amp;"|"&amp;$D124)</f>
        <v>42|N|3</v>
      </c>
    </row>
    <row r="125" customFormat="false" ht="15" hidden="false" customHeight="false" outlineLevel="0" collapsed="false">
      <c r="A125" s="8" t="n">
        <v>42</v>
      </c>
      <c r="B125" s="8" t="s">
        <v>100</v>
      </c>
      <c r="D125" s="8" t="n">
        <v>4</v>
      </c>
      <c r="E125" s="8" t="n">
        <v>0.38</v>
      </c>
      <c r="I125" s="8" t="n">
        <v>0</v>
      </c>
      <c r="J125" s="8" t="n">
        <v>5413</v>
      </c>
      <c r="K125" s="8" t="n">
        <v>121.336</v>
      </c>
      <c r="O125" s="8" t="n">
        <v>-9.51</v>
      </c>
      <c r="R125" s="9" t="str">
        <f aca="false">IF($D125="","",IF($F125&lt;&gt;"","N",IF($J125&lt;&gt;"","C","")))</f>
        <v>C</v>
      </c>
      <c r="S125" s="9" t="str">
        <f aca="false">IF($R125="","",$A125&amp;"|"&amp;$R125&amp;"|"&amp;$D125)</f>
        <v>42|C|4</v>
      </c>
    </row>
    <row r="126" customFormat="false" ht="15" hidden="false" customHeight="false" outlineLevel="0" collapsed="false">
      <c r="A126" s="8" t="n">
        <v>42</v>
      </c>
      <c r="B126" s="8" t="s">
        <v>100</v>
      </c>
      <c r="D126" s="8" t="n">
        <v>5</v>
      </c>
      <c r="E126" s="8" t="n">
        <v>0.38</v>
      </c>
      <c r="I126" s="8" t="n">
        <v>1</v>
      </c>
      <c r="J126" s="8" t="n">
        <v>4739</v>
      </c>
      <c r="K126" s="8" t="n">
        <v>89.131</v>
      </c>
      <c r="O126" s="8" t="n">
        <v>-25.22</v>
      </c>
      <c r="R126" s="9" t="str">
        <f aca="false">IF($D126="","",IF($F126&lt;&gt;"","N",IF($J126&lt;&gt;"","C","")))</f>
        <v>C</v>
      </c>
      <c r="S126" s="9" t="str">
        <f aca="false">IF($R126="","",$A126&amp;"|"&amp;$R126&amp;"|"&amp;$D126)</f>
        <v>42|C|5</v>
      </c>
    </row>
    <row r="127" customFormat="false" ht="15" hidden="false" customHeight="false" outlineLevel="0" collapsed="false">
      <c r="A127" s="8" t="n">
        <v>42</v>
      </c>
      <c r="B127" s="8" t="s">
        <v>100</v>
      </c>
      <c r="D127" s="8" t="n">
        <v>6</v>
      </c>
      <c r="E127" s="8" t="n">
        <v>0.38</v>
      </c>
      <c r="I127" s="8" t="n">
        <v>0</v>
      </c>
      <c r="J127" s="8" t="n">
        <v>4762</v>
      </c>
      <c r="K127" s="8" t="n">
        <v>89.397</v>
      </c>
      <c r="O127" s="8" t="n">
        <v>-25.347</v>
      </c>
      <c r="R127" s="9" t="str">
        <f aca="false">IF($D127="","",IF($F127&lt;&gt;"","N",IF($J127&lt;&gt;"","C","")))</f>
        <v>C</v>
      </c>
      <c r="S127" s="9" t="str">
        <f aca="false">IF($R127="","",$A127&amp;"|"&amp;$R127&amp;"|"&amp;$D127)</f>
        <v>42|C|6</v>
      </c>
    </row>
    <row r="128" customFormat="false" ht="15" hidden="false" customHeight="false" outlineLevel="0" collapsed="false">
      <c r="A128" s="8" t="n">
        <v>42</v>
      </c>
      <c r="B128" s="8" t="s">
        <v>100</v>
      </c>
      <c r="D128" s="8" t="n">
        <v>7</v>
      </c>
      <c r="E128" s="8" t="n">
        <v>0.38</v>
      </c>
      <c r="I128" s="8" t="n">
        <v>0</v>
      </c>
      <c r="J128" s="8" t="n">
        <v>4751</v>
      </c>
      <c r="K128" s="8" t="n">
        <v>89.418</v>
      </c>
      <c r="O128" s="8" t="n">
        <v>-25.432</v>
      </c>
      <c r="R128" s="9" t="str">
        <f aca="false">IF($D128="","",IF($F128&lt;&gt;"","N",IF($J128&lt;&gt;"","C","")))</f>
        <v>C</v>
      </c>
      <c r="S128" s="9" t="str">
        <f aca="false">IF($R128="","",$A128&amp;"|"&amp;$R128&amp;"|"&amp;$D128)</f>
        <v>42|C|7</v>
      </c>
    </row>
    <row r="129" customFormat="false" ht="15" hidden="false" customHeight="false" outlineLevel="0" collapsed="false">
      <c r="A129" s="8" t="n">
        <v>41</v>
      </c>
      <c r="B129" s="8" t="s">
        <v>67</v>
      </c>
      <c r="L129" s="8" t="s">
        <v>53</v>
      </c>
      <c r="M129" s="8" t="s">
        <v>105</v>
      </c>
      <c r="P129" s="8" t="s">
        <v>83</v>
      </c>
      <c r="R129" s="9" t="str">
        <f aca="false">IF($D129="","",IF($F129&lt;&gt;"","N",IF($J129&lt;&gt;"","C","")))</f>
        <v/>
      </c>
      <c r="S129" s="9" t="str">
        <f aca="false">IF($R129="","",$A129&amp;"|"&amp;$R129&amp;"|"&amp;$D129)</f>
        <v/>
      </c>
    </row>
    <row r="130" customFormat="false" ht="15" hidden="false" customHeight="false" outlineLevel="0" collapsed="false">
      <c r="A130" s="8" t="n">
        <v>41</v>
      </c>
      <c r="B130" s="8" t="s">
        <v>67</v>
      </c>
      <c r="D130" s="8" t="n">
        <v>1</v>
      </c>
      <c r="F130" s="8" t="n">
        <v>667</v>
      </c>
      <c r="G130" s="8" t="n">
        <v>23.3</v>
      </c>
      <c r="H130" s="8" t="n">
        <v>12.946</v>
      </c>
      <c r="I130" s="8" t="n">
        <v>0</v>
      </c>
      <c r="N130" s="8" t="n">
        <v>-1.195</v>
      </c>
      <c r="R130" s="9" t="str">
        <f aca="false">IF($D130="","",IF($F130&lt;&gt;"","N",IF($J130&lt;&gt;"","C","")))</f>
        <v>N</v>
      </c>
      <c r="S130" s="9" t="str">
        <f aca="false">IF($R130="","",$A130&amp;"|"&amp;$R130&amp;"|"&amp;$D130)</f>
        <v>41|N|1</v>
      </c>
    </row>
    <row r="131" customFormat="false" ht="15" hidden="false" customHeight="false" outlineLevel="0" collapsed="false">
      <c r="A131" s="8" t="n">
        <v>41</v>
      </c>
      <c r="B131" s="8" t="s">
        <v>67</v>
      </c>
      <c r="D131" s="8" t="n">
        <v>2</v>
      </c>
      <c r="F131" s="8" t="n">
        <v>672</v>
      </c>
      <c r="G131" s="8" t="n">
        <v>23.2</v>
      </c>
      <c r="H131" s="8" t="n">
        <v>12.955</v>
      </c>
      <c r="I131" s="8" t="n">
        <v>1</v>
      </c>
      <c r="N131" s="8" t="n">
        <v>-1.25</v>
      </c>
      <c r="R131" s="9" t="str">
        <f aca="false">IF($D131="","",IF($F131&lt;&gt;"","N",IF($J131&lt;&gt;"","C","")))</f>
        <v>N</v>
      </c>
      <c r="S131" s="9" t="str">
        <f aca="false">IF($R131="","",$A131&amp;"|"&amp;$R131&amp;"|"&amp;$D131)</f>
        <v>41|N|2</v>
      </c>
    </row>
    <row r="132" customFormat="false" ht="15" hidden="false" customHeight="false" outlineLevel="0" collapsed="false">
      <c r="A132" s="8" t="n">
        <v>41</v>
      </c>
      <c r="B132" s="8" t="s">
        <v>67</v>
      </c>
      <c r="D132" s="8" t="n">
        <v>3</v>
      </c>
      <c r="F132" s="8" t="n">
        <v>194</v>
      </c>
      <c r="G132" s="8" t="n">
        <v>24.1</v>
      </c>
      <c r="H132" s="8" t="n">
        <v>4.359</v>
      </c>
      <c r="I132" s="8" t="n">
        <v>0</v>
      </c>
      <c r="N132" s="8" t="n">
        <v>0.297</v>
      </c>
      <c r="R132" s="9" t="str">
        <f aca="false">IF($D132="","",IF($F132&lt;&gt;"","N",IF($J132&lt;&gt;"","C","")))</f>
        <v>N</v>
      </c>
      <c r="S132" s="9" t="str">
        <f aca="false">IF($R132="","",$A132&amp;"|"&amp;$R132&amp;"|"&amp;$D132)</f>
        <v>41|N|3</v>
      </c>
    </row>
    <row r="133" customFormat="false" ht="15" hidden="false" customHeight="false" outlineLevel="0" collapsed="false">
      <c r="A133" s="8" t="n">
        <v>41</v>
      </c>
      <c r="B133" s="8" t="s">
        <v>67</v>
      </c>
      <c r="D133" s="8" t="n">
        <v>4</v>
      </c>
      <c r="I133" s="8" t="n">
        <v>0</v>
      </c>
      <c r="J133" s="8" t="n">
        <v>1238</v>
      </c>
      <c r="K133" s="8" t="n">
        <v>27.265</v>
      </c>
      <c r="O133" s="8" t="n">
        <v>-10.813</v>
      </c>
      <c r="R133" s="9" t="str">
        <f aca="false">IF($D133="","",IF($F133&lt;&gt;"","N",IF($J133&lt;&gt;"","C","")))</f>
        <v>C</v>
      </c>
      <c r="S133" s="9" t="str">
        <f aca="false">IF($R133="","",$A133&amp;"|"&amp;$R133&amp;"|"&amp;$D133)</f>
        <v>41|C|4</v>
      </c>
    </row>
    <row r="134" customFormat="false" ht="15" hidden="false" customHeight="false" outlineLevel="0" collapsed="false">
      <c r="A134" s="8" t="n">
        <v>41</v>
      </c>
      <c r="B134" s="8" t="s">
        <v>67</v>
      </c>
      <c r="D134" s="8" t="n">
        <v>5</v>
      </c>
      <c r="I134" s="8" t="n">
        <v>1</v>
      </c>
      <c r="J134" s="8" t="n">
        <v>4718</v>
      </c>
      <c r="K134" s="8" t="n">
        <v>89.222</v>
      </c>
      <c r="O134" s="8" t="n">
        <v>-25.22</v>
      </c>
      <c r="R134" s="9" t="str">
        <f aca="false">IF($D134="","",IF($F134&lt;&gt;"","N",IF($J134&lt;&gt;"","C","")))</f>
        <v>C</v>
      </c>
      <c r="S134" s="9" t="str">
        <f aca="false">IF($R134="","",$A134&amp;"|"&amp;$R134&amp;"|"&amp;$D134)</f>
        <v>41|C|5</v>
      </c>
    </row>
    <row r="135" customFormat="false" ht="15" hidden="false" customHeight="false" outlineLevel="0" collapsed="false">
      <c r="A135" s="8" t="n">
        <v>41</v>
      </c>
      <c r="B135" s="8" t="s">
        <v>67</v>
      </c>
      <c r="D135" s="8" t="n">
        <v>6</v>
      </c>
      <c r="I135" s="8" t="n">
        <v>0</v>
      </c>
      <c r="J135" s="8" t="n">
        <v>4755</v>
      </c>
      <c r="K135" s="8" t="n">
        <v>89.394</v>
      </c>
      <c r="O135" s="8" t="n">
        <v>-25.415</v>
      </c>
      <c r="R135" s="9" t="str">
        <f aca="false">IF($D135="","",IF($F135&lt;&gt;"","N",IF($J135&lt;&gt;"","C","")))</f>
        <v>C</v>
      </c>
      <c r="S135" s="9" t="str">
        <f aca="false">IF($R135="","",$A135&amp;"|"&amp;$R135&amp;"|"&amp;$D135)</f>
        <v>41|C|6</v>
      </c>
    </row>
    <row r="136" customFormat="false" ht="15" hidden="false" customHeight="false" outlineLevel="0" collapsed="false">
      <c r="A136" s="8" t="n">
        <v>41</v>
      </c>
      <c r="B136" s="8" t="s">
        <v>67</v>
      </c>
      <c r="D136" s="8" t="n">
        <v>7</v>
      </c>
      <c r="I136" s="8" t="n">
        <v>0</v>
      </c>
      <c r="J136" s="8" t="n">
        <v>4768</v>
      </c>
      <c r="K136" s="8" t="n">
        <v>89.408</v>
      </c>
      <c r="O136" s="8" t="n">
        <v>-25.475</v>
      </c>
      <c r="R136" s="9" t="str">
        <f aca="false">IF($D136="","",IF($F136&lt;&gt;"","N",IF($J136&lt;&gt;"","C","")))</f>
        <v>C</v>
      </c>
      <c r="S136" s="9" t="str">
        <f aca="false">IF($R136="","",$A136&amp;"|"&amp;$R136&amp;"|"&amp;$D136)</f>
        <v>41|C|7</v>
      </c>
    </row>
    <row r="137" customFormat="false" ht="15" hidden="false" customHeight="false" outlineLevel="0" collapsed="false">
      <c r="A137" s="8" t="n">
        <v>40</v>
      </c>
      <c r="B137" s="8" t="s">
        <v>67</v>
      </c>
      <c r="L137" s="8" t="s">
        <v>53</v>
      </c>
      <c r="M137" s="8" t="s">
        <v>106</v>
      </c>
      <c r="P137" s="8" t="s">
        <v>107</v>
      </c>
      <c r="R137" s="9" t="str">
        <f aca="false">IF($D137="","",IF($F137&lt;&gt;"","N",IF($J137&lt;&gt;"","C","")))</f>
        <v/>
      </c>
      <c r="S137" s="9" t="str">
        <f aca="false">IF($R137="","",$A137&amp;"|"&amp;$R137&amp;"|"&amp;$D137)</f>
        <v/>
      </c>
    </row>
    <row r="138" customFormat="false" ht="15" hidden="false" customHeight="false" outlineLevel="0" collapsed="false">
      <c r="A138" s="8" t="n">
        <v>40</v>
      </c>
      <c r="B138" s="8" t="s">
        <v>67</v>
      </c>
      <c r="D138" s="8" t="n">
        <v>1</v>
      </c>
      <c r="F138" s="8" t="n">
        <v>667</v>
      </c>
      <c r="G138" s="8" t="n">
        <v>23.4</v>
      </c>
      <c r="H138" s="8" t="n">
        <v>12.939</v>
      </c>
      <c r="I138" s="8" t="n">
        <v>0</v>
      </c>
      <c r="N138" s="8" t="n">
        <v>-1.158</v>
      </c>
      <c r="R138" s="9" t="str">
        <f aca="false">IF($D138="","",IF($F138&lt;&gt;"","N",IF($J138&lt;&gt;"","C","")))</f>
        <v>N</v>
      </c>
      <c r="S138" s="9" t="str">
        <f aca="false">IF($R138="","",$A138&amp;"|"&amp;$R138&amp;"|"&amp;$D138)</f>
        <v>40|N|1</v>
      </c>
    </row>
    <row r="139" customFormat="false" ht="15" hidden="false" customHeight="false" outlineLevel="0" collapsed="false">
      <c r="A139" s="8" t="n">
        <v>40</v>
      </c>
      <c r="B139" s="8" t="s">
        <v>67</v>
      </c>
      <c r="D139" s="8" t="n">
        <v>2</v>
      </c>
      <c r="F139" s="8" t="n">
        <v>673</v>
      </c>
      <c r="G139" s="8" t="n">
        <v>23.4</v>
      </c>
      <c r="H139" s="8" t="n">
        <v>12.95</v>
      </c>
      <c r="I139" s="8" t="n">
        <v>1</v>
      </c>
      <c r="N139" s="8" t="n">
        <v>-1.25</v>
      </c>
      <c r="R139" s="9" t="str">
        <f aca="false">IF($D139="","",IF($F139&lt;&gt;"","N",IF($J139&lt;&gt;"","C","")))</f>
        <v>N</v>
      </c>
      <c r="S139" s="9" t="str">
        <f aca="false">IF($R139="","",$A139&amp;"|"&amp;$R139&amp;"|"&amp;$D139)</f>
        <v>40|N|2</v>
      </c>
    </row>
    <row r="140" customFormat="false" ht="15" hidden="false" customHeight="false" outlineLevel="0" collapsed="false">
      <c r="A140" s="8" t="n">
        <v>40</v>
      </c>
      <c r="B140" s="8" t="s">
        <v>67</v>
      </c>
      <c r="D140" s="8" t="n">
        <v>3</v>
      </c>
      <c r="F140" s="8" t="n">
        <v>157</v>
      </c>
      <c r="G140" s="8" t="n">
        <v>24.3</v>
      </c>
      <c r="H140" s="8" t="n">
        <v>2.809</v>
      </c>
      <c r="I140" s="8" t="n">
        <v>0</v>
      </c>
      <c r="N140" s="8" t="n">
        <v>1.348</v>
      </c>
      <c r="R140" s="9" t="str">
        <f aca="false">IF($D140="","",IF($F140&lt;&gt;"","N",IF($J140&lt;&gt;"","C","")))</f>
        <v>N</v>
      </c>
      <c r="S140" s="9" t="str">
        <f aca="false">IF($R140="","",$A140&amp;"|"&amp;$R140&amp;"|"&amp;$D140)</f>
        <v>40|N|3</v>
      </c>
    </row>
    <row r="141" customFormat="false" ht="15" hidden="false" customHeight="false" outlineLevel="0" collapsed="false">
      <c r="A141" s="8" t="n">
        <v>40</v>
      </c>
      <c r="B141" s="8" t="s">
        <v>67</v>
      </c>
      <c r="D141" s="8" t="n">
        <v>4</v>
      </c>
      <c r="I141" s="8" t="n">
        <v>0</v>
      </c>
      <c r="J141" s="8" t="n">
        <v>1041</v>
      </c>
      <c r="K141" s="8" t="n">
        <v>22.965</v>
      </c>
      <c r="O141" s="8" t="n">
        <v>-10.776</v>
      </c>
      <c r="R141" s="9" t="str">
        <f aca="false">IF($D141="","",IF($F141&lt;&gt;"","N",IF($J141&lt;&gt;"","C","")))</f>
        <v>C</v>
      </c>
      <c r="S141" s="9" t="str">
        <f aca="false">IF($R141="","",$A141&amp;"|"&amp;$R141&amp;"|"&amp;$D141)</f>
        <v>40|C|4</v>
      </c>
    </row>
    <row r="142" customFormat="false" ht="15" hidden="false" customHeight="false" outlineLevel="0" collapsed="false">
      <c r="A142" s="8" t="n">
        <v>40</v>
      </c>
      <c r="B142" s="8" t="s">
        <v>67</v>
      </c>
      <c r="D142" s="8" t="n">
        <v>5</v>
      </c>
      <c r="I142" s="8" t="n">
        <v>1</v>
      </c>
      <c r="J142" s="8" t="n">
        <v>4695</v>
      </c>
      <c r="K142" s="8" t="n">
        <v>89.181</v>
      </c>
      <c r="O142" s="8" t="n">
        <v>-25.22</v>
      </c>
      <c r="R142" s="9" t="str">
        <f aca="false">IF($D142="","",IF($F142&lt;&gt;"","N",IF($J142&lt;&gt;"","C","")))</f>
        <v>C</v>
      </c>
      <c r="S142" s="9" t="str">
        <f aca="false">IF($R142="","",$A142&amp;"|"&amp;$R142&amp;"|"&amp;$D142)</f>
        <v>40|C|5</v>
      </c>
    </row>
    <row r="143" customFormat="false" ht="15" hidden="false" customHeight="false" outlineLevel="0" collapsed="false">
      <c r="A143" s="8" t="n">
        <v>40</v>
      </c>
      <c r="B143" s="8" t="s">
        <v>67</v>
      </c>
      <c r="D143" s="8" t="n">
        <v>6</v>
      </c>
      <c r="I143" s="8" t="n">
        <v>0</v>
      </c>
      <c r="J143" s="8" t="n">
        <v>4732</v>
      </c>
      <c r="K143" s="8" t="n">
        <v>89.325</v>
      </c>
      <c r="O143" s="8" t="n">
        <v>-25.44</v>
      </c>
      <c r="R143" s="9" t="str">
        <f aca="false">IF($D143="","",IF($F143&lt;&gt;"","N",IF($J143&lt;&gt;"","C","")))</f>
        <v>C</v>
      </c>
      <c r="S143" s="9" t="str">
        <f aca="false">IF($R143="","",$A143&amp;"|"&amp;$R143&amp;"|"&amp;$D143)</f>
        <v>40|C|6</v>
      </c>
    </row>
    <row r="144" customFormat="false" ht="15" hidden="false" customHeight="false" outlineLevel="0" collapsed="false">
      <c r="A144" s="8" t="n">
        <v>40</v>
      </c>
      <c r="B144" s="8" t="s">
        <v>67</v>
      </c>
      <c r="D144" s="8" t="n">
        <v>7</v>
      </c>
      <c r="I144" s="8" t="n">
        <v>0</v>
      </c>
      <c r="J144" s="8" t="n">
        <v>4763</v>
      </c>
      <c r="K144" s="8" t="n">
        <v>89.298</v>
      </c>
      <c r="O144" s="8" t="n">
        <v>-25.525</v>
      </c>
      <c r="R144" s="9" t="str">
        <f aca="false">IF($D144="","",IF($F144&lt;&gt;"","N",IF($J144&lt;&gt;"","C","")))</f>
        <v>C</v>
      </c>
      <c r="S144" s="9" t="str">
        <f aca="false">IF($R144="","",$A144&amp;"|"&amp;$R144&amp;"|"&amp;$D144)</f>
        <v>40|C|7</v>
      </c>
    </row>
    <row r="145" customFormat="false" ht="15" hidden="false" customHeight="false" outlineLevel="0" collapsed="false">
      <c r="A145" s="8" t="n">
        <v>39</v>
      </c>
      <c r="B145" s="8" t="s">
        <v>67</v>
      </c>
      <c r="L145" s="8" t="s">
        <v>53</v>
      </c>
      <c r="M145" s="8" t="s">
        <v>108</v>
      </c>
      <c r="P145" s="8" t="s">
        <v>109</v>
      </c>
      <c r="R145" s="9" t="str">
        <f aca="false">IF($D145="","",IF($F145&lt;&gt;"","N",IF($J145&lt;&gt;"","C","")))</f>
        <v/>
      </c>
      <c r="S145" s="9" t="str">
        <f aca="false">IF($R145="","",$A145&amp;"|"&amp;$R145&amp;"|"&amp;$D145)</f>
        <v/>
      </c>
    </row>
    <row r="146" customFormat="false" ht="15" hidden="false" customHeight="false" outlineLevel="0" collapsed="false">
      <c r="A146" s="8" t="n">
        <v>39</v>
      </c>
      <c r="B146" s="8" t="s">
        <v>67</v>
      </c>
      <c r="L146" s="8" t="s">
        <v>59</v>
      </c>
      <c r="M146" s="8" t="s">
        <v>110</v>
      </c>
      <c r="P146" s="8" t="s">
        <v>111</v>
      </c>
      <c r="R146" s="9" t="str">
        <f aca="false">IF($D146="","",IF($F146&lt;&gt;"","N",IF($J146&lt;&gt;"","C","")))</f>
        <v/>
      </c>
      <c r="S146" s="9" t="str">
        <f aca="false">IF($R146="","",$A146&amp;"|"&amp;$R146&amp;"|"&amp;$D146)</f>
        <v/>
      </c>
    </row>
    <row r="147" customFormat="false" ht="15" hidden="false" customHeight="false" outlineLevel="0" collapsed="false">
      <c r="A147" s="8" t="n">
        <v>39</v>
      </c>
      <c r="B147" s="8" t="s">
        <v>67</v>
      </c>
      <c r="D147" s="8" t="n">
        <v>1</v>
      </c>
      <c r="F147" s="8" t="n">
        <v>668</v>
      </c>
      <c r="G147" s="8" t="n">
        <v>23.5</v>
      </c>
      <c r="H147" s="8" t="n">
        <v>12.929</v>
      </c>
      <c r="I147" s="8" t="n">
        <v>0</v>
      </c>
      <c r="N147" s="8" t="n">
        <v>-1.196</v>
      </c>
      <c r="R147" s="9" t="str">
        <f aca="false">IF($D147="","",IF($F147&lt;&gt;"","N",IF($J147&lt;&gt;"","C","")))</f>
        <v>N</v>
      </c>
      <c r="S147" s="9" t="str">
        <f aca="false">IF($R147="","",$A147&amp;"|"&amp;$R147&amp;"|"&amp;$D147)</f>
        <v>39|N|1</v>
      </c>
    </row>
    <row r="148" customFormat="false" ht="15" hidden="false" customHeight="false" outlineLevel="0" collapsed="false">
      <c r="A148" s="8" t="n">
        <v>39</v>
      </c>
      <c r="B148" s="8" t="s">
        <v>67</v>
      </c>
      <c r="D148" s="8" t="n">
        <v>2</v>
      </c>
      <c r="F148" s="8" t="n">
        <v>671</v>
      </c>
      <c r="G148" s="8" t="n">
        <v>23.5</v>
      </c>
      <c r="H148" s="8" t="n">
        <v>12.936</v>
      </c>
      <c r="I148" s="8" t="n">
        <v>1</v>
      </c>
      <c r="N148" s="8" t="n">
        <v>-1.25</v>
      </c>
      <c r="R148" s="9" t="str">
        <f aca="false">IF($D148="","",IF($F148&lt;&gt;"","N",IF($J148&lt;&gt;"","C","")))</f>
        <v>N</v>
      </c>
      <c r="S148" s="9" t="str">
        <f aca="false">IF($R148="","",$A148&amp;"|"&amp;$R148&amp;"|"&amp;$D148)</f>
        <v>39|N|2</v>
      </c>
    </row>
    <row r="149" customFormat="false" ht="15" hidden="false" customHeight="false" outlineLevel="0" collapsed="false">
      <c r="A149" s="8" t="n">
        <v>39</v>
      </c>
      <c r="B149" s="8" t="s">
        <v>67</v>
      </c>
      <c r="D149" s="8" t="n">
        <v>3</v>
      </c>
      <c r="F149" s="8" t="n">
        <v>747</v>
      </c>
      <c r="G149" s="8" t="n">
        <v>24.4</v>
      </c>
      <c r="H149" s="8" t="n">
        <v>13.845</v>
      </c>
      <c r="I149" s="8" t="n">
        <v>0</v>
      </c>
      <c r="N149" s="8" t="n">
        <v>-6.243</v>
      </c>
      <c r="R149" s="9" t="str">
        <f aca="false">IF($D149="","",IF($F149&lt;&gt;"","N",IF($J149&lt;&gt;"","C","")))</f>
        <v>N</v>
      </c>
      <c r="S149" s="9" t="str">
        <f aca="false">IF($R149="","",$A149&amp;"|"&amp;$R149&amp;"|"&amp;$D149)</f>
        <v>39|N|3</v>
      </c>
    </row>
    <row r="150" customFormat="false" ht="15" hidden="false" customHeight="false" outlineLevel="0" collapsed="false">
      <c r="A150" s="8" t="n">
        <v>39</v>
      </c>
      <c r="B150" s="8" t="s">
        <v>67</v>
      </c>
      <c r="D150" s="8" t="n">
        <v>4</v>
      </c>
      <c r="I150" s="8" t="n">
        <v>0</v>
      </c>
      <c r="J150" s="8" t="n">
        <v>2836</v>
      </c>
      <c r="K150" s="8" t="n">
        <v>62.657</v>
      </c>
      <c r="O150" s="8" t="n">
        <v>-9.567</v>
      </c>
      <c r="R150" s="9" t="str">
        <f aca="false">IF($D150="","",IF($F150&lt;&gt;"","N",IF($J150&lt;&gt;"","C","")))</f>
        <v>C</v>
      </c>
      <c r="S150" s="9" t="str">
        <f aca="false">IF($R150="","",$A150&amp;"|"&amp;$R150&amp;"|"&amp;$D150)</f>
        <v>39|C|4</v>
      </c>
    </row>
    <row r="151" customFormat="false" ht="15" hidden="false" customHeight="false" outlineLevel="0" collapsed="false">
      <c r="A151" s="8" t="n">
        <v>39</v>
      </c>
      <c r="B151" s="8" t="s">
        <v>67</v>
      </c>
      <c r="D151" s="8" t="n">
        <v>5</v>
      </c>
      <c r="I151" s="8" t="n">
        <v>1</v>
      </c>
      <c r="J151" s="8" t="n">
        <v>4705</v>
      </c>
      <c r="K151" s="8" t="n">
        <v>89.175</v>
      </c>
      <c r="O151" s="8" t="n">
        <v>-25.22</v>
      </c>
      <c r="R151" s="9" t="str">
        <f aca="false">IF($D151="","",IF($F151&lt;&gt;"","N",IF($J151&lt;&gt;"","C","")))</f>
        <v>C</v>
      </c>
      <c r="S151" s="9" t="str">
        <f aca="false">IF($R151="","",$A151&amp;"|"&amp;$R151&amp;"|"&amp;$D151)</f>
        <v>39|C|5</v>
      </c>
    </row>
    <row r="152" customFormat="false" ht="15" hidden="false" customHeight="false" outlineLevel="0" collapsed="false">
      <c r="A152" s="8" t="n">
        <v>39</v>
      </c>
      <c r="B152" s="8" t="s">
        <v>67</v>
      </c>
      <c r="D152" s="8" t="n">
        <v>6</v>
      </c>
      <c r="I152" s="8" t="n">
        <v>0</v>
      </c>
      <c r="J152" s="8" t="n">
        <v>4751</v>
      </c>
      <c r="K152" s="8" t="n">
        <v>89.375</v>
      </c>
      <c r="O152" s="8" t="n">
        <v>-25.386</v>
      </c>
      <c r="R152" s="9" t="str">
        <f aca="false">IF($D152="","",IF($F152&lt;&gt;"","N",IF($J152&lt;&gt;"","C","")))</f>
        <v>C</v>
      </c>
      <c r="S152" s="9" t="str">
        <f aca="false">IF($R152="","",$A152&amp;"|"&amp;$R152&amp;"|"&amp;$D152)</f>
        <v>39|C|6</v>
      </c>
    </row>
    <row r="153" customFormat="false" ht="15" hidden="false" customHeight="false" outlineLevel="0" collapsed="false">
      <c r="A153" s="8" t="n">
        <v>39</v>
      </c>
      <c r="B153" s="8" t="s">
        <v>67</v>
      </c>
      <c r="D153" s="8" t="n">
        <v>7</v>
      </c>
      <c r="I153" s="8" t="n">
        <v>0</v>
      </c>
      <c r="J153" s="8" t="n">
        <v>4755</v>
      </c>
      <c r="K153" s="8" t="n">
        <v>89.36</v>
      </c>
      <c r="O153" s="8" t="n">
        <v>-25.468</v>
      </c>
      <c r="R153" s="9" t="str">
        <f aca="false">IF($D153="","",IF($F153&lt;&gt;"","N",IF($J153&lt;&gt;"","C","")))</f>
        <v>C</v>
      </c>
      <c r="S153" s="9" t="str">
        <f aca="false">IF($R153="","",$A153&amp;"|"&amp;$R153&amp;"|"&amp;$D153)</f>
        <v>39|C|7</v>
      </c>
    </row>
    <row r="154" customFormat="false" ht="15" hidden="false" customHeight="false" outlineLevel="0" collapsed="false">
      <c r="A154" s="8" t="n">
        <v>38</v>
      </c>
      <c r="B154" s="8" t="s">
        <v>112</v>
      </c>
      <c r="E154" s="8" t="n">
        <v>0.394</v>
      </c>
      <c r="L154" s="8" t="s">
        <v>53</v>
      </c>
      <c r="M154" s="8" t="s">
        <v>113</v>
      </c>
      <c r="P154" s="8" t="s">
        <v>114</v>
      </c>
      <c r="R154" s="9" t="str">
        <f aca="false">IF($D154="","",IF($F154&lt;&gt;"","N",IF($J154&lt;&gt;"","C","")))</f>
        <v/>
      </c>
      <c r="S154" s="9" t="str">
        <f aca="false">IF($R154="","",$A154&amp;"|"&amp;$R154&amp;"|"&amp;$D154)</f>
        <v/>
      </c>
    </row>
    <row r="155" customFormat="false" ht="15" hidden="false" customHeight="false" outlineLevel="0" collapsed="false">
      <c r="A155" s="8" t="n">
        <v>38</v>
      </c>
      <c r="B155" s="8" t="s">
        <v>112</v>
      </c>
      <c r="E155" s="8" t="n">
        <v>0.394</v>
      </c>
      <c r="L155" s="8" t="s">
        <v>59</v>
      </c>
      <c r="M155" s="8" t="s">
        <v>115</v>
      </c>
      <c r="P155" s="8" t="s">
        <v>116</v>
      </c>
      <c r="R155" s="9" t="str">
        <f aca="false">IF($D155="","",IF($F155&lt;&gt;"","N",IF($J155&lt;&gt;"","C","")))</f>
        <v/>
      </c>
      <c r="S155" s="9" t="str">
        <f aca="false">IF($R155="","",$A155&amp;"|"&amp;$R155&amp;"|"&amp;$D155)</f>
        <v/>
      </c>
    </row>
    <row r="156" customFormat="false" ht="15" hidden="false" customHeight="false" outlineLevel="0" collapsed="false">
      <c r="A156" s="8" t="n">
        <v>38</v>
      </c>
      <c r="B156" s="8" t="s">
        <v>112</v>
      </c>
      <c r="D156" s="8" t="n">
        <v>1</v>
      </c>
      <c r="E156" s="8" t="n">
        <v>0.394</v>
      </c>
      <c r="F156" s="8" t="n">
        <v>668</v>
      </c>
      <c r="G156" s="8" t="n">
        <v>23.6</v>
      </c>
      <c r="H156" s="8" t="n">
        <v>12.939</v>
      </c>
      <c r="I156" s="8" t="n">
        <v>0</v>
      </c>
      <c r="N156" s="8" t="n">
        <v>-1.186</v>
      </c>
      <c r="R156" s="9" t="str">
        <f aca="false">IF($D156="","",IF($F156&lt;&gt;"","N",IF($J156&lt;&gt;"","C","")))</f>
        <v>N</v>
      </c>
      <c r="S156" s="9" t="str">
        <f aca="false">IF($R156="","",$A156&amp;"|"&amp;$R156&amp;"|"&amp;$D156)</f>
        <v>38|N|1</v>
      </c>
    </row>
    <row r="157" customFormat="false" ht="15" hidden="false" customHeight="false" outlineLevel="0" collapsed="false">
      <c r="A157" s="8" t="n">
        <v>38</v>
      </c>
      <c r="B157" s="8" t="s">
        <v>112</v>
      </c>
      <c r="D157" s="8" t="n">
        <v>2</v>
      </c>
      <c r="E157" s="8" t="n">
        <v>0.394</v>
      </c>
      <c r="F157" s="8" t="n">
        <v>672</v>
      </c>
      <c r="G157" s="8" t="n">
        <v>23.6</v>
      </c>
      <c r="H157" s="8" t="n">
        <v>12.94</v>
      </c>
      <c r="I157" s="8" t="n">
        <v>1</v>
      </c>
      <c r="N157" s="8" t="n">
        <v>-1.25</v>
      </c>
      <c r="R157" s="9" t="str">
        <f aca="false">IF($D157="","",IF($F157&lt;&gt;"","N",IF($J157&lt;&gt;"","C","")))</f>
        <v>N</v>
      </c>
      <c r="S157" s="9" t="str">
        <f aca="false">IF($R157="","",$A157&amp;"|"&amp;$R157&amp;"|"&amp;$D157)</f>
        <v>38|N|2</v>
      </c>
    </row>
    <row r="158" customFormat="false" ht="15" hidden="false" customHeight="false" outlineLevel="0" collapsed="false">
      <c r="A158" s="8" t="n">
        <v>38</v>
      </c>
      <c r="B158" s="8" t="s">
        <v>112</v>
      </c>
      <c r="D158" s="8" t="n">
        <v>3</v>
      </c>
      <c r="E158" s="8" t="n">
        <v>0.394</v>
      </c>
      <c r="F158" s="8" t="n">
        <v>1545</v>
      </c>
      <c r="G158" s="8" t="n">
        <v>24.5</v>
      </c>
      <c r="H158" s="8" t="n">
        <v>27.2</v>
      </c>
      <c r="I158" s="8" t="n">
        <v>0</v>
      </c>
      <c r="N158" s="8" t="n">
        <v>-6.426</v>
      </c>
      <c r="R158" s="9" t="str">
        <f aca="false">IF($D158="","",IF($F158&lt;&gt;"","N",IF($J158&lt;&gt;"","C","")))</f>
        <v>N</v>
      </c>
      <c r="S158" s="9" t="str">
        <f aca="false">IF($R158="","",$A158&amp;"|"&amp;$R158&amp;"|"&amp;$D158)</f>
        <v>38|N|3</v>
      </c>
    </row>
    <row r="159" customFormat="false" ht="15" hidden="false" customHeight="false" outlineLevel="0" collapsed="false">
      <c r="A159" s="8" t="n">
        <v>38</v>
      </c>
      <c r="B159" s="8" t="s">
        <v>112</v>
      </c>
      <c r="D159" s="8" t="n">
        <v>4</v>
      </c>
      <c r="E159" s="8" t="n">
        <v>0.394</v>
      </c>
      <c r="I159" s="8" t="n">
        <v>0</v>
      </c>
      <c r="J159" s="8" t="n">
        <v>5603</v>
      </c>
      <c r="K159" s="8" t="n">
        <v>127.597</v>
      </c>
      <c r="O159" s="8" t="n">
        <v>-9.426</v>
      </c>
      <c r="R159" s="9" t="str">
        <f aca="false">IF($D159="","",IF($F159&lt;&gt;"","N",IF($J159&lt;&gt;"","C","")))</f>
        <v>C</v>
      </c>
      <c r="S159" s="9" t="str">
        <f aca="false">IF($R159="","",$A159&amp;"|"&amp;$R159&amp;"|"&amp;$D159)</f>
        <v>38|C|4</v>
      </c>
    </row>
    <row r="160" customFormat="false" ht="15" hidden="false" customHeight="false" outlineLevel="0" collapsed="false">
      <c r="A160" s="8" t="n">
        <v>38</v>
      </c>
      <c r="B160" s="8" t="s">
        <v>112</v>
      </c>
      <c r="D160" s="8" t="n">
        <v>5</v>
      </c>
      <c r="E160" s="8" t="n">
        <v>0.394</v>
      </c>
      <c r="I160" s="8" t="n">
        <v>1</v>
      </c>
      <c r="J160" s="8" t="n">
        <v>4722</v>
      </c>
      <c r="K160" s="8" t="n">
        <v>89.148</v>
      </c>
      <c r="O160" s="8" t="n">
        <v>-25.22</v>
      </c>
      <c r="R160" s="9" t="str">
        <f aca="false">IF($D160="","",IF($F160&lt;&gt;"","N",IF($J160&lt;&gt;"","C","")))</f>
        <v>C</v>
      </c>
      <c r="S160" s="9" t="str">
        <f aca="false">IF($R160="","",$A160&amp;"|"&amp;$R160&amp;"|"&amp;$D160)</f>
        <v>38|C|5</v>
      </c>
    </row>
    <row r="161" customFormat="false" ht="15" hidden="false" customHeight="false" outlineLevel="0" collapsed="false">
      <c r="A161" s="8" t="n">
        <v>38</v>
      </c>
      <c r="B161" s="8" t="s">
        <v>112</v>
      </c>
      <c r="D161" s="8" t="n">
        <v>6</v>
      </c>
      <c r="E161" s="8" t="n">
        <v>0.394</v>
      </c>
      <c r="I161" s="8" t="n">
        <v>0</v>
      </c>
      <c r="J161" s="8" t="n">
        <v>4750</v>
      </c>
      <c r="K161" s="8" t="n">
        <v>89.294</v>
      </c>
      <c r="O161" s="8" t="n">
        <v>-25.377</v>
      </c>
      <c r="R161" s="9" t="str">
        <f aca="false">IF($D161="","",IF($F161&lt;&gt;"","N",IF($J161&lt;&gt;"","C","")))</f>
        <v>C</v>
      </c>
      <c r="S161" s="9" t="str">
        <f aca="false">IF($R161="","",$A161&amp;"|"&amp;$R161&amp;"|"&amp;$D161)</f>
        <v>38|C|6</v>
      </c>
    </row>
    <row r="162" customFormat="false" ht="15" hidden="false" customHeight="false" outlineLevel="0" collapsed="false">
      <c r="A162" s="8" t="n">
        <v>38</v>
      </c>
      <c r="B162" s="8" t="s">
        <v>112</v>
      </c>
      <c r="D162" s="8" t="n">
        <v>7</v>
      </c>
      <c r="E162" s="8" t="n">
        <v>0.394</v>
      </c>
      <c r="I162" s="8" t="n">
        <v>0</v>
      </c>
      <c r="J162" s="8" t="n">
        <v>4748</v>
      </c>
      <c r="K162" s="8" t="n">
        <v>89.428</v>
      </c>
      <c r="O162" s="8" t="n">
        <v>-25.42</v>
      </c>
      <c r="R162" s="9" t="str">
        <f aca="false">IF($D162="","",IF($F162&lt;&gt;"","N",IF($J162&lt;&gt;"","C","")))</f>
        <v>C</v>
      </c>
      <c r="S162" s="9" t="str">
        <f aca="false">IF($R162="","",$A162&amp;"|"&amp;$R162&amp;"|"&amp;$D162)</f>
        <v>38|C|7</v>
      </c>
    </row>
    <row r="163" customFormat="false" ht="15" hidden="false" customHeight="false" outlineLevel="0" collapsed="false">
      <c r="A163" s="8" t="n">
        <v>37</v>
      </c>
      <c r="B163" s="8" t="s">
        <v>67</v>
      </c>
      <c r="L163" s="8" t="s">
        <v>53</v>
      </c>
      <c r="M163" s="8" t="s">
        <v>117</v>
      </c>
      <c r="P163" s="8" t="s">
        <v>114</v>
      </c>
      <c r="R163" s="9" t="str">
        <f aca="false">IF($D163="","",IF($F163&lt;&gt;"","N",IF($J163&lt;&gt;"","C","")))</f>
        <v/>
      </c>
      <c r="S163" s="9" t="str">
        <f aca="false">IF($R163="","",$A163&amp;"|"&amp;$R163&amp;"|"&amp;$D163)</f>
        <v/>
      </c>
    </row>
    <row r="164" customFormat="false" ht="15" hidden="false" customHeight="false" outlineLevel="0" collapsed="false">
      <c r="A164" s="8" t="n">
        <v>37</v>
      </c>
      <c r="B164" s="8" t="s">
        <v>67</v>
      </c>
      <c r="L164" s="8" t="s">
        <v>59</v>
      </c>
      <c r="M164" s="8" t="s">
        <v>118</v>
      </c>
      <c r="P164" s="8" t="s">
        <v>119</v>
      </c>
      <c r="R164" s="9" t="str">
        <f aca="false">IF($D164="","",IF($F164&lt;&gt;"","N",IF($J164&lt;&gt;"","C","")))</f>
        <v/>
      </c>
      <c r="S164" s="9" t="str">
        <f aca="false">IF($R164="","",$A164&amp;"|"&amp;$R164&amp;"|"&amp;$D164)</f>
        <v/>
      </c>
    </row>
    <row r="165" customFormat="false" ht="15" hidden="false" customHeight="false" outlineLevel="0" collapsed="false">
      <c r="A165" s="8" t="n">
        <v>37</v>
      </c>
      <c r="B165" s="8" t="s">
        <v>67</v>
      </c>
      <c r="D165" s="8" t="n">
        <v>1</v>
      </c>
      <c r="F165" s="8" t="n">
        <v>667</v>
      </c>
      <c r="G165" s="8" t="n">
        <v>23.6</v>
      </c>
      <c r="H165" s="8" t="n">
        <v>12.919</v>
      </c>
      <c r="I165" s="8" t="n">
        <v>0</v>
      </c>
      <c r="N165" s="8" t="n">
        <v>-1.171</v>
      </c>
      <c r="R165" s="9" t="str">
        <f aca="false">IF($D165="","",IF($F165&lt;&gt;"","N",IF($J165&lt;&gt;"","C","")))</f>
        <v>N</v>
      </c>
      <c r="S165" s="9" t="str">
        <f aca="false">IF($R165="","",$A165&amp;"|"&amp;$R165&amp;"|"&amp;$D165)</f>
        <v>37|N|1</v>
      </c>
    </row>
    <row r="166" customFormat="false" ht="15" hidden="false" customHeight="false" outlineLevel="0" collapsed="false">
      <c r="A166" s="8" t="n">
        <v>37</v>
      </c>
      <c r="B166" s="8" t="s">
        <v>67</v>
      </c>
      <c r="D166" s="8" t="n">
        <v>2</v>
      </c>
      <c r="F166" s="8" t="n">
        <v>671</v>
      </c>
      <c r="G166" s="8" t="n">
        <v>23.5</v>
      </c>
      <c r="H166" s="8" t="n">
        <v>12.919</v>
      </c>
      <c r="I166" s="8" t="n">
        <v>1</v>
      </c>
      <c r="N166" s="8" t="n">
        <v>-1.25</v>
      </c>
      <c r="R166" s="9" t="str">
        <f aca="false">IF($D166="","",IF($F166&lt;&gt;"","N",IF($J166&lt;&gt;"","C","")))</f>
        <v>N</v>
      </c>
      <c r="S166" s="9" t="str">
        <f aca="false">IF($R166="","",$A166&amp;"|"&amp;$R166&amp;"|"&amp;$D166)</f>
        <v>37|N|2</v>
      </c>
    </row>
    <row r="167" customFormat="false" ht="15" hidden="false" customHeight="false" outlineLevel="0" collapsed="false">
      <c r="A167" s="8" t="n">
        <v>37</v>
      </c>
      <c r="B167" s="8" t="s">
        <v>67</v>
      </c>
      <c r="D167" s="8" t="n">
        <v>3</v>
      </c>
      <c r="F167" s="8" t="n">
        <v>1790</v>
      </c>
      <c r="G167" s="8" t="n">
        <v>24.5</v>
      </c>
      <c r="H167" s="8" t="n">
        <v>31.222</v>
      </c>
      <c r="I167" s="8" t="n">
        <v>0</v>
      </c>
      <c r="N167" s="8" t="n">
        <v>-5.902</v>
      </c>
      <c r="R167" s="9" t="str">
        <f aca="false">IF($D167="","",IF($F167&lt;&gt;"","N",IF($J167&lt;&gt;"","C","")))</f>
        <v>N</v>
      </c>
      <c r="S167" s="9" t="str">
        <f aca="false">IF($R167="","",$A167&amp;"|"&amp;$R167&amp;"|"&amp;$D167)</f>
        <v>37|N|3</v>
      </c>
    </row>
    <row r="168" customFormat="false" ht="15" hidden="false" customHeight="false" outlineLevel="0" collapsed="false">
      <c r="A168" s="8" t="n">
        <v>37</v>
      </c>
      <c r="B168" s="8" t="s">
        <v>67</v>
      </c>
      <c r="D168" s="8" t="n">
        <v>4</v>
      </c>
      <c r="I168" s="8" t="n">
        <v>0</v>
      </c>
      <c r="J168" s="8" t="n">
        <v>6395</v>
      </c>
      <c r="K168" s="8" t="n">
        <v>146.952</v>
      </c>
      <c r="O168" s="8" t="n">
        <v>-9.55</v>
      </c>
      <c r="R168" s="9" t="str">
        <f aca="false">IF($D168="","",IF($F168&lt;&gt;"","N",IF($J168&lt;&gt;"","C","")))</f>
        <v>C</v>
      </c>
      <c r="S168" s="9" t="str">
        <f aca="false">IF($R168="","",$A168&amp;"|"&amp;$R168&amp;"|"&amp;$D168)</f>
        <v>37|C|4</v>
      </c>
    </row>
    <row r="169" customFormat="false" ht="15" hidden="false" customHeight="false" outlineLevel="0" collapsed="false">
      <c r="A169" s="8" t="n">
        <v>37</v>
      </c>
      <c r="B169" s="8" t="s">
        <v>67</v>
      </c>
      <c r="D169" s="8" t="n">
        <v>5</v>
      </c>
      <c r="I169" s="8" t="n">
        <v>1</v>
      </c>
      <c r="J169" s="8" t="n">
        <v>4748</v>
      </c>
      <c r="K169" s="8" t="n">
        <v>89.081</v>
      </c>
      <c r="O169" s="8" t="n">
        <v>-25.22</v>
      </c>
      <c r="R169" s="9" t="str">
        <f aca="false">IF($D169="","",IF($F169&lt;&gt;"","N",IF($J169&lt;&gt;"","C","")))</f>
        <v>C</v>
      </c>
      <c r="S169" s="9" t="str">
        <f aca="false">IF($R169="","",$A169&amp;"|"&amp;$R169&amp;"|"&amp;$D169)</f>
        <v>37|C|5</v>
      </c>
    </row>
    <row r="170" customFormat="false" ht="15" hidden="false" customHeight="false" outlineLevel="0" collapsed="false">
      <c r="A170" s="8" t="n">
        <v>37</v>
      </c>
      <c r="B170" s="8" t="s">
        <v>67</v>
      </c>
      <c r="D170" s="8" t="n">
        <v>6</v>
      </c>
      <c r="I170" s="8" t="n">
        <v>0</v>
      </c>
      <c r="J170" s="8" t="n">
        <v>4751</v>
      </c>
      <c r="K170" s="8" t="n">
        <v>89.262</v>
      </c>
      <c r="O170" s="8" t="n">
        <v>-25.339</v>
      </c>
      <c r="R170" s="9" t="str">
        <f aca="false">IF($D170="","",IF($F170&lt;&gt;"","N",IF($J170&lt;&gt;"","C","")))</f>
        <v>C</v>
      </c>
      <c r="S170" s="9" t="str">
        <f aca="false">IF($R170="","",$A170&amp;"|"&amp;$R170&amp;"|"&amp;$D170)</f>
        <v>37|C|6</v>
      </c>
    </row>
    <row r="171" customFormat="false" ht="15" hidden="false" customHeight="false" outlineLevel="0" collapsed="false">
      <c r="A171" s="8" t="n">
        <v>37</v>
      </c>
      <c r="B171" s="8" t="s">
        <v>67</v>
      </c>
      <c r="D171" s="8" t="n">
        <v>7</v>
      </c>
      <c r="I171" s="8" t="n">
        <v>0</v>
      </c>
      <c r="J171" s="8" t="n">
        <v>4741</v>
      </c>
      <c r="K171" s="8" t="n">
        <v>89.374</v>
      </c>
      <c r="O171" s="8" t="n">
        <v>-25.417</v>
      </c>
      <c r="R171" s="9" t="str">
        <f aca="false">IF($D171="","",IF($F171&lt;&gt;"","N",IF($J171&lt;&gt;"","C","")))</f>
        <v>C</v>
      </c>
      <c r="S171" s="9" t="str">
        <f aca="false">IF($R171="","",$A171&amp;"|"&amp;$R171&amp;"|"&amp;$D171)</f>
        <v>37|C|7</v>
      </c>
    </row>
    <row r="172" customFormat="false" ht="15" hidden="false" customHeight="false" outlineLevel="0" collapsed="false">
      <c r="A172" s="8" t="n">
        <v>36</v>
      </c>
      <c r="B172" s="8" t="s">
        <v>67</v>
      </c>
      <c r="L172" s="8" t="s">
        <v>53</v>
      </c>
      <c r="M172" s="8" t="s">
        <v>120</v>
      </c>
      <c r="P172" s="8" t="s">
        <v>121</v>
      </c>
      <c r="R172" s="9" t="str">
        <f aca="false">IF($D172="","",IF($F172&lt;&gt;"","N",IF($J172&lt;&gt;"","C","")))</f>
        <v/>
      </c>
      <c r="S172" s="9" t="str">
        <f aca="false">IF($R172="","",$A172&amp;"|"&amp;$R172&amp;"|"&amp;$D172)</f>
        <v/>
      </c>
    </row>
    <row r="173" customFormat="false" ht="15" hidden="false" customHeight="false" outlineLevel="0" collapsed="false">
      <c r="A173" s="8" t="n">
        <v>36</v>
      </c>
      <c r="B173" s="8" t="s">
        <v>67</v>
      </c>
      <c r="L173" s="8" t="s">
        <v>59</v>
      </c>
      <c r="M173" s="8" t="s">
        <v>122</v>
      </c>
      <c r="P173" s="8" t="s">
        <v>123</v>
      </c>
      <c r="R173" s="9" t="str">
        <f aca="false">IF($D173="","",IF($F173&lt;&gt;"","N",IF($J173&lt;&gt;"","C","")))</f>
        <v/>
      </c>
      <c r="S173" s="9" t="str">
        <f aca="false">IF($R173="","",$A173&amp;"|"&amp;$R173&amp;"|"&amp;$D173)</f>
        <v/>
      </c>
    </row>
    <row r="174" customFormat="false" ht="15" hidden="false" customHeight="false" outlineLevel="0" collapsed="false">
      <c r="A174" s="8" t="n">
        <v>36</v>
      </c>
      <c r="B174" s="8" t="s">
        <v>67</v>
      </c>
      <c r="D174" s="8" t="n">
        <v>1</v>
      </c>
      <c r="F174" s="8" t="n">
        <v>666</v>
      </c>
      <c r="G174" s="8" t="n">
        <v>23.6</v>
      </c>
      <c r="H174" s="8" t="n">
        <v>12.89</v>
      </c>
      <c r="I174" s="8" t="n">
        <v>0</v>
      </c>
      <c r="N174" s="8" t="n">
        <v>-1.155</v>
      </c>
      <c r="R174" s="9" t="str">
        <f aca="false">IF($D174="","",IF($F174&lt;&gt;"","N",IF($J174&lt;&gt;"","C","")))</f>
        <v>N</v>
      </c>
      <c r="S174" s="9" t="str">
        <f aca="false">IF($R174="","",$A174&amp;"|"&amp;$R174&amp;"|"&amp;$D174)</f>
        <v>36|N|1</v>
      </c>
    </row>
    <row r="175" customFormat="false" ht="15" hidden="false" customHeight="false" outlineLevel="0" collapsed="false">
      <c r="A175" s="8" t="n">
        <v>36</v>
      </c>
      <c r="B175" s="8" t="s">
        <v>67</v>
      </c>
      <c r="D175" s="8" t="n">
        <v>2</v>
      </c>
      <c r="F175" s="8" t="n">
        <v>670</v>
      </c>
      <c r="G175" s="8" t="n">
        <v>23.6</v>
      </c>
      <c r="H175" s="8" t="n">
        <v>12.903</v>
      </c>
      <c r="I175" s="8" t="n">
        <v>1</v>
      </c>
      <c r="N175" s="8" t="n">
        <v>-1.25</v>
      </c>
      <c r="R175" s="9" t="str">
        <f aca="false">IF($D175="","",IF($F175&lt;&gt;"","N",IF($J175&lt;&gt;"","C","")))</f>
        <v>N</v>
      </c>
      <c r="S175" s="9" t="str">
        <f aca="false">IF($R175="","",$A175&amp;"|"&amp;$R175&amp;"|"&amp;$D175)</f>
        <v>36|N|2</v>
      </c>
    </row>
    <row r="176" customFormat="false" ht="15" hidden="false" customHeight="false" outlineLevel="0" collapsed="false">
      <c r="A176" s="8" t="n">
        <v>36</v>
      </c>
      <c r="B176" s="8" t="s">
        <v>67</v>
      </c>
      <c r="D176" s="8" t="n">
        <v>3</v>
      </c>
      <c r="F176" s="8" t="n">
        <v>1292</v>
      </c>
      <c r="G176" s="8" t="n">
        <v>24.5</v>
      </c>
      <c r="H176" s="8" t="n">
        <v>22.876</v>
      </c>
      <c r="I176" s="8" t="n">
        <v>0</v>
      </c>
      <c r="N176" s="8" t="n">
        <v>-6.116</v>
      </c>
      <c r="R176" s="9" t="str">
        <f aca="false">IF($D176="","",IF($F176&lt;&gt;"","N",IF($J176&lt;&gt;"","C","")))</f>
        <v>N</v>
      </c>
      <c r="S176" s="9" t="str">
        <f aca="false">IF($R176="","",$A176&amp;"|"&amp;$R176&amp;"|"&amp;$D176)</f>
        <v>36|N|3</v>
      </c>
    </row>
    <row r="177" customFormat="false" ht="15" hidden="false" customHeight="false" outlineLevel="0" collapsed="false">
      <c r="A177" s="8" t="n">
        <v>36</v>
      </c>
      <c r="B177" s="8" t="s">
        <v>67</v>
      </c>
      <c r="D177" s="8" t="n">
        <v>4</v>
      </c>
      <c r="I177" s="8" t="n">
        <v>0</v>
      </c>
      <c r="J177" s="8" t="n">
        <v>4715</v>
      </c>
      <c r="K177" s="8" t="n">
        <v>107.199</v>
      </c>
      <c r="O177" s="8" t="n">
        <v>-9.529</v>
      </c>
      <c r="R177" s="9" t="str">
        <f aca="false">IF($D177="","",IF($F177&lt;&gt;"","N",IF($J177&lt;&gt;"","C","")))</f>
        <v>C</v>
      </c>
      <c r="S177" s="9" t="str">
        <f aca="false">IF($R177="","",$A177&amp;"|"&amp;$R177&amp;"|"&amp;$D177)</f>
        <v>36|C|4</v>
      </c>
    </row>
    <row r="178" customFormat="false" ht="15" hidden="false" customHeight="false" outlineLevel="0" collapsed="false">
      <c r="A178" s="8" t="n">
        <v>36</v>
      </c>
      <c r="B178" s="8" t="s">
        <v>67</v>
      </c>
      <c r="D178" s="8" t="n">
        <v>5</v>
      </c>
      <c r="I178" s="8" t="n">
        <v>1</v>
      </c>
      <c r="J178" s="8" t="n">
        <v>4727</v>
      </c>
      <c r="K178" s="8" t="n">
        <v>89.177</v>
      </c>
      <c r="O178" s="8" t="n">
        <v>-25.22</v>
      </c>
      <c r="R178" s="9" t="str">
        <f aca="false">IF($D178="","",IF($F178&lt;&gt;"","N",IF($J178&lt;&gt;"","C","")))</f>
        <v>C</v>
      </c>
      <c r="S178" s="9" t="str">
        <f aca="false">IF($R178="","",$A178&amp;"|"&amp;$R178&amp;"|"&amp;$D178)</f>
        <v>36|C|5</v>
      </c>
    </row>
    <row r="179" customFormat="false" ht="15" hidden="false" customHeight="false" outlineLevel="0" collapsed="false">
      <c r="A179" s="8" t="n">
        <v>36</v>
      </c>
      <c r="B179" s="8" t="s">
        <v>67</v>
      </c>
      <c r="D179" s="8" t="n">
        <v>6</v>
      </c>
      <c r="I179" s="8" t="n">
        <v>0</v>
      </c>
      <c r="J179" s="8" t="n">
        <v>4744</v>
      </c>
      <c r="K179" s="8" t="n">
        <v>89.3</v>
      </c>
      <c r="O179" s="8" t="n">
        <v>-25.39</v>
      </c>
      <c r="R179" s="9" t="str">
        <f aca="false">IF($D179="","",IF($F179&lt;&gt;"","N",IF($J179&lt;&gt;"","C","")))</f>
        <v>C</v>
      </c>
      <c r="S179" s="9" t="str">
        <f aca="false">IF($R179="","",$A179&amp;"|"&amp;$R179&amp;"|"&amp;$D179)</f>
        <v>36|C|6</v>
      </c>
    </row>
    <row r="180" customFormat="false" ht="15" hidden="false" customHeight="false" outlineLevel="0" collapsed="false">
      <c r="A180" s="8" t="n">
        <v>36</v>
      </c>
      <c r="B180" s="8" t="s">
        <v>67</v>
      </c>
      <c r="D180" s="8" t="n">
        <v>7</v>
      </c>
      <c r="I180" s="8" t="n">
        <v>0</v>
      </c>
      <c r="J180" s="8" t="n">
        <v>4744</v>
      </c>
      <c r="K180" s="8" t="n">
        <v>89.245</v>
      </c>
      <c r="O180" s="8" t="n">
        <v>-25.437</v>
      </c>
      <c r="R180" s="9" t="str">
        <f aca="false">IF($D180="","",IF($F180&lt;&gt;"","N",IF($J180&lt;&gt;"","C","")))</f>
        <v>C</v>
      </c>
      <c r="S180" s="9" t="str">
        <f aca="false">IF($R180="","",$A180&amp;"|"&amp;$R180&amp;"|"&amp;$D180)</f>
        <v>36|C|7</v>
      </c>
    </row>
    <row r="181" customFormat="false" ht="15" hidden="false" customHeight="false" outlineLevel="0" collapsed="false">
      <c r="A181" s="8" t="n">
        <v>35</v>
      </c>
      <c r="B181" s="8" t="s">
        <v>67</v>
      </c>
      <c r="L181" s="8" t="s">
        <v>53</v>
      </c>
      <c r="M181" s="8" t="s">
        <v>124</v>
      </c>
      <c r="P181" s="8" t="s">
        <v>90</v>
      </c>
      <c r="R181" s="9" t="str">
        <f aca="false">IF($D181="","",IF($F181&lt;&gt;"","N",IF($J181&lt;&gt;"","C","")))</f>
        <v/>
      </c>
      <c r="S181" s="9" t="str">
        <f aca="false">IF($R181="","",$A181&amp;"|"&amp;$R181&amp;"|"&amp;$D181)</f>
        <v/>
      </c>
    </row>
    <row r="182" customFormat="false" ht="15" hidden="false" customHeight="false" outlineLevel="0" collapsed="false">
      <c r="A182" s="8" t="n">
        <v>35</v>
      </c>
      <c r="B182" s="8" t="s">
        <v>67</v>
      </c>
      <c r="L182" s="8" t="s">
        <v>59</v>
      </c>
      <c r="M182" s="8" t="s">
        <v>125</v>
      </c>
      <c r="P182" s="8" t="s">
        <v>126</v>
      </c>
      <c r="R182" s="9" t="str">
        <f aca="false">IF($D182="","",IF($F182&lt;&gt;"","N",IF($J182&lt;&gt;"","C","")))</f>
        <v/>
      </c>
      <c r="S182" s="9" t="str">
        <f aca="false">IF($R182="","",$A182&amp;"|"&amp;$R182&amp;"|"&amp;$D182)</f>
        <v/>
      </c>
    </row>
    <row r="183" customFormat="false" ht="15" hidden="false" customHeight="false" outlineLevel="0" collapsed="false">
      <c r="A183" s="8" t="n">
        <v>35</v>
      </c>
      <c r="B183" s="8" t="s">
        <v>67</v>
      </c>
      <c r="D183" s="8" t="n">
        <v>1</v>
      </c>
      <c r="F183" s="8" t="n">
        <v>666</v>
      </c>
      <c r="G183" s="8" t="n">
        <v>23.7</v>
      </c>
      <c r="H183" s="8" t="n">
        <v>12.89</v>
      </c>
      <c r="I183" s="8" t="n">
        <v>0</v>
      </c>
      <c r="N183" s="8" t="n">
        <v>-1.269</v>
      </c>
      <c r="R183" s="9" t="str">
        <f aca="false">IF($D183="","",IF($F183&lt;&gt;"","N",IF($J183&lt;&gt;"","C","")))</f>
        <v>N</v>
      </c>
      <c r="S183" s="9" t="str">
        <f aca="false">IF($R183="","",$A183&amp;"|"&amp;$R183&amp;"|"&amp;$D183)</f>
        <v>35|N|1</v>
      </c>
    </row>
    <row r="184" customFormat="false" ht="15" hidden="false" customHeight="false" outlineLevel="0" collapsed="false">
      <c r="A184" s="8" t="n">
        <v>35</v>
      </c>
      <c r="B184" s="8" t="s">
        <v>67</v>
      </c>
      <c r="D184" s="8" t="n">
        <v>2</v>
      </c>
      <c r="F184" s="8" t="n">
        <v>671</v>
      </c>
      <c r="G184" s="8" t="n">
        <v>23.7</v>
      </c>
      <c r="H184" s="8" t="n">
        <v>12.901</v>
      </c>
      <c r="I184" s="8" t="n">
        <v>1</v>
      </c>
      <c r="N184" s="8" t="n">
        <v>-1.25</v>
      </c>
      <c r="R184" s="9" t="str">
        <f aca="false">IF($D184="","",IF($F184&lt;&gt;"","N",IF($J184&lt;&gt;"","C","")))</f>
        <v>N</v>
      </c>
      <c r="S184" s="9" t="str">
        <f aca="false">IF($R184="","",$A184&amp;"|"&amp;$R184&amp;"|"&amp;$D184)</f>
        <v>35|N|2</v>
      </c>
    </row>
    <row r="185" customFormat="false" ht="15" hidden="false" customHeight="false" outlineLevel="0" collapsed="false">
      <c r="A185" s="8" t="n">
        <v>35</v>
      </c>
      <c r="B185" s="8" t="s">
        <v>67</v>
      </c>
      <c r="D185" s="8" t="n">
        <v>3</v>
      </c>
      <c r="F185" s="8" t="n">
        <v>1317</v>
      </c>
      <c r="G185" s="8" t="n">
        <v>24.6</v>
      </c>
      <c r="H185" s="8" t="n">
        <v>23.414</v>
      </c>
      <c r="I185" s="8" t="n">
        <v>0</v>
      </c>
      <c r="N185" s="8" t="n">
        <v>-6.033</v>
      </c>
      <c r="R185" s="9" t="str">
        <f aca="false">IF($D185="","",IF($F185&lt;&gt;"","N",IF($J185&lt;&gt;"","C","")))</f>
        <v>N</v>
      </c>
      <c r="S185" s="9" t="str">
        <f aca="false">IF($R185="","",$A185&amp;"|"&amp;$R185&amp;"|"&amp;$D185)</f>
        <v>35|N|3</v>
      </c>
    </row>
    <row r="186" customFormat="false" ht="15" hidden="false" customHeight="false" outlineLevel="0" collapsed="false">
      <c r="A186" s="8" t="n">
        <v>35</v>
      </c>
      <c r="B186" s="8" t="s">
        <v>67</v>
      </c>
      <c r="D186" s="8" t="n">
        <v>4</v>
      </c>
      <c r="I186" s="8" t="n">
        <v>0</v>
      </c>
      <c r="J186" s="8" t="n">
        <v>4857</v>
      </c>
      <c r="K186" s="8" t="n">
        <v>109.657</v>
      </c>
      <c r="O186" s="8" t="n">
        <v>-9.637</v>
      </c>
      <c r="R186" s="9" t="str">
        <f aca="false">IF($D186="","",IF($F186&lt;&gt;"","N",IF($J186&lt;&gt;"","C","")))</f>
        <v>C</v>
      </c>
      <c r="S186" s="9" t="str">
        <f aca="false">IF($R186="","",$A186&amp;"|"&amp;$R186&amp;"|"&amp;$D186)</f>
        <v>35|C|4</v>
      </c>
    </row>
    <row r="187" customFormat="false" ht="15" hidden="false" customHeight="false" outlineLevel="0" collapsed="false">
      <c r="A187" s="8" t="n">
        <v>35</v>
      </c>
      <c r="B187" s="8" t="s">
        <v>67</v>
      </c>
      <c r="D187" s="8" t="n">
        <v>5</v>
      </c>
      <c r="I187" s="8" t="n">
        <v>1</v>
      </c>
      <c r="J187" s="8" t="n">
        <v>4749</v>
      </c>
      <c r="K187" s="8" t="n">
        <v>89.253</v>
      </c>
      <c r="O187" s="8" t="n">
        <v>-25.22</v>
      </c>
      <c r="R187" s="9" t="str">
        <f aca="false">IF($D187="","",IF($F187&lt;&gt;"","N",IF($J187&lt;&gt;"","C","")))</f>
        <v>C</v>
      </c>
      <c r="S187" s="9" t="str">
        <f aca="false">IF($R187="","",$A187&amp;"|"&amp;$R187&amp;"|"&amp;$D187)</f>
        <v>35|C|5</v>
      </c>
    </row>
    <row r="188" customFormat="false" ht="15" hidden="false" customHeight="false" outlineLevel="0" collapsed="false">
      <c r="A188" s="8" t="n">
        <v>35</v>
      </c>
      <c r="B188" s="8" t="s">
        <v>67</v>
      </c>
      <c r="D188" s="8" t="n">
        <v>6</v>
      </c>
      <c r="I188" s="8" t="n">
        <v>0</v>
      </c>
      <c r="J188" s="8" t="n">
        <v>4751</v>
      </c>
      <c r="K188" s="8" t="n">
        <v>89.231</v>
      </c>
      <c r="O188" s="8" t="n">
        <v>-25.345</v>
      </c>
      <c r="R188" s="9" t="str">
        <f aca="false">IF($D188="","",IF($F188&lt;&gt;"","N",IF($J188&lt;&gt;"","C","")))</f>
        <v>C</v>
      </c>
      <c r="S188" s="9" t="str">
        <f aca="false">IF($R188="","",$A188&amp;"|"&amp;$R188&amp;"|"&amp;$D188)</f>
        <v>35|C|6</v>
      </c>
    </row>
    <row r="189" customFormat="false" ht="15" hidden="false" customHeight="false" outlineLevel="0" collapsed="false">
      <c r="A189" s="8" t="n">
        <v>35</v>
      </c>
      <c r="B189" s="8" t="s">
        <v>67</v>
      </c>
      <c r="D189" s="8" t="n">
        <v>7</v>
      </c>
      <c r="I189" s="8" t="n">
        <v>0</v>
      </c>
      <c r="J189" s="8" t="n">
        <v>4738</v>
      </c>
      <c r="K189" s="8" t="n">
        <v>89.252</v>
      </c>
      <c r="O189" s="8" t="n">
        <v>-25.406</v>
      </c>
      <c r="R189" s="9" t="str">
        <f aca="false">IF($D189="","",IF($F189&lt;&gt;"","N",IF($J189&lt;&gt;"","C","")))</f>
        <v>C</v>
      </c>
      <c r="S189" s="9" t="str">
        <f aca="false">IF($R189="","",$A189&amp;"|"&amp;$R189&amp;"|"&amp;$D189)</f>
        <v>35|C|7</v>
      </c>
    </row>
    <row r="190" customFormat="false" ht="15" hidden="false" customHeight="false" outlineLevel="0" collapsed="false">
      <c r="A190" s="8" t="n">
        <v>34</v>
      </c>
      <c r="B190" s="8" t="s">
        <v>127</v>
      </c>
      <c r="E190" s="8" t="n">
        <v>0.399</v>
      </c>
      <c r="L190" s="8" t="s">
        <v>53</v>
      </c>
      <c r="M190" s="8" t="s">
        <v>128</v>
      </c>
      <c r="P190" s="8" t="s">
        <v>129</v>
      </c>
      <c r="R190" s="9" t="str">
        <f aca="false">IF($D190="","",IF($F190&lt;&gt;"","N",IF($J190&lt;&gt;"","C","")))</f>
        <v/>
      </c>
      <c r="S190" s="9" t="str">
        <f aca="false">IF($R190="","",$A190&amp;"|"&amp;$R190&amp;"|"&amp;$D190)</f>
        <v/>
      </c>
    </row>
    <row r="191" customFormat="false" ht="15" hidden="false" customHeight="false" outlineLevel="0" collapsed="false">
      <c r="A191" s="8" t="n">
        <v>34</v>
      </c>
      <c r="B191" s="8" t="s">
        <v>127</v>
      </c>
      <c r="E191" s="8" t="n">
        <v>0.399</v>
      </c>
      <c r="L191" s="8" t="s">
        <v>59</v>
      </c>
      <c r="M191" s="8" t="s">
        <v>130</v>
      </c>
      <c r="P191" s="8" t="s">
        <v>116</v>
      </c>
      <c r="R191" s="9" t="str">
        <f aca="false">IF($D191="","",IF($F191&lt;&gt;"","N",IF($J191&lt;&gt;"","C","")))</f>
        <v/>
      </c>
      <c r="S191" s="9" t="str">
        <f aca="false">IF($R191="","",$A191&amp;"|"&amp;$R191&amp;"|"&amp;$D191)</f>
        <v/>
      </c>
    </row>
    <row r="192" customFormat="false" ht="15" hidden="false" customHeight="false" outlineLevel="0" collapsed="false">
      <c r="A192" s="8" t="n">
        <v>34</v>
      </c>
      <c r="B192" s="8" t="s">
        <v>127</v>
      </c>
      <c r="D192" s="8" t="n">
        <v>1</v>
      </c>
      <c r="E192" s="8" t="n">
        <v>0.399</v>
      </c>
      <c r="F192" s="8" t="n">
        <v>666</v>
      </c>
      <c r="G192" s="8" t="n">
        <v>24</v>
      </c>
      <c r="H192" s="8" t="n">
        <v>12.89</v>
      </c>
      <c r="I192" s="8" t="n">
        <v>0</v>
      </c>
      <c r="N192" s="8" t="n">
        <v>-1.205</v>
      </c>
      <c r="R192" s="9" t="str">
        <f aca="false">IF($D192="","",IF($F192&lt;&gt;"","N",IF($J192&lt;&gt;"","C","")))</f>
        <v>N</v>
      </c>
      <c r="S192" s="9" t="str">
        <f aca="false">IF($R192="","",$A192&amp;"|"&amp;$R192&amp;"|"&amp;$D192)</f>
        <v>34|N|1</v>
      </c>
    </row>
    <row r="193" customFormat="false" ht="15" hidden="false" customHeight="false" outlineLevel="0" collapsed="false">
      <c r="A193" s="8" t="n">
        <v>34</v>
      </c>
      <c r="B193" s="8" t="s">
        <v>127</v>
      </c>
      <c r="D193" s="8" t="n">
        <v>2</v>
      </c>
      <c r="E193" s="8" t="n">
        <v>0.399</v>
      </c>
      <c r="F193" s="8" t="n">
        <v>671</v>
      </c>
      <c r="G193" s="8" t="n">
        <v>23.9</v>
      </c>
      <c r="H193" s="8" t="n">
        <v>12.909</v>
      </c>
      <c r="I193" s="8" t="n">
        <v>1</v>
      </c>
      <c r="N193" s="8" t="n">
        <v>-1.25</v>
      </c>
      <c r="R193" s="9" t="str">
        <f aca="false">IF($D193="","",IF($F193&lt;&gt;"","N",IF($J193&lt;&gt;"","C","")))</f>
        <v>N</v>
      </c>
      <c r="S193" s="9" t="str">
        <f aca="false">IF($R193="","",$A193&amp;"|"&amp;$R193&amp;"|"&amp;$D193)</f>
        <v>34|N|2</v>
      </c>
    </row>
    <row r="194" customFormat="false" ht="15" hidden="false" customHeight="false" outlineLevel="0" collapsed="false">
      <c r="A194" s="8" t="n">
        <v>34</v>
      </c>
      <c r="B194" s="8" t="s">
        <v>127</v>
      </c>
      <c r="D194" s="8" t="n">
        <v>3</v>
      </c>
      <c r="E194" s="8" t="n">
        <v>0.399</v>
      </c>
      <c r="F194" s="8" t="n">
        <v>1544</v>
      </c>
      <c r="G194" s="8" t="n">
        <v>24.8</v>
      </c>
      <c r="H194" s="8" t="n">
        <v>27.2</v>
      </c>
      <c r="I194" s="8" t="n">
        <v>0</v>
      </c>
      <c r="N194" s="8" t="n">
        <v>-6.213</v>
      </c>
      <c r="R194" s="9" t="str">
        <f aca="false">IF($D194="","",IF($F194&lt;&gt;"","N",IF($J194&lt;&gt;"","C","")))</f>
        <v>N</v>
      </c>
      <c r="S194" s="9" t="str">
        <f aca="false">IF($R194="","",$A194&amp;"|"&amp;$R194&amp;"|"&amp;$D194)</f>
        <v>34|N|3</v>
      </c>
    </row>
    <row r="195" customFormat="false" ht="15" hidden="false" customHeight="false" outlineLevel="0" collapsed="false">
      <c r="A195" s="8" t="n">
        <v>34</v>
      </c>
      <c r="B195" s="8" t="s">
        <v>127</v>
      </c>
      <c r="D195" s="8" t="n">
        <v>4</v>
      </c>
      <c r="E195" s="8" t="n">
        <v>0.399</v>
      </c>
      <c r="I195" s="8" t="n">
        <v>0</v>
      </c>
      <c r="J195" s="8" t="n">
        <v>5661</v>
      </c>
      <c r="K195" s="8" t="n">
        <v>127.619</v>
      </c>
      <c r="O195" s="8" t="n">
        <v>-9.469</v>
      </c>
      <c r="R195" s="9" t="str">
        <f aca="false">IF($D195="","",IF($F195&lt;&gt;"","N",IF($J195&lt;&gt;"","C","")))</f>
        <v>C</v>
      </c>
      <c r="S195" s="9" t="str">
        <f aca="false">IF($R195="","",$A195&amp;"|"&amp;$R195&amp;"|"&amp;$D195)</f>
        <v>34|C|4</v>
      </c>
    </row>
    <row r="196" customFormat="false" ht="15" hidden="false" customHeight="false" outlineLevel="0" collapsed="false">
      <c r="A196" s="8" t="n">
        <v>34</v>
      </c>
      <c r="B196" s="8" t="s">
        <v>127</v>
      </c>
      <c r="D196" s="8" t="n">
        <v>5</v>
      </c>
      <c r="E196" s="8" t="n">
        <v>0.399</v>
      </c>
      <c r="I196" s="8" t="n">
        <v>1</v>
      </c>
      <c r="J196" s="8" t="n">
        <v>4742</v>
      </c>
      <c r="K196" s="8" t="n">
        <v>89.171</v>
      </c>
      <c r="O196" s="8" t="n">
        <v>-25.22</v>
      </c>
      <c r="R196" s="9" t="str">
        <f aca="false">IF($D196="","",IF($F196&lt;&gt;"","N",IF($J196&lt;&gt;"","C","")))</f>
        <v>C</v>
      </c>
      <c r="S196" s="9" t="str">
        <f aca="false">IF($R196="","",$A196&amp;"|"&amp;$R196&amp;"|"&amp;$D196)</f>
        <v>34|C|5</v>
      </c>
    </row>
    <row r="197" customFormat="false" ht="15" hidden="false" customHeight="false" outlineLevel="0" collapsed="false">
      <c r="A197" s="8" t="n">
        <v>34</v>
      </c>
      <c r="B197" s="8" t="s">
        <v>127</v>
      </c>
      <c r="D197" s="8" t="n">
        <v>6</v>
      </c>
      <c r="E197" s="8" t="n">
        <v>0.399</v>
      </c>
      <c r="I197" s="8" t="n">
        <v>0</v>
      </c>
      <c r="J197" s="8" t="n">
        <v>4753</v>
      </c>
      <c r="K197" s="8" t="n">
        <v>89.163</v>
      </c>
      <c r="O197" s="8" t="n">
        <v>-25.34</v>
      </c>
      <c r="R197" s="9" t="str">
        <f aca="false">IF($D197="","",IF($F197&lt;&gt;"","N",IF($J197&lt;&gt;"","C","")))</f>
        <v>C</v>
      </c>
      <c r="S197" s="9" t="str">
        <f aca="false">IF($R197="","",$A197&amp;"|"&amp;$R197&amp;"|"&amp;$D197)</f>
        <v>34|C|6</v>
      </c>
    </row>
    <row r="198" customFormat="false" ht="15" hidden="false" customHeight="false" outlineLevel="0" collapsed="false">
      <c r="A198" s="8" t="n">
        <v>34</v>
      </c>
      <c r="B198" s="8" t="s">
        <v>127</v>
      </c>
      <c r="D198" s="8" t="n">
        <v>7</v>
      </c>
      <c r="E198" s="8" t="n">
        <v>0.399</v>
      </c>
      <c r="I198" s="8" t="n">
        <v>0</v>
      </c>
      <c r="J198" s="8" t="n">
        <v>4752</v>
      </c>
      <c r="K198" s="8" t="n">
        <v>89.215</v>
      </c>
      <c r="O198" s="8" t="n">
        <v>-25.394</v>
      </c>
      <c r="R198" s="9" t="str">
        <f aca="false">IF($D198="","",IF($F198&lt;&gt;"","N",IF($J198&lt;&gt;"","C","")))</f>
        <v>C</v>
      </c>
      <c r="S198" s="9" t="str">
        <f aca="false">IF($R198="","",$A198&amp;"|"&amp;$R198&amp;"|"&amp;$D198)</f>
        <v>34|C|7</v>
      </c>
    </row>
    <row r="199" customFormat="false" ht="15" hidden="false" customHeight="false" outlineLevel="0" collapsed="false">
      <c r="A199" s="8" t="n">
        <v>33</v>
      </c>
      <c r="B199" s="8" t="s">
        <v>67</v>
      </c>
      <c r="L199" s="8" t="s">
        <v>53</v>
      </c>
      <c r="M199" s="8" t="s">
        <v>131</v>
      </c>
      <c r="P199" s="8" t="s">
        <v>70</v>
      </c>
      <c r="R199" s="9" t="str">
        <f aca="false">IF($D199="","",IF($F199&lt;&gt;"","N",IF($J199&lt;&gt;"","C","")))</f>
        <v/>
      </c>
      <c r="S199" s="9" t="str">
        <f aca="false">IF($R199="","",$A199&amp;"|"&amp;$R199&amp;"|"&amp;$D199)</f>
        <v/>
      </c>
    </row>
    <row r="200" customFormat="false" ht="15" hidden="false" customHeight="false" outlineLevel="0" collapsed="false">
      <c r="A200" s="8" t="n">
        <v>33</v>
      </c>
      <c r="B200" s="8" t="s">
        <v>67</v>
      </c>
      <c r="L200" s="8" t="s">
        <v>59</v>
      </c>
      <c r="M200" s="8" t="s">
        <v>132</v>
      </c>
      <c r="P200" s="8" t="s">
        <v>133</v>
      </c>
      <c r="R200" s="9" t="str">
        <f aca="false">IF($D200="","",IF($F200&lt;&gt;"","N",IF($J200&lt;&gt;"","C","")))</f>
        <v/>
      </c>
      <c r="S200" s="9" t="str">
        <f aca="false">IF($R200="","",$A200&amp;"|"&amp;$R200&amp;"|"&amp;$D200)</f>
        <v/>
      </c>
    </row>
    <row r="201" customFormat="false" ht="15" hidden="false" customHeight="false" outlineLevel="0" collapsed="false">
      <c r="A201" s="8" t="n">
        <v>33</v>
      </c>
      <c r="B201" s="8" t="s">
        <v>67</v>
      </c>
      <c r="D201" s="8" t="n">
        <v>1</v>
      </c>
      <c r="F201" s="8" t="n">
        <v>666</v>
      </c>
      <c r="G201" s="8" t="n">
        <v>23.7</v>
      </c>
      <c r="H201" s="8" t="n">
        <v>12.882</v>
      </c>
      <c r="I201" s="8" t="n">
        <v>0</v>
      </c>
      <c r="N201" s="8" t="n">
        <v>-1.263</v>
      </c>
      <c r="R201" s="9" t="str">
        <f aca="false">IF($D201="","",IF($F201&lt;&gt;"","N",IF($J201&lt;&gt;"","C","")))</f>
        <v>N</v>
      </c>
      <c r="S201" s="9" t="str">
        <f aca="false">IF($R201="","",$A201&amp;"|"&amp;$R201&amp;"|"&amp;$D201)</f>
        <v>33|N|1</v>
      </c>
    </row>
    <row r="202" customFormat="false" ht="15" hidden="false" customHeight="false" outlineLevel="0" collapsed="false">
      <c r="A202" s="8" t="n">
        <v>33</v>
      </c>
      <c r="B202" s="8" t="s">
        <v>67</v>
      </c>
      <c r="D202" s="8" t="n">
        <v>2</v>
      </c>
      <c r="F202" s="8" t="n">
        <v>670</v>
      </c>
      <c r="G202" s="8" t="n">
        <v>23.7</v>
      </c>
      <c r="H202" s="8" t="n">
        <v>12.898</v>
      </c>
      <c r="I202" s="8" t="n">
        <v>1</v>
      </c>
      <c r="N202" s="8" t="n">
        <v>-1.25</v>
      </c>
      <c r="R202" s="9" t="str">
        <f aca="false">IF($D202="","",IF($F202&lt;&gt;"","N",IF($J202&lt;&gt;"","C","")))</f>
        <v>N</v>
      </c>
      <c r="S202" s="9" t="str">
        <f aca="false">IF($R202="","",$A202&amp;"|"&amp;$R202&amp;"|"&amp;$D202)</f>
        <v>33|N|2</v>
      </c>
    </row>
    <row r="203" customFormat="false" ht="15" hidden="false" customHeight="false" outlineLevel="0" collapsed="false">
      <c r="A203" s="8" t="n">
        <v>33</v>
      </c>
      <c r="B203" s="8" t="s">
        <v>67</v>
      </c>
      <c r="D203" s="8" t="n">
        <v>3</v>
      </c>
      <c r="F203" s="8" t="n">
        <v>3810</v>
      </c>
      <c r="G203" s="8" t="n">
        <v>24.7</v>
      </c>
      <c r="H203" s="8" t="n">
        <v>64.233</v>
      </c>
      <c r="I203" s="8" t="n">
        <v>0</v>
      </c>
      <c r="N203" s="8" t="n">
        <v>-5.821</v>
      </c>
      <c r="R203" s="9" t="str">
        <f aca="false">IF($D203="","",IF($F203&lt;&gt;"","N",IF($J203&lt;&gt;"","C","")))</f>
        <v>N</v>
      </c>
      <c r="S203" s="9" t="str">
        <f aca="false">IF($R203="","",$A203&amp;"|"&amp;$R203&amp;"|"&amp;$D203)</f>
        <v>33|N|3</v>
      </c>
    </row>
    <row r="204" customFormat="false" ht="15" hidden="false" customHeight="false" outlineLevel="0" collapsed="false">
      <c r="A204" s="8" t="n">
        <v>33</v>
      </c>
      <c r="B204" s="8" t="s">
        <v>67</v>
      </c>
      <c r="D204" s="8" t="n">
        <v>4</v>
      </c>
      <c r="I204" s="8" t="n">
        <v>0</v>
      </c>
      <c r="J204" s="8" t="n">
        <v>12392</v>
      </c>
      <c r="K204" s="8" t="n">
        <v>302.204</v>
      </c>
      <c r="O204" s="8" t="n">
        <v>-9.333</v>
      </c>
      <c r="R204" s="9" t="str">
        <f aca="false">IF($D204="","",IF($F204&lt;&gt;"","N",IF($J204&lt;&gt;"","C","")))</f>
        <v>C</v>
      </c>
      <c r="S204" s="9" t="str">
        <f aca="false">IF($R204="","",$A204&amp;"|"&amp;$R204&amp;"|"&amp;$D204)</f>
        <v>33|C|4</v>
      </c>
    </row>
    <row r="205" customFormat="false" ht="15" hidden="false" customHeight="false" outlineLevel="0" collapsed="false">
      <c r="A205" s="8" t="n">
        <v>33</v>
      </c>
      <c r="B205" s="8" t="s">
        <v>67</v>
      </c>
      <c r="D205" s="8" t="n">
        <v>5</v>
      </c>
      <c r="I205" s="8" t="n">
        <v>1</v>
      </c>
      <c r="J205" s="8" t="n">
        <v>4749</v>
      </c>
      <c r="K205" s="8" t="n">
        <v>89.024</v>
      </c>
      <c r="O205" s="8" t="n">
        <v>-25.22</v>
      </c>
      <c r="R205" s="9" t="str">
        <f aca="false">IF($D205="","",IF($F205&lt;&gt;"","N",IF($J205&lt;&gt;"","C","")))</f>
        <v>C</v>
      </c>
      <c r="S205" s="9" t="str">
        <f aca="false">IF($R205="","",$A205&amp;"|"&amp;$R205&amp;"|"&amp;$D205)</f>
        <v>33|C|5</v>
      </c>
    </row>
    <row r="206" customFormat="false" ht="15" hidden="false" customHeight="false" outlineLevel="0" collapsed="false">
      <c r="A206" s="8" t="n">
        <v>33</v>
      </c>
      <c r="B206" s="8" t="s">
        <v>67</v>
      </c>
      <c r="D206" s="8" t="n">
        <v>6</v>
      </c>
      <c r="I206" s="8" t="n">
        <v>0</v>
      </c>
      <c r="J206" s="8" t="n">
        <v>4737</v>
      </c>
      <c r="K206" s="8" t="n">
        <v>89.084</v>
      </c>
      <c r="O206" s="8" t="n">
        <v>-25.314</v>
      </c>
      <c r="R206" s="9" t="str">
        <f aca="false">IF($D206="","",IF($F206&lt;&gt;"","N",IF($J206&lt;&gt;"","C","")))</f>
        <v>C</v>
      </c>
      <c r="S206" s="9" t="str">
        <f aca="false">IF($R206="","",$A206&amp;"|"&amp;$R206&amp;"|"&amp;$D206)</f>
        <v>33|C|6</v>
      </c>
    </row>
    <row r="207" customFormat="false" ht="15" hidden="false" customHeight="false" outlineLevel="0" collapsed="false">
      <c r="A207" s="8" t="n">
        <v>33</v>
      </c>
      <c r="B207" s="8" t="s">
        <v>67</v>
      </c>
      <c r="D207" s="8" t="n">
        <v>7</v>
      </c>
      <c r="I207" s="8" t="n">
        <v>0</v>
      </c>
      <c r="J207" s="8" t="n">
        <v>4722</v>
      </c>
      <c r="K207" s="8" t="n">
        <v>89.182</v>
      </c>
      <c r="O207" s="8" t="n">
        <v>-25.356</v>
      </c>
      <c r="R207" s="9" t="str">
        <f aca="false">IF($D207="","",IF($F207&lt;&gt;"","N",IF($J207&lt;&gt;"","C","")))</f>
        <v>C</v>
      </c>
      <c r="S207" s="9" t="str">
        <f aca="false">IF($R207="","",$A207&amp;"|"&amp;$R207&amp;"|"&amp;$D207)</f>
        <v>33|C|7</v>
      </c>
    </row>
    <row r="208" customFormat="false" ht="15" hidden="false" customHeight="false" outlineLevel="0" collapsed="false">
      <c r="A208" s="8" t="n">
        <v>32</v>
      </c>
      <c r="B208" s="8" t="s">
        <v>67</v>
      </c>
      <c r="L208" s="8" t="s">
        <v>53</v>
      </c>
      <c r="M208" s="8" t="s">
        <v>134</v>
      </c>
      <c r="P208" s="8" t="s">
        <v>90</v>
      </c>
      <c r="R208" s="9" t="str">
        <f aca="false">IF($D208="","",IF($F208&lt;&gt;"","N",IF($J208&lt;&gt;"","C","")))</f>
        <v/>
      </c>
      <c r="S208" s="9" t="str">
        <f aca="false">IF($R208="","",$A208&amp;"|"&amp;$R208&amp;"|"&amp;$D208)</f>
        <v/>
      </c>
    </row>
    <row r="209" customFormat="false" ht="15" hidden="false" customHeight="false" outlineLevel="0" collapsed="false">
      <c r="A209" s="8" t="n">
        <v>32</v>
      </c>
      <c r="B209" s="8" t="s">
        <v>67</v>
      </c>
      <c r="L209" s="8" t="s">
        <v>59</v>
      </c>
      <c r="M209" s="8" t="s">
        <v>135</v>
      </c>
      <c r="P209" s="8" t="s">
        <v>136</v>
      </c>
      <c r="R209" s="9" t="str">
        <f aca="false">IF($D209="","",IF($F209&lt;&gt;"","N",IF($J209&lt;&gt;"","C","")))</f>
        <v/>
      </c>
      <c r="S209" s="9" t="str">
        <f aca="false">IF($R209="","",$A209&amp;"|"&amp;$R209&amp;"|"&amp;$D209)</f>
        <v/>
      </c>
    </row>
    <row r="210" customFormat="false" ht="15" hidden="false" customHeight="false" outlineLevel="0" collapsed="false">
      <c r="A210" s="8" t="n">
        <v>32</v>
      </c>
      <c r="B210" s="8" t="s">
        <v>67</v>
      </c>
      <c r="D210" s="8" t="n">
        <v>1</v>
      </c>
      <c r="F210" s="8" t="n">
        <v>664</v>
      </c>
      <c r="G210" s="8" t="n">
        <v>23.9</v>
      </c>
      <c r="H210" s="8" t="n">
        <v>12.876</v>
      </c>
      <c r="I210" s="8" t="n">
        <v>0</v>
      </c>
      <c r="N210" s="8" t="n">
        <v>-1.253</v>
      </c>
      <c r="R210" s="9" t="str">
        <f aca="false">IF($D210="","",IF($F210&lt;&gt;"","N",IF($J210&lt;&gt;"","C","")))</f>
        <v>N</v>
      </c>
      <c r="S210" s="9" t="str">
        <f aca="false">IF($R210="","",$A210&amp;"|"&amp;$R210&amp;"|"&amp;$D210)</f>
        <v>32|N|1</v>
      </c>
    </row>
    <row r="211" customFormat="false" ht="15" hidden="false" customHeight="false" outlineLevel="0" collapsed="false">
      <c r="A211" s="8" t="n">
        <v>32</v>
      </c>
      <c r="B211" s="8" t="s">
        <v>67</v>
      </c>
      <c r="D211" s="8" t="n">
        <v>2</v>
      </c>
      <c r="F211" s="8" t="n">
        <v>669</v>
      </c>
      <c r="G211" s="8" t="n">
        <v>23.9</v>
      </c>
      <c r="H211" s="8" t="n">
        <v>12.888</v>
      </c>
      <c r="I211" s="8" t="n">
        <v>1</v>
      </c>
      <c r="N211" s="8" t="n">
        <v>-1.25</v>
      </c>
      <c r="R211" s="9" t="str">
        <f aca="false">IF($D211="","",IF($F211&lt;&gt;"","N",IF($J211&lt;&gt;"","C","")))</f>
        <v>N</v>
      </c>
      <c r="S211" s="9" t="str">
        <f aca="false">IF($R211="","",$A211&amp;"|"&amp;$R211&amp;"|"&amp;$D211)</f>
        <v>32|N|2</v>
      </c>
    </row>
    <row r="212" customFormat="false" ht="15" hidden="false" customHeight="false" outlineLevel="0" collapsed="false">
      <c r="A212" s="8" t="n">
        <v>32</v>
      </c>
      <c r="B212" s="8" t="s">
        <v>67</v>
      </c>
      <c r="D212" s="8" t="n">
        <v>3</v>
      </c>
      <c r="F212" s="8" t="n">
        <v>654</v>
      </c>
      <c r="G212" s="8" t="n">
        <v>24.9</v>
      </c>
      <c r="H212" s="8" t="n">
        <v>12.229</v>
      </c>
      <c r="I212" s="8" t="n">
        <v>0</v>
      </c>
      <c r="N212" s="8" t="n">
        <v>-6.39</v>
      </c>
      <c r="R212" s="9" t="str">
        <f aca="false">IF($D212="","",IF($F212&lt;&gt;"","N",IF($J212&lt;&gt;"","C","")))</f>
        <v>N</v>
      </c>
      <c r="S212" s="9" t="str">
        <f aca="false">IF($R212="","",$A212&amp;"|"&amp;$R212&amp;"|"&amp;$D212)</f>
        <v>32|N|3</v>
      </c>
    </row>
    <row r="213" customFormat="false" ht="15" hidden="false" customHeight="false" outlineLevel="0" collapsed="false">
      <c r="A213" s="8" t="n">
        <v>32</v>
      </c>
      <c r="B213" s="8" t="s">
        <v>67</v>
      </c>
      <c r="D213" s="8" t="n">
        <v>4</v>
      </c>
      <c r="I213" s="8" t="n">
        <v>0</v>
      </c>
      <c r="J213" s="8" t="n">
        <v>2542</v>
      </c>
      <c r="K213" s="8" t="n">
        <v>56.107</v>
      </c>
      <c r="O213" s="8" t="n">
        <v>-9.702</v>
      </c>
      <c r="R213" s="9" t="str">
        <f aca="false">IF($D213="","",IF($F213&lt;&gt;"","N",IF($J213&lt;&gt;"","C","")))</f>
        <v>C</v>
      </c>
      <c r="S213" s="9" t="str">
        <f aca="false">IF($R213="","",$A213&amp;"|"&amp;$R213&amp;"|"&amp;$D213)</f>
        <v>32|C|4</v>
      </c>
    </row>
    <row r="214" customFormat="false" ht="15" hidden="false" customHeight="false" outlineLevel="0" collapsed="false">
      <c r="A214" s="8" t="n">
        <v>32</v>
      </c>
      <c r="B214" s="8" t="s">
        <v>67</v>
      </c>
      <c r="D214" s="8" t="n">
        <v>5</v>
      </c>
      <c r="I214" s="8" t="n">
        <v>1</v>
      </c>
      <c r="J214" s="8" t="n">
        <v>4722</v>
      </c>
      <c r="K214" s="8" t="n">
        <v>89.087</v>
      </c>
      <c r="O214" s="8" t="n">
        <v>-25.22</v>
      </c>
      <c r="R214" s="9" t="str">
        <f aca="false">IF($D214="","",IF($F214&lt;&gt;"","N",IF($J214&lt;&gt;"","C","")))</f>
        <v>C</v>
      </c>
      <c r="S214" s="9" t="str">
        <f aca="false">IF($R214="","",$A214&amp;"|"&amp;$R214&amp;"|"&amp;$D214)</f>
        <v>32|C|5</v>
      </c>
    </row>
    <row r="215" customFormat="false" ht="15" hidden="false" customHeight="false" outlineLevel="0" collapsed="false">
      <c r="A215" s="8" t="n">
        <v>32</v>
      </c>
      <c r="B215" s="8" t="s">
        <v>67</v>
      </c>
      <c r="D215" s="8" t="n">
        <v>6</v>
      </c>
      <c r="I215" s="8" t="n">
        <v>0</v>
      </c>
      <c r="J215" s="8" t="n">
        <v>4743</v>
      </c>
      <c r="K215" s="8" t="n">
        <v>89.221</v>
      </c>
      <c r="O215" s="8" t="n">
        <v>-25.392</v>
      </c>
      <c r="R215" s="9" t="str">
        <f aca="false">IF($D215="","",IF($F215&lt;&gt;"","N",IF($J215&lt;&gt;"","C","")))</f>
        <v>C</v>
      </c>
      <c r="S215" s="9" t="str">
        <f aca="false">IF($R215="","",$A215&amp;"|"&amp;$R215&amp;"|"&amp;$D215)</f>
        <v>32|C|6</v>
      </c>
    </row>
    <row r="216" customFormat="false" ht="15" hidden="false" customHeight="false" outlineLevel="0" collapsed="false">
      <c r="A216" s="8" t="n">
        <v>32</v>
      </c>
      <c r="B216" s="8" t="s">
        <v>67</v>
      </c>
      <c r="D216" s="8" t="n">
        <v>7</v>
      </c>
      <c r="I216" s="8" t="n">
        <v>0</v>
      </c>
      <c r="J216" s="8" t="n">
        <v>4732</v>
      </c>
      <c r="K216" s="8" t="n">
        <v>89.135</v>
      </c>
      <c r="O216" s="8" t="n">
        <v>-25.451</v>
      </c>
      <c r="R216" s="9" t="str">
        <f aca="false">IF($D216="","",IF($F216&lt;&gt;"","N",IF($J216&lt;&gt;"","C","")))</f>
        <v>C</v>
      </c>
      <c r="S216" s="9" t="str">
        <f aca="false">IF($R216="","",$A216&amp;"|"&amp;$R216&amp;"|"&amp;$D216)</f>
        <v>32|C|7</v>
      </c>
    </row>
    <row r="217" customFormat="false" ht="15" hidden="false" customHeight="false" outlineLevel="0" collapsed="false">
      <c r="A217" s="8" t="n">
        <v>31</v>
      </c>
      <c r="B217" s="8" t="s">
        <v>67</v>
      </c>
      <c r="L217" s="8" t="s">
        <v>53</v>
      </c>
      <c r="M217" s="8" t="s">
        <v>137</v>
      </c>
      <c r="P217" s="8" t="s">
        <v>138</v>
      </c>
      <c r="R217" s="9" t="str">
        <f aca="false">IF($D217="","",IF($F217&lt;&gt;"","N",IF($J217&lt;&gt;"","C","")))</f>
        <v/>
      </c>
      <c r="S217" s="9" t="str">
        <f aca="false">IF($R217="","",$A217&amp;"|"&amp;$R217&amp;"|"&amp;$D217)</f>
        <v/>
      </c>
    </row>
    <row r="218" customFormat="false" ht="15" hidden="false" customHeight="false" outlineLevel="0" collapsed="false">
      <c r="A218" s="8" t="n">
        <v>31</v>
      </c>
      <c r="B218" s="8" t="s">
        <v>67</v>
      </c>
      <c r="L218" s="8" t="s">
        <v>59</v>
      </c>
      <c r="M218" s="8" t="s">
        <v>139</v>
      </c>
      <c r="P218" s="8" t="s">
        <v>81</v>
      </c>
      <c r="R218" s="9" t="str">
        <f aca="false">IF($D218="","",IF($F218&lt;&gt;"","N",IF($J218&lt;&gt;"","C","")))</f>
        <v/>
      </c>
      <c r="S218" s="9" t="str">
        <f aca="false">IF($R218="","",$A218&amp;"|"&amp;$R218&amp;"|"&amp;$D218)</f>
        <v/>
      </c>
    </row>
    <row r="219" customFormat="false" ht="15" hidden="false" customHeight="false" outlineLevel="0" collapsed="false">
      <c r="A219" s="8" t="n">
        <v>31</v>
      </c>
      <c r="B219" s="8" t="s">
        <v>67</v>
      </c>
      <c r="D219" s="8" t="n">
        <v>1</v>
      </c>
      <c r="F219" s="8" t="n">
        <v>665</v>
      </c>
      <c r="G219" s="8" t="n">
        <v>24</v>
      </c>
      <c r="H219" s="8" t="n">
        <v>12.862</v>
      </c>
      <c r="I219" s="8" t="n">
        <v>0</v>
      </c>
      <c r="N219" s="8" t="n">
        <v>-1.151</v>
      </c>
      <c r="R219" s="9" t="str">
        <f aca="false">IF($D219="","",IF($F219&lt;&gt;"","N",IF($J219&lt;&gt;"","C","")))</f>
        <v>N</v>
      </c>
      <c r="S219" s="9" t="str">
        <f aca="false">IF($R219="","",$A219&amp;"|"&amp;$R219&amp;"|"&amp;$D219)</f>
        <v>31|N|1</v>
      </c>
    </row>
    <row r="220" customFormat="false" ht="15" hidden="false" customHeight="false" outlineLevel="0" collapsed="false">
      <c r="A220" s="8" t="n">
        <v>31</v>
      </c>
      <c r="B220" s="8" t="s">
        <v>67</v>
      </c>
      <c r="D220" s="8" t="n">
        <v>2</v>
      </c>
      <c r="F220" s="8" t="n">
        <v>668</v>
      </c>
      <c r="G220" s="8" t="n">
        <v>23.9</v>
      </c>
      <c r="H220" s="8" t="n">
        <v>12.874</v>
      </c>
      <c r="I220" s="8" t="n">
        <v>1</v>
      </c>
      <c r="N220" s="8" t="n">
        <v>-1.25</v>
      </c>
      <c r="R220" s="9" t="str">
        <f aca="false">IF($D220="","",IF($F220&lt;&gt;"","N",IF($J220&lt;&gt;"","C","")))</f>
        <v>N</v>
      </c>
      <c r="S220" s="9" t="str">
        <f aca="false">IF($R220="","",$A220&amp;"|"&amp;$R220&amp;"|"&amp;$D220)</f>
        <v>31|N|2</v>
      </c>
    </row>
    <row r="221" customFormat="false" ht="15" hidden="false" customHeight="false" outlineLevel="0" collapsed="false">
      <c r="A221" s="8" t="n">
        <v>31</v>
      </c>
      <c r="B221" s="8" t="s">
        <v>67</v>
      </c>
      <c r="D221" s="8" t="n">
        <v>3</v>
      </c>
      <c r="F221" s="8" t="n">
        <v>1470</v>
      </c>
      <c r="G221" s="8" t="n">
        <v>25</v>
      </c>
      <c r="H221" s="8" t="n">
        <v>25.209</v>
      </c>
      <c r="I221" s="8" t="n">
        <v>0</v>
      </c>
      <c r="N221" s="8" t="n">
        <v>-5.844</v>
      </c>
      <c r="R221" s="9" t="str">
        <f aca="false">IF($D221="","",IF($F221&lt;&gt;"","N",IF($J221&lt;&gt;"","C","")))</f>
        <v>N</v>
      </c>
      <c r="S221" s="9" t="str">
        <f aca="false">IF($R221="","",$A221&amp;"|"&amp;$R221&amp;"|"&amp;$D221)</f>
        <v>31|N|3</v>
      </c>
    </row>
    <row r="222" customFormat="false" ht="15" hidden="false" customHeight="false" outlineLevel="0" collapsed="false">
      <c r="A222" s="8" t="n">
        <v>31</v>
      </c>
      <c r="B222" s="8" t="s">
        <v>67</v>
      </c>
      <c r="D222" s="8" t="n">
        <v>4</v>
      </c>
      <c r="I222" s="8" t="n">
        <v>0</v>
      </c>
      <c r="J222" s="8" t="n">
        <v>5416</v>
      </c>
      <c r="K222" s="8" t="n">
        <v>121.954</v>
      </c>
      <c r="O222" s="8" t="n">
        <v>-9.642</v>
      </c>
      <c r="R222" s="9" t="str">
        <f aca="false">IF($D222="","",IF($F222&lt;&gt;"","N",IF($J222&lt;&gt;"","C","")))</f>
        <v>C</v>
      </c>
      <c r="S222" s="9" t="str">
        <f aca="false">IF($R222="","",$A222&amp;"|"&amp;$R222&amp;"|"&amp;$D222)</f>
        <v>31|C|4</v>
      </c>
    </row>
    <row r="223" customFormat="false" ht="15" hidden="false" customHeight="false" outlineLevel="0" collapsed="false">
      <c r="A223" s="8" t="n">
        <v>31</v>
      </c>
      <c r="B223" s="8" t="s">
        <v>67</v>
      </c>
      <c r="D223" s="8" t="n">
        <v>5</v>
      </c>
      <c r="I223" s="8" t="n">
        <v>1</v>
      </c>
      <c r="J223" s="8" t="n">
        <v>4714</v>
      </c>
      <c r="K223" s="8" t="n">
        <v>89.145</v>
      </c>
      <c r="O223" s="8" t="n">
        <v>-25.22</v>
      </c>
      <c r="R223" s="9" t="str">
        <f aca="false">IF($D223="","",IF($F223&lt;&gt;"","N",IF($J223&lt;&gt;"","C","")))</f>
        <v>C</v>
      </c>
      <c r="S223" s="9" t="str">
        <f aca="false">IF($R223="","",$A223&amp;"|"&amp;$R223&amp;"|"&amp;$D223)</f>
        <v>31|C|5</v>
      </c>
    </row>
    <row r="224" customFormat="false" ht="15" hidden="false" customHeight="false" outlineLevel="0" collapsed="false">
      <c r="A224" s="8" t="n">
        <v>31</v>
      </c>
      <c r="B224" s="8" t="s">
        <v>67</v>
      </c>
      <c r="D224" s="8" t="n">
        <v>6</v>
      </c>
      <c r="I224" s="8" t="n">
        <v>0</v>
      </c>
      <c r="J224" s="8" t="n">
        <v>4742</v>
      </c>
      <c r="K224" s="8" t="n">
        <v>89.011</v>
      </c>
      <c r="O224" s="8" t="n">
        <v>-25.396</v>
      </c>
      <c r="R224" s="9" t="str">
        <f aca="false">IF($D224="","",IF($F224&lt;&gt;"","N",IF($J224&lt;&gt;"","C","")))</f>
        <v>C</v>
      </c>
      <c r="S224" s="9" t="str">
        <f aca="false">IF($R224="","",$A224&amp;"|"&amp;$R224&amp;"|"&amp;$D224)</f>
        <v>31|C|6</v>
      </c>
    </row>
    <row r="225" customFormat="false" ht="15" hidden="false" customHeight="false" outlineLevel="0" collapsed="false">
      <c r="A225" s="8" t="n">
        <v>31</v>
      </c>
      <c r="B225" s="8" t="s">
        <v>67</v>
      </c>
      <c r="D225" s="8" t="n">
        <v>7</v>
      </c>
      <c r="I225" s="8" t="n">
        <v>0</v>
      </c>
      <c r="J225" s="8" t="n">
        <v>4739</v>
      </c>
      <c r="K225" s="8" t="n">
        <v>89.165</v>
      </c>
      <c r="O225" s="8" t="n">
        <v>-25.411</v>
      </c>
      <c r="R225" s="9" t="str">
        <f aca="false">IF($D225="","",IF($F225&lt;&gt;"","N",IF($J225&lt;&gt;"","C","")))</f>
        <v>C</v>
      </c>
      <c r="S225" s="9" t="str">
        <f aca="false">IF($R225="","",$A225&amp;"|"&amp;$R225&amp;"|"&amp;$D225)</f>
        <v>31|C|7</v>
      </c>
    </row>
    <row r="226" customFormat="false" ht="15" hidden="false" customHeight="false" outlineLevel="0" collapsed="false">
      <c r="A226" s="8" t="n">
        <v>30</v>
      </c>
      <c r="B226" s="8" t="s">
        <v>140</v>
      </c>
      <c r="E226" s="8" t="n">
        <v>0.418</v>
      </c>
      <c r="L226" s="8" t="s">
        <v>53</v>
      </c>
      <c r="M226" s="8" t="s">
        <v>141</v>
      </c>
      <c r="P226" s="8" t="s">
        <v>142</v>
      </c>
      <c r="R226" s="9" t="str">
        <f aca="false">IF($D226="","",IF($F226&lt;&gt;"","N",IF($J226&lt;&gt;"","C","")))</f>
        <v/>
      </c>
      <c r="S226" s="9" t="str">
        <f aca="false">IF($R226="","",$A226&amp;"|"&amp;$R226&amp;"|"&amp;$D226)</f>
        <v/>
      </c>
    </row>
    <row r="227" customFormat="false" ht="15" hidden="false" customHeight="false" outlineLevel="0" collapsed="false">
      <c r="A227" s="8" t="n">
        <v>30</v>
      </c>
      <c r="B227" s="8" t="s">
        <v>140</v>
      </c>
      <c r="E227" s="8" t="n">
        <v>0.418</v>
      </c>
      <c r="L227" s="8" t="s">
        <v>59</v>
      </c>
      <c r="M227" s="8" t="s">
        <v>143</v>
      </c>
      <c r="P227" s="8" t="s">
        <v>144</v>
      </c>
      <c r="R227" s="9" t="str">
        <f aca="false">IF($D227="","",IF($F227&lt;&gt;"","N",IF($J227&lt;&gt;"","C","")))</f>
        <v/>
      </c>
      <c r="S227" s="9" t="str">
        <f aca="false">IF($R227="","",$A227&amp;"|"&amp;$R227&amp;"|"&amp;$D227)</f>
        <v/>
      </c>
    </row>
    <row r="228" customFormat="false" ht="15" hidden="false" customHeight="false" outlineLevel="0" collapsed="false">
      <c r="A228" s="8" t="n">
        <v>30</v>
      </c>
      <c r="B228" s="8" t="s">
        <v>140</v>
      </c>
      <c r="D228" s="8" t="n">
        <v>1</v>
      </c>
      <c r="E228" s="8" t="n">
        <v>0.418</v>
      </c>
      <c r="F228" s="8" t="n">
        <v>664</v>
      </c>
      <c r="G228" s="8" t="n">
        <v>24.2</v>
      </c>
      <c r="H228" s="8" t="n">
        <v>12.852</v>
      </c>
      <c r="I228" s="8" t="n">
        <v>0</v>
      </c>
      <c r="N228" s="8" t="n">
        <v>-1.167</v>
      </c>
      <c r="R228" s="9" t="str">
        <f aca="false">IF($D228="","",IF($F228&lt;&gt;"","N",IF($J228&lt;&gt;"","C","")))</f>
        <v>N</v>
      </c>
      <c r="S228" s="9" t="str">
        <f aca="false">IF($R228="","",$A228&amp;"|"&amp;$R228&amp;"|"&amp;$D228)</f>
        <v>30|N|1</v>
      </c>
    </row>
    <row r="229" customFormat="false" ht="15" hidden="false" customHeight="false" outlineLevel="0" collapsed="false">
      <c r="A229" s="8" t="n">
        <v>30</v>
      </c>
      <c r="B229" s="8" t="s">
        <v>140</v>
      </c>
      <c r="D229" s="8" t="n">
        <v>2</v>
      </c>
      <c r="E229" s="8" t="n">
        <v>0.418</v>
      </c>
      <c r="F229" s="8" t="n">
        <v>668</v>
      </c>
      <c r="G229" s="8" t="n">
        <v>24.1</v>
      </c>
      <c r="H229" s="8" t="n">
        <v>12.865</v>
      </c>
      <c r="I229" s="8" t="n">
        <v>1</v>
      </c>
      <c r="N229" s="8" t="n">
        <v>-1.25</v>
      </c>
      <c r="R229" s="9" t="str">
        <f aca="false">IF($D229="","",IF($F229&lt;&gt;"","N",IF($J229&lt;&gt;"","C","")))</f>
        <v>N</v>
      </c>
      <c r="S229" s="9" t="str">
        <f aca="false">IF($R229="","",$A229&amp;"|"&amp;$R229&amp;"|"&amp;$D229)</f>
        <v>30|N|2</v>
      </c>
    </row>
    <row r="230" customFormat="false" ht="15" hidden="false" customHeight="false" outlineLevel="0" collapsed="false">
      <c r="A230" s="8" t="n">
        <v>30</v>
      </c>
      <c r="B230" s="8" t="s">
        <v>140</v>
      </c>
      <c r="D230" s="8" t="n">
        <v>3</v>
      </c>
      <c r="E230" s="8" t="n">
        <v>0.418</v>
      </c>
      <c r="F230" s="8" t="n">
        <v>1626</v>
      </c>
      <c r="G230" s="8" t="n">
        <v>25.1</v>
      </c>
      <c r="H230" s="8" t="n">
        <v>27.844</v>
      </c>
      <c r="I230" s="8" t="n">
        <v>0</v>
      </c>
      <c r="N230" s="8" t="n">
        <v>-6.19</v>
      </c>
      <c r="R230" s="9" t="str">
        <f aca="false">IF($D230="","",IF($F230&lt;&gt;"","N",IF($J230&lt;&gt;"","C","")))</f>
        <v>N</v>
      </c>
      <c r="S230" s="9" t="str">
        <f aca="false">IF($R230="","",$A230&amp;"|"&amp;$R230&amp;"|"&amp;$D230)</f>
        <v>30|N|3</v>
      </c>
    </row>
    <row r="231" customFormat="false" ht="15" hidden="false" customHeight="false" outlineLevel="0" collapsed="false">
      <c r="A231" s="8" t="n">
        <v>30</v>
      </c>
      <c r="B231" s="8" t="s">
        <v>140</v>
      </c>
      <c r="D231" s="8" t="n">
        <v>4</v>
      </c>
      <c r="E231" s="8" t="n">
        <v>0.418</v>
      </c>
      <c r="I231" s="8" t="n">
        <v>0</v>
      </c>
      <c r="J231" s="8" t="n">
        <v>5934</v>
      </c>
      <c r="K231" s="8" t="n">
        <v>134.66</v>
      </c>
      <c r="O231" s="8" t="n">
        <v>-9.478</v>
      </c>
      <c r="R231" s="9" t="str">
        <f aca="false">IF($D231="","",IF($F231&lt;&gt;"","N",IF($J231&lt;&gt;"","C","")))</f>
        <v>C</v>
      </c>
      <c r="S231" s="9" t="str">
        <f aca="false">IF($R231="","",$A231&amp;"|"&amp;$R231&amp;"|"&amp;$D231)</f>
        <v>30|C|4</v>
      </c>
    </row>
    <row r="232" customFormat="false" ht="15" hidden="false" customHeight="false" outlineLevel="0" collapsed="false">
      <c r="A232" s="8" t="n">
        <v>30</v>
      </c>
      <c r="B232" s="8" t="s">
        <v>140</v>
      </c>
      <c r="D232" s="8" t="n">
        <v>5</v>
      </c>
      <c r="E232" s="8" t="n">
        <v>0.418</v>
      </c>
      <c r="I232" s="8" t="n">
        <v>1</v>
      </c>
      <c r="J232" s="8" t="n">
        <v>4734</v>
      </c>
      <c r="K232" s="8" t="n">
        <v>88.959</v>
      </c>
      <c r="O232" s="8" t="n">
        <v>-25.22</v>
      </c>
      <c r="R232" s="9" t="str">
        <f aca="false">IF($D232="","",IF($F232&lt;&gt;"","N",IF($J232&lt;&gt;"","C","")))</f>
        <v>C</v>
      </c>
      <c r="S232" s="9" t="str">
        <f aca="false">IF($R232="","",$A232&amp;"|"&amp;$R232&amp;"|"&amp;$D232)</f>
        <v>30|C|5</v>
      </c>
    </row>
    <row r="233" customFormat="false" ht="15" hidden="false" customHeight="false" outlineLevel="0" collapsed="false">
      <c r="A233" s="8" t="n">
        <v>30</v>
      </c>
      <c r="B233" s="8" t="s">
        <v>140</v>
      </c>
      <c r="D233" s="8" t="n">
        <v>6</v>
      </c>
      <c r="E233" s="8" t="n">
        <v>0.418</v>
      </c>
      <c r="I233" s="8" t="n">
        <v>0</v>
      </c>
      <c r="J233" s="8" t="n">
        <v>4746</v>
      </c>
      <c r="K233" s="8" t="n">
        <v>89.154</v>
      </c>
      <c r="O233" s="8" t="n">
        <v>-25.352</v>
      </c>
      <c r="R233" s="9" t="str">
        <f aca="false">IF($D233="","",IF($F233&lt;&gt;"","N",IF($J233&lt;&gt;"","C","")))</f>
        <v>C</v>
      </c>
      <c r="S233" s="9" t="str">
        <f aca="false">IF($R233="","",$A233&amp;"|"&amp;$R233&amp;"|"&amp;$D233)</f>
        <v>30|C|6</v>
      </c>
    </row>
    <row r="234" customFormat="false" ht="15" hidden="false" customHeight="false" outlineLevel="0" collapsed="false">
      <c r="A234" s="8" t="n">
        <v>30</v>
      </c>
      <c r="B234" s="8" t="s">
        <v>140</v>
      </c>
      <c r="D234" s="8" t="n">
        <v>7</v>
      </c>
      <c r="E234" s="8" t="n">
        <v>0.418</v>
      </c>
      <c r="I234" s="8" t="n">
        <v>0</v>
      </c>
      <c r="J234" s="8" t="n">
        <v>4736</v>
      </c>
      <c r="K234" s="8" t="n">
        <v>89.138</v>
      </c>
      <c r="O234" s="8" t="n">
        <v>-25.409</v>
      </c>
      <c r="R234" s="9" t="str">
        <f aca="false">IF($D234="","",IF($F234&lt;&gt;"","N",IF($J234&lt;&gt;"","C","")))</f>
        <v>C</v>
      </c>
      <c r="S234" s="9" t="str">
        <f aca="false">IF($R234="","",$A234&amp;"|"&amp;$R234&amp;"|"&amp;$D234)</f>
        <v>30|C|7</v>
      </c>
    </row>
    <row r="235" customFormat="false" ht="15" hidden="false" customHeight="false" outlineLevel="0" collapsed="false">
      <c r="A235" s="8" t="n">
        <v>29</v>
      </c>
      <c r="B235" s="8" t="s">
        <v>67</v>
      </c>
      <c r="L235" s="8" t="s">
        <v>53</v>
      </c>
      <c r="M235" s="8" t="s">
        <v>145</v>
      </c>
      <c r="P235" s="8" t="s">
        <v>83</v>
      </c>
      <c r="R235" s="9" t="str">
        <f aca="false">IF($D235="","",IF($F235&lt;&gt;"","N",IF($J235&lt;&gt;"","C","")))</f>
        <v/>
      </c>
      <c r="S235" s="9" t="str">
        <f aca="false">IF($R235="","",$A235&amp;"|"&amp;$R235&amp;"|"&amp;$D235)</f>
        <v/>
      </c>
    </row>
    <row r="236" customFormat="false" ht="15" hidden="false" customHeight="false" outlineLevel="0" collapsed="false">
      <c r="A236" s="8" t="n">
        <v>29</v>
      </c>
      <c r="B236" s="8" t="s">
        <v>67</v>
      </c>
      <c r="L236" s="8" t="s">
        <v>59</v>
      </c>
      <c r="M236" s="8" t="s">
        <v>146</v>
      </c>
      <c r="P236" s="8" t="s">
        <v>147</v>
      </c>
      <c r="R236" s="9" t="str">
        <f aca="false">IF($D236="","",IF($F236&lt;&gt;"","N",IF($J236&lt;&gt;"","C","")))</f>
        <v/>
      </c>
      <c r="S236" s="9" t="str">
        <f aca="false">IF($R236="","",$A236&amp;"|"&amp;$R236&amp;"|"&amp;$D236)</f>
        <v/>
      </c>
    </row>
    <row r="237" customFormat="false" ht="15" hidden="false" customHeight="false" outlineLevel="0" collapsed="false">
      <c r="A237" s="8" t="n">
        <v>29</v>
      </c>
      <c r="B237" s="8" t="s">
        <v>67</v>
      </c>
      <c r="D237" s="8" t="n">
        <v>1</v>
      </c>
      <c r="F237" s="8" t="n">
        <v>664</v>
      </c>
      <c r="G237" s="8" t="n">
        <v>24.1</v>
      </c>
      <c r="H237" s="8" t="n">
        <v>12.851</v>
      </c>
      <c r="I237" s="8" t="n">
        <v>0</v>
      </c>
      <c r="N237" s="8" t="n">
        <v>-1.3</v>
      </c>
      <c r="R237" s="9" t="str">
        <f aca="false">IF($D237="","",IF($F237&lt;&gt;"","N",IF($J237&lt;&gt;"","C","")))</f>
        <v>N</v>
      </c>
      <c r="S237" s="9" t="str">
        <f aca="false">IF($R237="","",$A237&amp;"|"&amp;$R237&amp;"|"&amp;$D237)</f>
        <v>29|N|1</v>
      </c>
    </row>
    <row r="238" customFormat="false" ht="15" hidden="false" customHeight="false" outlineLevel="0" collapsed="false">
      <c r="A238" s="8" t="n">
        <v>29</v>
      </c>
      <c r="B238" s="8" t="s">
        <v>67</v>
      </c>
      <c r="D238" s="8" t="n">
        <v>2</v>
      </c>
      <c r="F238" s="8" t="n">
        <v>668</v>
      </c>
      <c r="G238" s="8" t="n">
        <v>24.1</v>
      </c>
      <c r="H238" s="8" t="n">
        <v>12.865</v>
      </c>
      <c r="I238" s="8" t="n">
        <v>1</v>
      </c>
      <c r="N238" s="8" t="n">
        <v>-1.25</v>
      </c>
      <c r="R238" s="9" t="str">
        <f aca="false">IF($D238="","",IF($F238&lt;&gt;"","N",IF($J238&lt;&gt;"","C","")))</f>
        <v>N</v>
      </c>
      <c r="S238" s="9" t="str">
        <f aca="false">IF($R238="","",$A238&amp;"|"&amp;$R238&amp;"|"&amp;$D238)</f>
        <v>29|N|2</v>
      </c>
    </row>
    <row r="239" customFormat="false" ht="15" hidden="false" customHeight="false" outlineLevel="0" collapsed="false">
      <c r="A239" s="8" t="n">
        <v>29</v>
      </c>
      <c r="B239" s="8" t="s">
        <v>67</v>
      </c>
      <c r="D239" s="8" t="n">
        <v>3</v>
      </c>
      <c r="F239" s="8" t="n">
        <v>3000</v>
      </c>
      <c r="G239" s="8" t="n">
        <v>25.1</v>
      </c>
      <c r="H239" s="8" t="n">
        <v>50.397</v>
      </c>
      <c r="I239" s="8" t="n">
        <v>0</v>
      </c>
      <c r="N239" s="8" t="n">
        <v>-5.694</v>
      </c>
      <c r="R239" s="9" t="str">
        <f aca="false">IF($D239="","",IF($F239&lt;&gt;"","N",IF($J239&lt;&gt;"","C","")))</f>
        <v>N</v>
      </c>
      <c r="S239" s="9" t="str">
        <f aca="false">IF($R239="","",$A239&amp;"|"&amp;$R239&amp;"|"&amp;$D239)</f>
        <v>29|N|3</v>
      </c>
    </row>
    <row r="240" customFormat="false" ht="15" hidden="false" customHeight="false" outlineLevel="0" collapsed="false">
      <c r="A240" s="8" t="n">
        <v>29</v>
      </c>
      <c r="B240" s="8" t="s">
        <v>67</v>
      </c>
      <c r="D240" s="8" t="n">
        <v>4</v>
      </c>
      <c r="I240" s="8" t="n">
        <v>0</v>
      </c>
      <c r="J240" s="8" t="n">
        <v>10125</v>
      </c>
      <c r="K240" s="8" t="n">
        <v>240.674</v>
      </c>
      <c r="O240" s="8" t="n">
        <v>-9.519</v>
      </c>
      <c r="R240" s="9" t="str">
        <f aca="false">IF($D240="","",IF($F240&lt;&gt;"","N",IF($J240&lt;&gt;"","C","")))</f>
        <v>C</v>
      </c>
      <c r="S240" s="9" t="str">
        <f aca="false">IF($R240="","",$A240&amp;"|"&amp;$R240&amp;"|"&amp;$D240)</f>
        <v>29|C|4</v>
      </c>
    </row>
    <row r="241" customFormat="false" ht="15" hidden="false" customHeight="false" outlineLevel="0" collapsed="false">
      <c r="A241" s="8" t="n">
        <v>29</v>
      </c>
      <c r="B241" s="8" t="s">
        <v>67</v>
      </c>
      <c r="D241" s="8" t="n">
        <v>5</v>
      </c>
      <c r="I241" s="8" t="n">
        <v>1</v>
      </c>
      <c r="J241" s="8" t="n">
        <v>4735</v>
      </c>
      <c r="K241" s="8" t="n">
        <v>89.15</v>
      </c>
      <c r="O241" s="8" t="n">
        <v>-25.22</v>
      </c>
      <c r="R241" s="9" t="str">
        <f aca="false">IF($D241="","",IF($F241&lt;&gt;"","N",IF($J241&lt;&gt;"","C","")))</f>
        <v>C</v>
      </c>
      <c r="S241" s="9" t="str">
        <f aca="false">IF($R241="","",$A241&amp;"|"&amp;$R241&amp;"|"&amp;$D241)</f>
        <v>29|C|5</v>
      </c>
    </row>
    <row r="242" customFormat="false" ht="15" hidden="false" customHeight="false" outlineLevel="0" collapsed="false">
      <c r="A242" s="8" t="n">
        <v>29</v>
      </c>
      <c r="B242" s="8" t="s">
        <v>67</v>
      </c>
      <c r="D242" s="8" t="n">
        <v>6</v>
      </c>
      <c r="I242" s="8" t="n">
        <v>0</v>
      </c>
      <c r="J242" s="8" t="n">
        <v>4745</v>
      </c>
      <c r="K242" s="8" t="n">
        <v>89.035</v>
      </c>
      <c r="O242" s="8" t="n">
        <v>-25.35</v>
      </c>
      <c r="R242" s="9" t="str">
        <f aca="false">IF($D242="","",IF($F242&lt;&gt;"","N",IF($J242&lt;&gt;"","C","")))</f>
        <v>C</v>
      </c>
      <c r="S242" s="9" t="str">
        <f aca="false">IF($R242="","",$A242&amp;"|"&amp;$R242&amp;"|"&amp;$D242)</f>
        <v>29|C|6</v>
      </c>
    </row>
    <row r="243" customFormat="false" ht="15" hidden="false" customHeight="false" outlineLevel="0" collapsed="false">
      <c r="A243" s="8" t="n">
        <v>29</v>
      </c>
      <c r="B243" s="8" t="s">
        <v>67</v>
      </c>
      <c r="D243" s="8" t="n">
        <v>7</v>
      </c>
      <c r="I243" s="8" t="n">
        <v>0</v>
      </c>
      <c r="J243" s="8" t="n">
        <v>4731</v>
      </c>
      <c r="K243" s="8" t="n">
        <v>89.128</v>
      </c>
      <c r="O243" s="8" t="n">
        <v>-25.419</v>
      </c>
      <c r="R243" s="9" t="str">
        <f aca="false">IF($D243="","",IF($F243&lt;&gt;"","N",IF($J243&lt;&gt;"","C","")))</f>
        <v>C</v>
      </c>
      <c r="S243" s="9" t="str">
        <f aca="false">IF($R243="","",$A243&amp;"|"&amp;$R243&amp;"|"&amp;$D243)</f>
        <v>29|C|7</v>
      </c>
    </row>
    <row r="244" customFormat="false" ht="15" hidden="false" customHeight="false" outlineLevel="0" collapsed="false">
      <c r="A244" s="8" t="n">
        <v>28</v>
      </c>
      <c r="B244" s="8" t="s">
        <v>67</v>
      </c>
      <c r="L244" s="8" t="s">
        <v>53</v>
      </c>
      <c r="M244" s="8" t="s">
        <v>148</v>
      </c>
      <c r="P244" s="8" t="s">
        <v>149</v>
      </c>
      <c r="R244" s="9" t="str">
        <f aca="false">IF($D244="","",IF($F244&lt;&gt;"","N",IF($J244&lt;&gt;"","C","")))</f>
        <v/>
      </c>
      <c r="S244" s="9" t="str">
        <f aca="false">IF($R244="","",$A244&amp;"|"&amp;$R244&amp;"|"&amp;$D244)</f>
        <v/>
      </c>
    </row>
    <row r="245" customFormat="false" ht="15" hidden="false" customHeight="false" outlineLevel="0" collapsed="false">
      <c r="A245" s="8" t="n">
        <v>28</v>
      </c>
      <c r="B245" s="8" t="s">
        <v>67</v>
      </c>
      <c r="L245" s="8" t="s">
        <v>59</v>
      </c>
      <c r="M245" s="8" t="s">
        <v>150</v>
      </c>
      <c r="P245" s="8" t="s">
        <v>81</v>
      </c>
      <c r="R245" s="9" t="str">
        <f aca="false">IF($D245="","",IF($F245&lt;&gt;"","N",IF($J245&lt;&gt;"","C","")))</f>
        <v/>
      </c>
      <c r="S245" s="9" t="str">
        <f aca="false">IF($R245="","",$A245&amp;"|"&amp;$R245&amp;"|"&amp;$D245)</f>
        <v/>
      </c>
    </row>
    <row r="246" customFormat="false" ht="15" hidden="false" customHeight="false" outlineLevel="0" collapsed="false">
      <c r="A246" s="8" t="n">
        <v>28</v>
      </c>
      <c r="B246" s="8" t="s">
        <v>67</v>
      </c>
      <c r="D246" s="8" t="n">
        <v>1</v>
      </c>
      <c r="F246" s="8" t="n">
        <v>665</v>
      </c>
      <c r="G246" s="8" t="n">
        <v>24.2</v>
      </c>
      <c r="H246" s="8" t="n">
        <v>12.864</v>
      </c>
      <c r="I246" s="8" t="n">
        <v>0</v>
      </c>
      <c r="N246" s="8" t="n">
        <v>-1.275</v>
      </c>
      <c r="R246" s="9" t="str">
        <f aca="false">IF($D246="","",IF($F246&lt;&gt;"","N",IF($J246&lt;&gt;"","C","")))</f>
        <v>N</v>
      </c>
      <c r="S246" s="9" t="str">
        <f aca="false">IF($R246="","",$A246&amp;"|"&amp;$R246&amp;"|"&amp;$D246)</f>
        <v>28|N|1</v>
      </c>
    </row>
    <row r="247" customFormat="false" ht="15" hidden="false" customHeight="false" outlineLevel="0" collapsed="false">
      <c r="A247" s="8" t="n">
        <v>28</v>
      </c>
      <c r="B247" s="8" t="s">
        <v>67</v>
      </c>
      <c r="D247" s="8" t="n">
        <v>2</v>
      </c>
      <c r="F247" s="8" t="n">
        <v>668</v>
      </c>
      <c r="G247" s="8" t="n">
        <v>24.1</v>
      </c>
      <c r="H247" s="8" t="n">
        <v>12.871</v>
      </c>
      <c r="I247" s="8" t="n">
        <v>1</v>
      </c>
      <c r="N247" s="8" t="n">
        <v>-1.25</v>
      </c>
      <c r="R247" s="9" t="str">
        <f aca="false">IF($D247="","",IF($F247&lt;&gt;"","N",IF($J247&lt;&gt;"","C","")))</f>
        <v>N</v>
      </c>
      <c r="S247" s="9" t="str">
        <f aca="false">IF($R247="","",$A247&amp;"|"&amp;$R247&amp;"|"&amp;$D247)</f>
        <v>28|N|2</v>
      </c>
    </row>
    <row r="248" customFormat="false" ht="15" hidden="false" customHeight="false" outlineLevel="0" collapsed="false">
      <c r="A248" s="8" t="n">
        <v>28</v>
      </c>
      <c r="B248" s="8" t="s">
        <v>67</v>
      </c>
      <c r="D248" s="8" t="n">
        <v>3</v>
      </c>
      <c r="F248" s="8" t="n">
        <v>1325</v>
      </c>
      <c r="G248" s="8" t="n">
        <v>25.3</v>
      </c>
      <c r="H248" s="8" t="n">
        <v>22.944</v>
      </c>
      <c r="I248" s="8" t="n">
        <v>0</v>
      </c>
      <c r="N248" s="8" t="n">
        <v>-6.26</v>
      </c>
      <c r="R248" s="9" t="str">
        <f aca="false">IF($D248="","",IF($F248&lt;&gt;"","N",IF($J248&lt;&gt;"","C","")))</f>
        <v>N</v>
      </c>
      <c r="S248" s="9" t="str">
        <f aca="false">IF($R248="","",$A248&amp;"|"&amp;$R248&amp;"|"&amp;$D248)</f>
        <v>28|N|3</v>
      </c>
    </row>
    <row r="249" customFormat="false" ht="15" hidden="false" customHeight="false" outlineLevel="0" collapsed="false">
      <c r="A249" s="8" t="n">
        <v>28</v>
      </c>
      <c r="B249" s="8" t="s">
        <v>67</v>
      </c>
      <c r="D249" s="8" t="n">
        <v>4</v>
      </c>
      <c r="I249" s="8" t="n">
        <v>0</v>
      </c>
      <c r="J249" s="8" t="n">
        <v>3218</v>
      </c>
      <c r="K249" s="8" t="n">
        <v>71.395</v>
      </c>
      <c r="O249" s="8" t="n">
        <v>-9.387</v>
      </c>
      <c r="R249" s="9" t="str">
        <f aca="false">IF($D249="","",IF($F249&lt;&gt;"","N",IF($J249&lt;&gt;"","C","")))</f>
        <v>C</v>
      </c>
      <c r="S249" s="9" t="str">
        <f aca="false">IF($R249="","",$A249&amp;"|"&amp;$R249&amp;"|"&amp;$D249)</f>
        <v>28|C|4</v>
      </c>
    </row>
    <row r="250" customFormat="false" ht="15" hidden="false" customHeight="false" outlineLevel="0" collapsed="false">
      <c r="A250" s="8" t="n">
        <v>28</v>
      </c>
      <c r="B250" s="8" t="s">
        <v>67</v>
      </c>
      <c r="D250" s="8" t="n">
        <v>5</v>
      </c>
      <c r="I250" s="8" t="n">
        <v>1</v>
      </c>
      <c r="J250" s="8" t="n">
        <v>4704</v>
      </c>
      <c r="K250" s="8" t="n">
        <v>89.121</v>
      </c>
      <c r="O250" s="8" t="n">
        <v>-25.22</v>
      </c>
      <c r="R250" s="9" t="str">
        <f aca="false">IF($D250="","",IF($F250&lt;&gt;"","N",IF($J250&lt;&gt;"","C","")))</f>
        <v>C</v>
      </c>
      <c r="S250" s="9" t="str">
        <f aca="false">IF($R250="","",$A250&amp;"|"&amp;$R250&amp;"|"&amp;$D250)</f>
        <v>28|C|5</v>
      </c>
    </row>
    <row r="251" customFormat="false" ht="15" hidden="false" customHeight="false" outlineLevel="0" collapsed="false">
      <c r="A251" s="8" t="n">
        <v>28</v>
      </c>
      <c r="B251" s="8" t="s">
        <v>67</v>
      </c>
      <c r="D251" s="8" t="n">
        <v>6</v>
      </c>
      <c r="I251" s="8" t="n">
        <v>0</v>
      </c>
      <c r="J251" s="8" t="n">
        <v>4744</v>
      </c>
      <c r="K251" s="8" t="n">
        <v>89.135</v>
      </c>
      <c r="O251" s="8" t="n">
        <v>-25.399</v>
      </c>
      <c r="R251" s="9" t="str">
        <f aca="false">IF($D251="","",IF($F251&lt;&gt;"","N",IF($J251&lt;&gt;"","C","")))</f>
        <v>C</v>
      </c>
      <c r="S251" s="9" t="str">
        <f aca="false">IF($R251="","",$A251&amp;"|"&amp;$R251&amp;"|"&amp;$D251)</f>
        <v>28|C|6</v>
      </c>
    </row>
    <row r="252" customFormat="false" ht="15" hidden="false" customHeight="false" outlineLevel="0" collapsed="false">
      <c r="A252" s="8" t="n">
        <v>28</v>
      </c>
      <c r="B252" s="8" t="s">
        <v>67</v>
      </c>
      <c r="D252" s="8" t="n">
        <v>7</v>
      </c>
      <c r="I252" s="8" t="n">
        <v>0</v>
      </c>
      <c r="J252" s="8" t="n">
        <v>4743</v>
      </c>
      <c r="K252" s="8" t="n">
        <v>89.096</v>
      </c>
      <c r="O252" s="8" t="n">
        <v>-25.47</v>
      </c>
      <c r="R252" s="9" t="str">
        <f aca="false">IF($D252="","",IF($F252&lt;&gt;"","N",IF($J252&lt;&gt;"","C","")))</f>
        <v>C</v>
      </c>
      <c r="S252" s="9" t="str">
        <f aca="false">IF($R252="","",$A252&amp;"|"&amp;$R252&amp;"|"&amp;$D252)</f>
        <v>28|C|7</v>
      </c>
    </row>
    <row r="253" customFormat="false" ht="15" hidden="false" customHeight="false" outlineLevel="0" collapsed="false">
      <c r="A253" s="8" t="n">
        <v>27</v>
      </c>
      <c r="B253" s="8" t="s">
        <v>67</v>
      </c>
      <c r="L253" s="8" t="s">
        <v>53</v>
      </c>
      <c r="M253" s="8" t="s">
        <v>151</v>
      </c>
      <c r="P253" s="8" t="s">
        <v>95</v>
      </c>
      <c r="R253" s="9" t="str">
        <f aca="false">IF($D253="","",IF($F253&lt;&gt;"","N",IF($J253&lt;&gt;"","C","")))</f>
        <v/>
      </c>
      <c r="S253" s="9" t="str">
        <f aca="false">IF($R253="","",$A253&amp;"|"&amp;$R253&amp;"|"&amp;$D253)</f>
        <v/>
      </c>
    </row>
    <row r="254" customFormat="false" ht="15" hidden="false" customHeight="false" outlineLevel="0" collapsed="false">
      <c r="A254" s="8" t="n">
        <v>27</v>
      </c>
      <c r="B254" s="8" t="s">
        <v>67</v>
      </c>
      <c r="L254" s="8" t="s">
        <v>59</v>
      </c>
      <c r="M254" s="8" t="s">
        <v>152</v>
      </c>
      <c r="P254" s="8" t="s">
        <v>61</v>
      </c>
      <c r="R254" s="9" t="str">
        <f aca="false">IF($D254="","",IF($F254&lt;&gt;"","N",IF($J254&lt;&gt;"","C","")))</f>
        <v/>
      </c>
      <c r="S254" s="9" t="str">
        <f aca="false">IF($R254="","",$A254&amp;"|"&amp;$R254&amp;"|"&amp;$D254)</f>
        <v/>
      </c>
    </row>
    <row r="255" customFormat="false" ht="15" hidden="false" customHeight="false" outlineLevel="0" collapsed="false">
      <c r="A255" s="8" t="n">
        <v>27</v>
      </c>
      <c r="B255" s="8" t="s">
        <v>67</v>
      </c>
      <c r="D255" s="8" t="n">
        <v>1</v>
      </c>
      <c r="F255" s="8" t="n">
        <v>662</v>
      </c>
      <c r="G255" s="8" t="n">
        <v>24.3</v>
      </c>
      <c r="H255" s="8" t="n">
        <v>12.84</v>
      </c>
      <c r="I255" s="8" t="n">
        <v>0</v>
      </c>
      <c r="N255" s="8" t="n">
        <v>-1.175</v>
      </c>
      <c r="R255" s="9" t="str">
        <f aca="false">IF($D255="","",IF($F255&lt;&gt;"","N",IF($J255&lt;&gt;"","C","")))</f>
        <v>N</v>
      </c>
      <c r="S255" s="9" t="str">
        <f aca="false">IF($R255="","",$A255&amp;"|"&amp;$R255&amp;"|"&amp;$D255)</f>
        <v>27|N|1</v>
      </c>
    </row>
    <row r="256" customFormat="false" ht="15" hidden="false" customHeight="false" outlineLevel="0" collapsed="false">
      <c r="A256" s="8" t="n">
        <v>27</v>
      </c>
      <c r="B256" s="8" t="s">
        <v>67</v>
      </c>
      <c r="D256" s="8" t="n">
        <v>2</v>
      </c>
      <c r="F256" s="8" t="n">
        <v>667</v>
      </c>
      <c r="G256" s="8" t="n">
        <v>24.2</v>
      </c>
      <c r="H256" s="8" t="n">
        <v>12.85</v>
      </c>
      <c r="I256" s="8" t="n">
        <v>1</v>
      </c>
      <c r="N256" s="8" t="n">
        <v>-1.25</v>
      </c>
      <c r="R256" s="9" t="str">
        <f aca="false">IF($D256="","",IF($F256&lt;&gt;"","N",IF($J256&lt;&gt;"","C","")))</f>
        <v>N</v>
      </c>
      <c r="S256" s="9" t="str">
        <f aca="false">IF($R256="","",$A256&amp;"|"&amp;$R256&amp;"|"&amp;$D256)</f>
        <v>27|N|2</v>
      </c>
    </row>
    <row r="257" customFormat="false" ht="15" hidden="false" customHeight="false" outlineLevel="0" collapsed="false">
      <c r="A257" s="8" t="n">
        <v>27</v>
      </c>
      <c r="B257" s="8" t="s">
        <v>67</v>
      </c>
      <c r="D257" s="8" t="n">
        <v>3</v>
      </c>
      <c r="F257" s="8" t="n">
        <v>2747</v>
      </c>
      <c r="G257" s="8" t="n">
        <v>25.4</v>
      </c>
      <c r="H257" s="8" t="n">
        <v>47.171</v>
      </c>
      <c r="I257" s="8" t="n">
        <v>0</v>
      </c>
      <c r="N257" s="8" t="n">
        <v>0.793</v>
      </c>
      <c r="R257" s="9" t="str">
        <f aca="false">IF($D257="","",IF($F257&lt;&gt;"","N",IF($J257&lt;&gt;"","C","")))</f>
        <v>N</v>
      </c>
      <c r="S257" s="9" t="str">
        <f aca="false">IF($R257="","",$A257&amp;"|"&amp;$R257&amp;"|"&amp;$D257)</f>
        <v>27|N|3</v>
      </c>
    </row>
    <row r="258" customFormat="false" ht="15" hidden="false" customHeight="false" outlineLevel="0" collapsed="false">
      <c r="A258" s="8" t="n">
        <v>27</v>
      </c>
      <c r="B258" s="8" t="s">
        <v>67</v>
      </c>
      <c r="D258" s="8" t="n">
        <v>4</v>
      </c>
      <c r="I258" s="8" t="n">
        <v>0</v>
      </c>
      <c r="J258" s="8" t="n">
        <v>2617</v>
      </c>
      <c r="K258" s="8" t="n">
        <v>57.484</v>
      </c>
      <c r="O258" s="8" t="n">
        <v>-23.581</v>
      </c>
      <c r="R258" s="9" t="str">
        <f aca="false">IF($D258="","",IF($F258&lt;&gt;"","N",IF($J258&lt;&gt;"","C","")))</f>
        <v>C</v>
      </c>
      <c r="S258" s="9" t="str">
        <f aca="false">IF($R258="","",$A258&amp;"|"&amp;$R258&amp;"|"&amp;$D258)</f>
        <v>27|C|4</v>
      </c>
    </row>
    <row r="259" customFormat="false" ht="15" hidden="false" customHeight="false" outlineLevel="0" collapsed="false">
      <c r="A259" s="8" t="n">
        <v>27</v>
      </c>
      <c r="B259" s="8" t="s">
        <v>67</v>
      </c>
      <c r="D259" s="8" t="n">
        <v>5</v>
      </c>
      <c r="I259" s="8" t="n">
        <v>1</v>
      </c>
      <c r="J259" s="8" t="n">
        <v>4711</v>
      </c>
      <c r="K259" s="8" t="n">
        <v>89.023</v>
      </c>
      <c r="O259" s="8" t="n">
        <v>-25.22</v>
      </c>
      <c r="R259" s="9" t="str">
        <f aca="false">IF($D259="","",IF($F259&lt;&gt;"","N",IF($J259&lt;&gt;"","C","")))</f>
        <v>C</v>
      </c>
      <c r="S259" s="9" t="str">
        <f aca="false">IF($R259="","",$A259&amp;"|"&amp;$R259&amp;"|"&amp;$D259)</f>
        <v>27|C|5</v>
      </c>
    </row>
    <row r="260" customFormat="false" ht="15" hidden="false" customHeight="false" outlineLevel="0" collapsed="false">
      <c r="A260" s="8" t="n">
        <v>27</v>
      </c>
      <c r="B260" s="8" t="s">
        <v>67</v>
      </c>
      <c r="D260" s="8" t="n">
        <v>6</v>
      </c>
      <c r="I260" s="8" t="n">
        <v>0</v>
      </c>
      <c r="J260" s="8" t="n">
        <v>4752</v>
      </c>
      <c r="K260" s="8" t="n">
        <v>89.128</v>
      </c>
      <c r="O260" s="8" t="n">
        <v>-25.375</v>
      </c>
      <c r="R260" s="9" t="str">
        <f aca="false">IF($D260="","",IF($F260&lt;&gt;"","N",IF($J260&lt;&gt;"","C","")))</f>
        <v>C</v>
      </c>
      <c r="S260" s="9" t="str">
        <f aca="false">IF($R260="","",$A260&amp;"|"&amp;$R260&amp;"|"&amp;$D260)</f>
        <v>27|C|6</v>
      </c>
    </row>
    <row r="261" customFormat="false" ht="15" hidden="false" customHeight="false" outlineLevel="0" collapsed="false">
      <c r="A261" s="8" t="n">
        <v>27</v>
      </c>
      <c r="B261" s="8" t="s">
        <v>67</v>
      </c>
      <c r="D261" s="8" t="n">
        <v>7</v>
      </c>
      <c r="I261" s="8" t="n">
        <v>0</v>
      </c>
      <c r="J261" s="8" t="n">
        <v>4738</v>
      </c>
      <c r="K261" s="8" t="n">
        <v>89.095</v>
      </c>
      <c r="O261" s="8" t="n">
        <v>-25.416</v>
      </c>
      <c r="R261" s="9" t="str">
        <f aca="false">IF($D261="","",IF($F261&lt;&gt;"","N",IF($J261&lt;&gt;"","C","")))</f>
        <v>C</v>
      </c>
      <c r="S261" s="9" t="str">
        <f aca="false">IF($R261="","",$A261&amp;"|"&amp;$R261&amp;"|"&amp;$D261)</f>
        <v>27|C|7</v>
      </c>
    </row>
    <row r="262" customFormat="false" ht="15" hidden="false" customHeight="false" outlineLevel="0" collapsed="false">
      <c r="A262" s="8" t="n">
        <v>26</v>
      </c>
      <c r="B262" s="8" t="s">
        <v>153</v>
      </c>
      <c r="E262" s="8" t="n">
        <v>0.4</v>
      </c>
      <c r="L262" s="8" t="s">
        <v>53</v>
      </c>
      <c r="M262" s="8" t="s">
        <v>154</v>
      </c>
      <c r="P262" s="8" t="s">
        <v>155</v>
      </c>
      <c r="R262" s="9" t="str">
        <f aca="false">IF($D262="","",IF($F262&lt;&gt;"","N",IF($J262&lt;&gt;"","C","")))</f>
        <v/>
      </c>
      <c r="S262" s="9" t="str">
        <f aca="false">IF($R262="","",$A262&amp;"|"&amp;$R262&amp;"|"&amp;$D262)</f>
        <v/>
      </c>
    </row>
    <row r="263" customFormat="false" ht="15" hidden="false" customHeight="false" outlineLevel="0" collapsed="false">
      <c r="A263" s="8" t="n">
        <v>26</v>
      </c>
      <c r="B263" s="8" t="s">
        <v>153</v>
      </c>
      <c r="E263" s="8" t="n">
        <v>0.4</v>
      </c>
      <c r="L263" s="8" t="s">
        <v>59</v>
      </c>
      <c r="M263" s="8" t="s">
        <v>156</v>
      </c>
      <c r="P263" s="8" t="s">
        <v>104</v>
      </c>
      <c r="R263" s="9" t="str">
        <f aca="false">IF($D263="","",IF($F263&lt;&gt;"","N",IF($J263&lt;&gt;"","C","")))</f>
        <v/>
      </c>
      <c r="S263" s="9" t="str">
        <f aca="false">IF($R263="","",$A263&amp;"|"&amp;$R263&amp;"|"&amp;$D263)</f>
        <v/>
      </c>
    </row>
    <row r="264" customFormat="false" ht="15" hidden="false" customHeight="false" outlineLevel="0" collapsed="false">
      <c r="A264" s="8" t="n">
        <v>26</v>
      </c>
      <c r="B264" s="8" t="s">
        <v>153</v>
      </c>
      <c r="D264" s="8" t="n">
        <v>1</v>
      </c>
      <c r="E264" s="8" t="n">
        <v>0.4</v>
      </c>
      <c r="F264" s="8" t="n">
        <v>662</v>
      </c>
      <c r="G264" s="8" t="n">
        <v>24.4</v>
      </c>
      <c r="H264" s="8" t="n">
        <v>12.823</v>
      </c>
      <c r="I264" s="8" t="n">
        <v>0</v>
      </c>
      <c r="N264" s="8" t="n">
        <v>-1.344</v>
      </c>
      <c r="R264" s="9" t="str">
        <f aca="false">IF($D264="","",IF($F264&lt;&gt;"","N",IF($J264&lt;&gt;"","C","")))</f>
        <v>N</v>
      </c>
      <c r="S264" s="9" t="str">
        <f aca="false">IF($R264="","",$A264&amp;"|"&amp;$R264&amp;"|"&amp;$D264)</f>
        <v>26|N|1</v>
      </c>
    </row>
    <row r="265" customFormat="false" ht="15" hidden="false" customHeight="false" outlineLevel="0" collapsed="false">
      <c r="A265" s="8" t="n">
        <v>26</v>
      </c>
      <c r="B265" s="8" t="s">
        <v>153</v>
      </c>
      <c r="D265" s="8" t="n">
        <v>2</v>
      </c>
      <c r="E265" s="8" t="n">
        <v>0.4</v>
      </c>
      <c r="F265" s="8" t="n">
        <v>667</v>
      </c>
      <c r="G265" s="8" t="n">
        <v>24.3</v>
      </c>
      <c r="H265" s="8" t="n">
        <v>12.833</v>
      </c>
      <c r="I265" s="8" t="n">
        <v>1</v>
      </c>
      <c r="N265" s="8" t="n">
        <v>-1.25</v>
      </c>
      <c r="R265" s="9" t="str">
        <f aca="false">IF($D265="","",IF($F265&lt;&gt;"","N",IF($J265&lt;&gt;"","C","")))</f>
        <v>N</v>
      </c>
      <c r="S265" s="9" t="str">
        <f aca="false">IF($R265="","",$A265&amp;"|"&amp;$R265&amp;"|"&amp;$D265)</f>
        <v>26|N|2</v>
      </c>
    </row>
    <row r="266" customFormat="false" ht="15" hidden="false" customHeight="false" outlineLevel="0" collapsed="false">
      <c r="A266" s="8" t="n">
        <v>26</v>
      </c>
      <c r="B266" s="8" t="s">
        <v>153</v>
      </c>
      <c r="D266" s="8" t="n">
        <v>3</v>
      </c>
      <c r="E266" s="8" t="n">
        <v>0.4</v>
      </c>
      <c r="F266" s="8" t="n">
        <v>1588</v>
      </c>
      <c r="G266" s="8" t="n">
        <v>25.5</v>
      </c>
      <c r="H266" s="8" t="n">
        <v>27.189</v>
      </c>
      <c r="I266" s="8" t="n">
        <v>0</v>
      </c>
      <c r="N266" s="8" t="n">
        <v>-6.094</v>
      </c>
      <c r="R266" s="9" t="str">
        <f aca="false">IF($D266="","",IF($F266&lt;&gt;"","N",IF($J266&lt;&gt;"","C","")))</f>
        <v>N</v>
      </c>
      <c r="S266" s="9" t="str">
        <f aca="false">IF($R266="","",$A266&amp;"|"&amp;$R266&amp;"|"&amp;$D266)</f>
        <v>26|N|3</v>
      </c>
    </row>
    <row r="267" customFormat="false" ht="15" hidden="false" customHeight="false" outlineLevel="0" collapsed="false">
      <c r="A267" s="8" t="n">
        <v>26</v>
      </c>
      <c r="B267" s="8" t="s">
        <v>153</v>
      </c>
      <c r="D267" s="8" t="n">
        <v>4</v>
      </c>
      <c r="E267" s="8" t="n">
        <v>0.4</v>
      </c>
      <c r="I267" s="8" t="n">
        <v>0</v>
      </c>
      <c r="J267" s="8" t="n">
        <v>5756</v>
      </c>
      <c r="K267" s="8" t="n">
        <v>130.395</v>
      </c>
      <c r="O267" s="8" t="n">
        <v>-9.431</v>
      </c>
      <c r="R267" s="9" t="str">
        <f aca="false">IF($D267="","",IF($F267&lt;&gt;"","N",IF($J267&lt;&gt;"","C","")))</f>
        <v>C</v>
      </c>
      <c r="S267" s="9" t="str">
        <f aca="false">IF($R267="","",$A267&amp;"|"&amp;$R267&amp;"|"&amp;$D267)</f>
        <v>26|C|4</v>
      </c>
    </row>
    <row r="268" customFormat="false" ht="15" hidden="false" customHeight="false" outlineLevel="0" collapsed="false">
      <c r="A268" s="8" t="n">
        <v>26</v>
      </c>
      <c r="B268" s="8" t="s">
        <v>153</v>
      </c>
      <c r="D268" s="8" t="n">
        <v>5</v>
      </c>
      <c r="E268" s="8" t="n">
        <v>0.4</v>
      </c>
      <c r="I268" s="8" t="n">
        <v>1</v>
      </c>
      <c r="J268" s="8" t="n">
        <v>4727</v>
      </c>
      <c r="K268" s="8" t="n">
        <v>88.96</v>
      </c>
      <c r="O268" s="8" t="n">
        <v>-25.22</v>
      </c>
      <c r="R268" s="9" t="str">
        <f aca="false">IF($D268="","",IF($F268&lt;&gt;"","N",IF($J268&lt;&gt;"","C","")))</f>
        <v>C</v>
      </c>
      <c r="S268" s="9" t="str">
        <f aca="false">IF($R268="","",$A268&amp;"|"&amp;$R268&amp;"|"&amp;$D268)</f>
        <v>26|C|5</v>
      </c>
    </row>
    <row r="269" customFormat="false" ht="15" hidden="false" customHeight="false" outlineLevel="0" collapsed="false">
      <c r="A269" s="8" t="n">
        <v>26</v>
      </c>
      <c r="B269" s="8" t="s">
        <v>153</v>
      </c>
      <c r="D269" s="8" t="n">
        <v>6</v>
      </c>
      <c r="E269" s="8" t="n">
        <v>0.4</v>
      </c>
      <c r="I269" s="8" t="n">
        <v>0</v>
      </c>
      <c r="J269" s="8" t="n">
        <v>4742</v>
      </c>
      <c r="K269" s="8" t="n">
        <v>89.096</v>
      </c>
      <c r="O269" s="8" t="n">
        <v>-25.317</v>
      </c>
      <c r="R269" s="9" t="str">
        <f aca="false">IF($D269="","",IF($F269&lt;&gt;"","N",IF($J269&lt;&gt;"","C","")))</f>
        <v>C</v>
      </c>
      <c r="S269" s="9" t="str">
        <f aca="false">IF($R269="","",$A269&amp;"|"&amp;$R269&amp;"|"&amp;$D269)</f>
        <v>26|C|6</v>
      </c>
    </row>
    <row r="270" customFormat="false" ht="15" hidden="false" customHeight="false" outlineLevel="0" collapsed="false">
      <c r="A270" s="8" t="n">
        <v>26</v>
      </c>
      <c r="B270" s="8" t="s">
        <v>153</v>
      </c>
      <c r="D270" s="8" t="n">
        <v>7</v>
      </c>
      <c r="E270" s="8" t="n">
        <v>0.4</v>
      </c>
      <c r="I270" s="8" t="n">
        <v>0</v>
      </c>
      <c r="J270" s="8" t="n">
        <v>4738</v>
      </c>
      <c r="K270" s="8" t="n">
        <v>89.137</v>
      </c>
      <c r="O270" s="8" t="n">
        <v>-25.373</v>
      </c>
      <c r="R270" s="9" t="str">
        <f aca="false">IF($D270="","",IF($F270&lt;&gt;"","N",IF($J270&lt;&gt;"","C","")))</f>
        <v>C</v>
      </c>
      <c r="S270" s="9" t="str">
        <f aca="false">IF($R270="","",$A270&amp;"|"&amp;$R270&amp;"|"&amp;$D270)</f>
        <v>26|C|7</v>
      </c>
    </row>
    <row r="271" customFormat="false" ht="15" hidden="false" customHeight="false" outlineLevel="0" collapsed="false">
      <c r="A271" s="8" t="n">
        <v>25</v>
      </c>
      <c r="B271" s="8" t="s">
        <v>67</v>
      </c>
      <c r="L271" s="8" t="s">
        <v>53</v>
      </c>
      <c r="M271" s="8" t="s">
        <v>157</v>
      </c>
      <c r="P271" s="8" t="s">
        <v>158</v>
      </c>
      <c r="R271" s="9" t="str">
        <f aca="false">IF($D271="","",IF($F271&lt;&gt;"","N",IF($J271&lt;&gt;"","C","")))</f>
        <v/>
      </c>
      <c r="S271" s="9" t="str">
        <f aca="false">IF($R271="","",$A271&amp;"|"&amp;$R271&amp;"|"&amp;$D271)</f>
        <v/>
      </c>
    </row>
    <row r="272" customFormat="false" ht="15" hidden="false" customHeight="false" outlineLevel="0" collapsed="false">
      <c r="A272" s="8" t="n">
        <v>25</v>
      </c>
      <c r="B272" s="8" t="s">
        <v>67</v>
      </c>
      <c r="L272" s="8" t="s">
        <v>59</v>
      </c>
      <c r="M272" s="8" t="s">
        <v>159</v>
      </c>
      <c r="P272" s="8" t="s">
        <v>160</v>
      </c>
      <c r="R272" s="9" t="str">
        <f aca="false">IF($D272="","",IF($F272&lt;&gt;"","N",IF($J272&lt;&gt;"","C","")))</f>
        <v/>
      </c>
      <c r="S272" s="9" t="str">
        <f aca="false">IF($R272="","",$A272&amp;"|"&amp;$R272&amp;"|"&amp;$D272)</f>
        <v/>
      </c>
    </row>
    <row r="273" customFormat="false" ht="15" hidden="false" customHeight="false" outlineLevel="0" collapsed="false">
      <c r="A273" s="8" t="n">
        <v>25</v>
      </c>
      <c r="B273" s="8" t="s">
        <v>67</v>
      </c>
      <c r="D273" s="8" t="n">
        <v>1</v>
      </c>
      <c r="F273" s="8" t="n">
        <v>661</v>
      </c>
      <c r="G273" s="8" t="n">
        <v>24.4</v>
      </c>
      <c r="H273" s="8" t="n">
        <v>12.802</v>
      </c>
      <c r="I273" s="8" t="n">
        <v>0</v>
      </c>
      <c r="N273" s="8" t="n">
        <v>-1.184</v>
      </c>
      <c r="R273" s="9" t="str">
        <f aca="false">IF($D273="","",IF($F273&lt;&gt;"","N",IF($J273&lt;&gt;"","C","")))</f>
        <v>N</v>
      </c>
      <c r="S273" s="9" t="str">
        <f aca="false">IF($R273="","",$A273&amp;"|"&amp;$R273&amp;"|"&amp;$D273)</f>
        <v>25|N|1</v>
      </c>
    </row>
    <row r="274" customFormat="false" ht="15" hidden="false" customHeight="false" outlineLevel="0" collapsed="false">
      <c r="A274" s="8" t="n">
        <v>25</v>
      </c>
      <c r="B274" s="8" t="s">
        <v>67</v>
      </c>
      <c r="D274" s="8" t="n">
        <v>2</v>
      </c>
      <c r="F274" s="8" t="n">
        <v>666</v>
      </c>
      <c r="G274" s="8" t="n">
        <v>24.4</v>
      </c>
      <c r="H274" s="8" t="n">
        <v>12.822</v>
      </c>
      <c r="I274" s="8" t="n">
        <v>1</v>
      </c>
      <c r="N274" s="8" t="n">
        <v>-1.25</v>
      </c>
      <c r="R274" s="9" t="str">
        <f aca="false">IF($D274="","",IF($F274&lt;&gt;"","N",IF($J274&lt;&gt;"","C","")))</f>
        <v>N</v>
      </c>
      <c r="S274" s="9" t="str">
        <f aca="false">IF($R274="","",$A274&amp;"|"&amp;$R274&amp;"|"&amp;$D274)</f>
        <v>25|N|2</v>
      </c>
    </row>
    <row r="275" customFormat="false" ht="15" hidden="false" customHeight="false" outlineLevel="0" collapsed="false">
      <c r="A275" s="8" t="n">
        <v>25</v>
      </c>
      <c r="B275" s="8" t="s">
        <v>67</v>
      </c>
      <c r="D275" s="8" t="n">
        <v>3</v>
      </c>
      <c r="F275" s="8" t="n">
        <v>2784</v>
      </c>
      <c r="G275" s="8" t="n">
        <v>25.6</v>
      </c>
      <c r="H275" s="8" t="n">
        <v>47.866</v>
      </c>
      <c r="I275" s="8" t="n">
        <v>0</v>
      </c>
      <c r="N275" s="8" t="n">
        <v>39.073</v>
      </c>
      <c r="R275" s="9" t="str">
        <f aca="false">IF($D275="","",IF($F275&lt;&gt;"","N",IF($J275&lt;&gt;"","C","")))</f>
        <v>N</v>
      </c>
      <c r="S275" s="9" t="str">
        <f aca="false">IF($R275="","",$A275&amp;"|"&amp;$R275&amp;"|"&amp;$D275)</f>
        <v>25|N|3</v>
      </c>
    </row>
    <row r="276" customFormat="false" ht="15" hidden="false" customHeight="false" outlineLevel="0" collapsed="false">
      <c r="A276" s="8" t="n">
        <v>25</v>
      </c>
      <c r="B276" s="8" t="s">
        <v>67</v>
      </c>
      <c r="D276" s="8" t="n">
        <v>4</v>
      </c>
      <c r="I276" s="8" t="n">
        <v>0</v>
      </c>
      <c r="J276" s="8" t="n">
        <v>2628</v>
      </c>
      <c r="K276" s="8" t="n">
        <v>58.45</v>
      </c>
      <c r="O276" s="8" t="n">
        <v>15.888</v>
      </c>
      <c r="R276" s="9" t="str">
        <f aca="false">IF($D276="","",IF($F276&lt;&gt;"","N",IF($J276&lt;&gt;"","C","")))</f>
        <v>C</v>
      </c>
      <c r="S276" s="9" t="str">
        <f aca="false">IF($R276="","",$A276&amp;"|"&amp;$R276&amp;"|"&amp;$D276)</f>
        <v>25|C|4</v>
      </c>
    </row>
    <row r="277" customFormat="false" ht="15" hidden="false" customHeight="false" outlineLevel="0" collapsed="false">
      <c r="A277" s="8" t="n">
        <v>25</v>
      </c>
      <c r="B277" s="8" t="s">
        <v>67</v>
      </c>
      <c r="D277" s="8" t="n">
        <v>5</v>
      </c>
      <c r="I277" s="8" t="n">
        <v>1</v>
      </c>
      <c r="J277" s="8" t="n">
        <v>4711</v>
      </c>
      <c r="K277" s="8" t="n">
        <v>88.938</v>
      </c>
      <c r="O277" s="8" t="n">
        <v>-25.22</v>
      </c>
      <c r="R277" s="9" t="str">
        <f aca="false">IF($D277="","",IF($F277&lt;&gt;"","N",IF($J277&lt;&gt;"","C","")))</f>
        <v>C</v>
      </c>
      <c r="S277" s="9" t="str">
        <f aca="false">IF($R277="","",$A277&amp;"|"&amp;$R277&amp;"|"&amp;$D277)</f>
        <v>25|C|5</v>
      </c>
    </row>
    <row r="278" customFormat="false" ht="15" hidden="false" customHeight="false" outlineLevel="0" collapsed="false">
      <c r="A278" s="8" t="n">
        <v>25</v>
      </c>
      <c r="B278" s="8" t="s">
        <v>67</v>
      </c>
      <c r="D278" s="8" t="n">
        <v>6</v>
      </c>
      <c r="I278" s="8" t="n">
        <v>0</v>
      </c>
      <c r="J278" s="8" t="n">
        <v>4725</v>
      </c>
      <c r="K278" s="8" t="n">
        <v>89.013</v>
      </c>
      <c r="O278" s="8" t="n">
        <v>-25.384</v>
      </c>
      <c r="R278" s="9" t="str">
        <f aca="false">IF($D278="","",IF($F278&lt;&gt;"","N",IF($J278&lt;&gt;"","C","")))</f>
        <v>C</v>
      </c>
      <c r="S278" s="9" t="str">
        <f aca="false">IF($R278="","",$A278&amp;"|"&amp;$R278&amp;"|"&amp;$D278)</f>
        <v>25|C|6</v>
      </c>
    </row>
    <row r="279" customFormat="false" ht="15" hidden="false" customHeight="false" outlineLevel="0" collapsed="false">
      <c r="A279" s="8" t="n">
        <v>25</v>
      </c>
      <c r="B279" s="8" t="s">
        <v>67</v>
      </c>
      <c r="D279" s="8" t="n">
        <v>7</v>
      </c>
      <c r="I279" s="8" t="n">
        <v>0</v>
      </c>
      <c r="J279" s="8" t="n">
        <v>4743</v>
      </c>
      <c r="K279" s="8" t="n">
        <v>89.147</v>
      </c>
      <c r="O279" s="8" t="n">
        <v>-25.469</v>
      </c>
      <c r="R279" s="9" t="str">
        <f aca="false">IF($D279="","",IF($F279&lt;&gt;"","N",IF($J279&lt;&gt;"","C","")))</f>
        <v>C</v>
      </c>
      <c r="S279" s="9" t="str">
        <f aca="false">IF($R279="","",$A279&amp;"|"&amp;$R279&amp;"|"&amp;$D279)</f>
        <v>25|C|7</v>
      </c>
    </row>
    <row r="280" customFormat="false" ht="15" hidden="false" customHeight="false" outlineLevel="0" collapsed="false">
      <c r="A280" s="8" t="n">
        <v>24</v>
      </c>
      <c r="B280" s="8" t="s">
        <v>67</v>
      </c>
      <c r="L280" s="8" t="s">
        <v>53</v>
      </c>
      <c r="M280" s="8" t="s">
        <v>161</v>
      </c>
      <c r="P280" s="8" t="s">
        <v>162</v>
      </c>
      <c r="R280" s="9" t="str">
        <f aca="false">IF($D280="","",IF($F280&lt;&gt;"","N",IF($J280&lt;&gt;"","C","")))</f>
        <v/>
      </c>
      <c r="S280" s="9" t="str">
        <f aca="false">IF($R280="","",$A280&amp;"|"&amp;$R280&amp;"|"&amp;$D280)</f>
        <v/>
      </c>
    </row>
    <row r="281" customFormat="false" ht="15" hidden="false" customHeight="false" outlineLevel="0" collapsed="false">
      <c r="A281" s="8" t="n">
        <v>24</v>
      </c>
      <c r="B281" s="8" t="s">
        <v>67</v>
      </c>
      <c r="L281" s="8" t="s">
        <v>59</v>
      </c>
      <c r="M281" s="8" t="s">
        <v>163</v>
      </c>
      <c r="P281" s="8" t="s">
        <v>164</v>
      </c>
      <c r="R281" s="9" t="str">
        <f aca="false">IF($D281="","",IF($F281&lt;&gt;"","N",IF($J281&lt;&gt;"","C","")))</f>
        <v/>
      </c>
      <c r="S281" s="9" t="str">
        <f aca="false">IF($R281="","",$A281&amp;"|"&amp;$R281&amp;"|"&amp;$D281)</f>
        <v/>
      </c>
    </row>
    <row r="282" customFormat="false" ht="15" hidden="false" customHeight="false" outlineLevel="0" collapsed="false">
      <c r="A282" s="8" t="n">
        <v>24</v>
      </c>
      <c r="B282" s="8" t="s">
        <v>67</v>
      </c>
      <c r="D282" s="8" t="n">
        <v>1</v>
      </c>
      <c r="F282" s="8" t="n">
        <v>661</v>
      </c>
      <c r="G282" s="8" t="n">
        <v>24.5</v>
      </c>
      <c r="H282" s="8" t="n">
        <v>12.774</v>
      </c>
      <c r="I282" s="8" t="n">
        <v>0</v>
      </c>
      <c r="N282" s="8" t="n">
        <v>-1.356</v>
      </c>
      <c r="R282" s="9" t="str">
        <f aca="false">IF($D282="","",IF($F282&lt;&gt;"","N",IF($J282&lt;&gt;"","C","")))</f>
        <v>N</v>
      </c>
      <c r="S282" s="9" t="str">
        <f aca="false">IF($R282="","",$A282&amp;"|"&amp;$R282&amp;"|"&amp;$D282)</f>
        <v>24|N|1</v>
      </c>
    </row>
    <row r="283" customFormat="false" ht="15" hidden="false" customHeight="false" outlineLevel="0" collapsed="false">
      <c r="A283" s="8" t="n">
        <v>24</v>
      </c>
      <c r="B283" s="8" t="s">
        <v>67</v>
      </c>
      <c r="D283" s="8" t="n">
        <v>2</v>
      </c>
      <c r="F283" s="8" t="n">
        <v>666</v>
      </c>
      <c r="G283" s="8" t="n">
        <v>24.4</v>
      </c>
      <c r="H283" s="8" t="n">
        <v>12.8</v>
      </c>
      <c r="I283" s="8" t="n">
        <v>1</v>
      </c>
      <c r="N283" s="8" t="n">
        <v>-1.25</v>
      </c>
      <c r="R283" s="9" t="str">
        <f aca="false">IF($D283="","",IF($F283&lt;&gt;"","N",IF($J283&lt;&gt;"","C","")))</f>
        <v>N</v>
      </c>
      <c r="S283" s="9" t="str">
        <f aca="false">IF($R283="","",$A283&amp;"|"&amp;$R283&amp;"|"&amp;$D283)</f>
        <v>24|N|2</v>
      </c>
    </row>
    <row r="284" customFormat="false" ht="15" hidden="false" customHeight="false" outlineLevel="0" collapsed="false">
      <c r="A284" s="8" t="n">
        <v>24</v>
      </c>
      <c r="B284" s="8" t="s">
        <v>67</v>
      </c>
      <c r="D284" s="8" t="n">
        <v>3</v>
      </c>
      <c r="F284" s="8" t="n">
        <v>1482</v>
      </c>
      <c r="G284" s="8" t="n">
        <v>25.7</v>
      </c>
      <c r="H284" s="8" t="n">
        <v>25.453</v>
      </c>
      <c r="I284" s="8" t="n">
        <v>0</v>
      </c>
      <c r="N284" s="8" t="n">
        <v>-6.042</v>
      </c>
      <c r="R284" s="9" t="str">
        <f aca="false">IF($D284="","",IF($F284&lt;&gt;"","N",IF($J284&lt;&gt;"","C","")))</f>
        <v>N</v>
      </c>
      <c r="S284" s="9" t="str">
        <f aca="false">IF($R284="","",$A284&amp;"|"&amp;$R284&amp;"|"&amp;$D284)</f>
        <v>24|N|3</v>
      </c>
    </row>
    <row r="285" customFormat="false" ht="15" hidden="false" customHeight="false" outlineLevel="0" collapsed="false">
      <c r="A285" s="8" t="n">
        <v>24</v>
      </c>
      <c r="B285" s="8" t="s">
        <v>67</v>
      </c>
      <c r="D285" s="8" t="n">
        <v>4</v>
      </c>
      <c r="I285" s="8" t="n">
        <v>0</v>
      </c>
      <c r="J285" s="8" t="n">
        <v>5413</v>
      </c>
      <c r="K285" s="8" t="n">
        <v>122.649</v>
      </c>
      <c r="O285" s="8" t="n">
        <v>-9.519</v>
      </c>
      <c r="R285" s="9" t="str">
        <f aca="false">IF($D285="","",IF($F285&lt;&gt;"","N",IF($J285&lt;&gt;"","C","")))</f>
        <v>C</v>
      </c>
      <c r="S285" s="9" t="str">
        <f aca="false">IF($R285="","",$A285&amp;"|"&amp;$R285&amp;"|"&amp;$D285)</f>
        <v>24|C|4</v>
      </c>
    </row>
    <row r="286" customFormat="false" ht="15" hidden="false" customHeight="false" outlineLevel="0" collapsed="false">
      <c r="A286" s="8" t="n">
        <v>24</v>
      </c>
      <c r="B286" s="8" t="s">
        <v>67</v>
      </c>
      <c r="D286" s="8" t="n">
        <v>5</v>
      </c>
      <c r="I286" s="8" t="n">
        <v>1</v>
      </c>
      <c r="J286" s="8" t="n">
        <v>4717</v>
      </c>
      <c r="K286" s="8" t="n">
        <v>88.866</v>
      </c>
      <c r="O286" s="8" t="n">
        <v>-25.22</v>
      </c>
      <c r="R286" s="9" t="str">
        <f aca="false">IF($D286="","",IF($F286&lt;&gt;"","N",IF($J286&lt;&gt;"","C","")))</f>
        <v>C</v>
      </c>
      <c r="S286" s="9" t="str">
        <f aca="false">IF($R286="","",$A286&amp;"|"&amp;$R286&amp;"|"&amp;$D286)</f>
        <v>24|C|5</v>
      </c>
    </row>
    <row r="287" customFormat="false" ht="15" hidden="false" customHeight="false" outlineLevel="0" collapsed="false">
      <c r="A287" s="8" t="n">
        <v>24</v>
      </c>
      <c r="B287" s="8" t="s">
        <v>67</v>
      </c>
      <c r="D287" s="8" t="n">
        <v>6</v>
      </c>
      <c r="I287" s="8" t="n">
        <v>0</v>
      </c>
      <c r="J287" s="8" t="n">
        <v>4734</v>
      </c>
      <c r="K287" s="8" t="n">
        <v>89.036</v>
      </c>
      <c r="O287" s="8" t="n">
        <v>-25.366</v>
      </c>
      <c r="R287" s="9" t="str">
        <f aca="false">IF($D287="","",IF($F287&lt;&gt;"","N",IF($J287&lt;&gt;"","C","")))</f>
        <v>C</v>
      </c>
      <c r="S287" s="9" t="str">
        <f aca="false">IF($R287="","",$A287&amp;"|"&amp;$R287&amp;"|"&amp;$D287)</f>
        <v>24|C|6</v>
      </c>
    </row>
    <row r="288" customFormat="false" ht="15" hidden="false" customHeight="false" outlineLevel="0" collapsed="false">
      <c r="A288" s="8" t="n">
        <v>24</v>
      </c>
      <c r="B288" s="8" t="s">
        <v>67</v>
      </c>
      <c r="D288" s="8" t="n">
        <v>7</v>
      </c>
      <c r="I288" s="8" t="n">
        <v>0</v>
      </c>
      <c r="J288" s="8" t="n">
        <v>4750</v>
      </c>
      <c r="K288" s="8" t="n">
        <v>89.188</v>
      </c>
      <c r="O288" s="8" t="n">
        <v>-25.416</v>
      </c>
      <c r="R288" s="9" t="str">
        <f aca="false">IF($D288="","",IF($F288&lt;&gt;"","N",IF($J288&lt;&gt;"","C","")))</f>
        <v>C</v>
      </c>
      <c r="S288" s="9" t="str">
        <f aca="false">IF($R288="","",$A288&amp;"|"&amp;$R288&amp;"|"&amp;$D288)</f>
        <v>24|C|7</v>
      </c>
    </row>
    <row r="289" customFormat="false" ht="15" hidden="false" customHeight="false" outlineLevel="0" collapsed="false">
      <c r="A289" s="8" t="n">
        <v>23</v>
      </c>
      <c r="B289" s="8" t="s">
        <v>67</v>
      </c>
      <c r="L289" s="8" t="s">
        <v>53</v>
      </c>
      <c r="M289" s="8" t="s">
        <v>165</v>
      </c>
      <c r="P289" s="8" t="s">
        <v>166</v>
      </c>
      <c r="R289" s="9" t="str">
        <f aca="false">IF($D289="","",IF($F289&lt;&gt;"","N",IF($J289&lt;&gt;"","C","")))</f>
        <v/>
      </c>
      <c r="S289" s="9" t="str">
        <f aca="false">IF($R289="","",$A289&amp;"|"&amp;$R289&amp;"|"&amp;$D289)</f>
        <v/>
      </c>
    </row>
    <row r="290" customFormat="false" ht="15" hidden="false" customHeight="false" outlineLevel="0" collapsed="false">
      <c r="A290" s="8" t="n">
        <v>23</v>
      </c>
      <c r="B290" s="8" t="s">
        <v>67</v>
      </c>
      <c r="L290" s="8" t="s">
        <v>59</v>
      </c>
      <c r="M290" s="8" t="s">
        <v>167</v>
      </c>
      <c r="P290" s="8" t="s">
        <v>168</v>
      </c>
      <c r="R290" s="9" t="str">
        <f aca="false">IF($D290="","",IF($F290&lt;&gt;"","N",IF($J290&lt;&gt;"","C","")))</f>
        <v/>
      </c>
      <c r="S290" s="9" t="str">
        <f aca="false">IF($R290="","",$A290&amp;"|"&amp;$R290&amp;"|"&amp;$D290)</f>
        <v/>
      </c>
    </row>
    <row r="291" customFormat="false" ht="15" hidden="false" customHeight="false" outlineLevel="0" collapsed="false">
      <c r="A291" s="8" t="n">
        <v>23</v>
      </c>
      <c r="B291" s="8" t="s">
        <v>67</v>
      </c>
      <c r="D291" s="8" t="n">
        <v>1</v>
      </c>
      <c r="F291" s="8" t="n">
        <v>660</v>
      </c>
      <c r="G291" s="8" t="n">
        <v>24.7</v>
      </c>
      <c r="H291" s="8" t="n">
        <v>12.772</v>
      </c>
      <c r="I291" s="8" t="n">
        <v>0</v>
      </c>
      <c r="N291" s="8" t="n">
        <v>-1.259</v>
      </c>
      <c r="R291" s="9" t="str">
        <f aca="false">IF($D291="","",IF($F291&lt;&gt;"","N",IF($J291&lt;&gt;"","C","")))</f>
        <v>N</v>
      </c>
      <c r="S291" s="9" t="str">
        <f aca="false">IF($R291="","",$A291&amp;"|"&amp;$R291&amp;"|"&amp;$D291)</f>
        <v>23|N|1</v>
      </c>
    </row>
    <row r="292" customFormat="false" ht="15" hidden="false" customHeight="false" outlineLevel="0" collapsed="false">
      <c r="A292" s="8" t="n">
        <v>23</v>
      </c>
      <c r="B292" s="8" t="s">
        <v>67</v>
      </c>
      <c r="D292" s="8" t="n">
        <v>2</v>
      </c>
      <c r="F292" s="8" t="n">
        <v>664</v>
      </c>
      <c r="G292" s="8" t="n">
        <v>24.7</v>
      </c>
      <c r="H292" s="8" t="n">
        <v>12.792</v>
      </c>
      <c r="I292" s="8" t="n">
        <v>1</v>
      </c>
      <c r="N292" s="8" t="n">
        <v>-1.25</v>
      </c>
      <c r="R292" s="9" t="str">
        <f aca="false">IF($D292="","",IF($F292&lt;&gt;"","N",IF($J292&lt;&gt;"","C","")))</f>
        <v>N</v>
      </c>
      <c r="S292" s="9" t="str">
        <f aca="false">IF($R292="","",$A292&amp;"|"&amp;$R292&amp;"|"&amp;$D292)</f>
        <v>23|N|2</v>
      </c>
    </row>
    <row r="293" customFormat="false" ht="15" hidden="false" customHeight="false" outlineLevel="0" collapsed="false">
      <c r="A293" s="8" t="n">
        <v>23</v>
      </c>
      <c r="B293" s="8" t="s">
        <v>67</v>
      </c>
      <c r="D293" s="8" t="n">
        <v>3</v>
      </c>
      <c r="F293" s="8" t="n">
        <v>3433</v>
      </c>
      <c r="G293" s="8" t="n">
        <v>26</v>
      </c>
      <c r="H293" s="8" t="n">
        <v>59.328</v>
      </c>
      <c r="I293" s="8" t="n">
        <v>0</v>
      </c>
      <c r="N293" s="8" t="n">
        <v>-3.251</v>
      </c>
      <c r="R293" s="9" t="str">
        <f aca="false">IF($D293="","",IF($F293&lt;&gt;"","N",IF($J293&lt;&gt;"","C","")))</f>
        <v>N</v>
      </c>
      <c r="S293" s="9" t="str">
        <f aca="false">IF($R293="","",$A293&amp;"|"&amp;$R293&amp;"|"&amp;$D293)</f>
        <v>23|N|3</v>
      </c>
    </row>
    <row r="294" customFormat="false" ht="15" hidden="false" customHeight="false" outlineLevel="0" collapsed="false">
      <c r="A294" s="8" t="n">
        <v>23</v>
      </c>
      <c r="B294" s="8" t="s">
        <v>67</v>
      </c>
      <c r="D294" s="8" t="n">
        <v>4</v>
      </c>
      <c r="I294" s="8" t="n">
        <v>0</v>
      </c>
      <c r="J294" s="8" t="n">
        <v>825</v>
      </c>
      <c r="K294" s="8" t="n">
        <v>18.131</v>
      </c>
      <c r="O294" s="8" t="n">
        <v>-18.113</v>
      </c>
      <c r="R294" s="9" t="str">
        <f aca="false">IF($D294="","",IF($F294&lt;&gt;"","N",IF($J294&lt;&gt;"","C","")))</f>
        <v>C</v>
      </c>
      <c r="S294" s="9" t="str">
        <f aca="false">IF($R294="","",$A294&amp;"|"&amp;$R294&amp;"|"&amp;$D294)</f>
        <v>23|C|4</v>
      </c>
    </row>
    <row r="295" customFormat="false" ht="15" hidden="false" customHeight="false" outlineLevel="0" collapsed="false">
      <c r="A295" s="8" t="n">
        <v>23</v>
      </c>
      <c r="B295" s="8" t="s">
        <v>67</v>
      </c>
      <c r="D295" s="8" t="n">
        <v>5</v>
      </c>
      <c r="I295" s="8" t="n">
        <v>1</v>
      </c>
      <c r="J295" s="8" t="n">
        <v>4687</v>
      </c>
      <c r="K295" s="8" t="n">
        <v>88.858</v>
      </c>
      <c r="O295" s="8" t="n">
        <v>-25.22</v>
      </c>
      <c r="R295" s="9" t="str">
        <f aca="false">IF($D295="","",IF($F295&lt;&gt;"","N",IF($J295&lt;&gt;"","C","")))</f>
        <v>C</v>
      </c>
      <c r="S295" s="9" t="str">
        <f aca="false">IF($R295="","",$A295&amp;"|"&amp;$R295&amp;"|"&amp;$D295)</f>
        <v>23|C|5</v>
      </c>
    </row>
    <row r="296" customFormat="false" ht="15" hidden="false" customHeight="false" outlineLevel="0" collapsed="false">
      <c r="A296" s="8" t="n">
        <v>23</v>
      </c>
      <c r="B296" s="8" t="s">
        <v>67</v>
      </c>
      <c r="D296" s="8" t="n">
        <v>6</v>
      </c>
      <c r="I296" s="8" t="n">
        <v>0</v>
      </c>
      <c r="J296" s="8" t="n">
        <v>4729</v>
      </c>
      <c r="K296" s="8" t="n">
        <v>88.916</v>
      </c>
      <c r="O296" s="8" t="n">
        <v>-25.458</v>
      </c>
      <c r="R296" s="9" t="str">
        <f aca="false">IF($D296="","",IF($F296&lt;&gt;"","N",IF($J296&lt;&gt;"","C","")))</f>
        <v>C</v>
      </c>
      <c r="S296" s="9" t="str">
        <f aca="false">IF($R296="","",$A296&amp;"|"&amp;$R296&amp;"|"&amp;$D296)</f>
        <v>23|C|6</v>
      </c>
    </row>
    <row r="297" customFormat="false" ht="15" hidden="false" customHeight="false" outlineLevel="0" collapsed="false">
      <c r="A297" s="8" t="n">
        <v>23</v>
      </c>
      <c r="B297" s="8" t="s">
        <v>67</v>
      </c>
      <c r="D297" s="8" t="n">
        <v>7</v>
      </c>
      <c r="I297" s="8" t="n">
        <v>0</v>
      </c>
      <c r="J297" s="8" t="n">
        <v>4750</v>
      </c>
      <c r="K297" s="8" t="n">
        <v>89.065</v>
      </c>
      <c r="O297" s="8" t="n">
        <v>-25.507</v>
      </c>
      <c r="R297" s="9" t="str">
        <f aca="false">IF($D297="","",IF($F297&lt;&gt;"","N",IF($J297&lt;&gt;"","C","")))</f>
        <v>C</v>
      </c>
      <c r="S297" s="9" t="str">
        <f aca="false">IF($R297="","",$A297&amp;"|"&amp;$R297&amp;"|"&amp;$D297)</f>
        <v>23|C|7</v>
      </c>
    </row>
    <row r="298" customFormat="false" ht="15" hidden="false" customHeight="false" outlineLevel="0" collapsed="false">
      <c r="A298" s="8" t="n">
        <v>22</v>
      </c>
      <c r="B298" s="8" t="s">
        <v>169</v>
      </c>
      <c r="E298" s="8" t="n">
        <v>0.402</v>
      </c>
      <c r="L298" s="8" t="s">
        <v>53</v>
      </c>
      <c r="M298" s="8" t="s">
        <v>170</v>
      </c>
      <c r="P298" s="8" t="s">
        <v>149</v>
      </c>
      <c r="R298" s="9" t="str">
        <f aca="false">IF($D298="","",IF($F298&lt;&gt;"","N",IF($J298&lt;&gt;"","C","")))</f>
        <v/>
      </c>
      <c r="S298" s="9" t="str">
        <f aca="false">IF($R298="","",$A298&amp;"|"&amp;$R298&amp;"|"&amp;$D298)</f>
        <v/>
      </c>
    </row>
    <row r="299" customFormat="false" ht="15" hidden="false" customHeight="false" outlineLevel="0" collapsed="false">
      <c r="A299" s="8" t="n">
        <v>22</v>
      </c>
      <c r="B299" s="8" t="s">
        <v>169</v>
      </c>
      <c r="E299" s="8" t="n">
        <v>0.402</v>
      </c>
      <c r="L299" s="8" t="s">
        <v>59</v>
      </c>
      <c r="M299" s="8" t="s">
        <v>171</v>
      </c>
      <c r="P299" s="8" t="s">
        <v>172</v>
      </c>
      <c r="R299" s="9" t="str">
        <f aca="false">IF($D299="","",IF($F299&lt;&gt;"","N",IF($J299&lt;&gt;"","C","")))</f>
        <v/>
      </c>
      <c r="S299" s="9" t="str">
        <f aca="false">IF($R299="","",$A299&amp;"|"&amp;$R299&amp;"|"&amp;$D299)</f>
        <v/>
      </c>
    </row>
    <row r="300" customFormat="false" ht="15" hidden="false" customHeight="false" outlineLevel="0" collapsed="false">
      <c r="A300" s="8" t="n">
        <v>22</v>
      </c>
      <c r="B300" s="8" t="s">
        <v>169</v>
      </c>
      <c r="D300" s="8" t="n">
        <v>1</v>
      </c>
      <c r="E300" s="8" t="n">
        <v>0.402</v>
      </c>
      <c r="F300" s="8" t="n">
        <v>661</v>
      </c>
      <c r="G300" s="8" t="n">
        <v>24.8</v>
      </c>
      <c r="H300" s="8" t="n">
        <v>12.794</v>
      </c>
      <c r="I300" s="8" t="n">
        <v>0</v>
      </c>
      <c r="N300" s="8" t="n">
        <v>-1.244</v>
      </c>
      <c r="R300" s="9" t="str">
        <f aca="false">IF($D300="","",IF($F300&lt;&gt;"","N",IF($J300&lt;&gt;"","C","")))</f>
        <v>N</v>
      </c>
      <c r="S300" s="9" t="str">
        <f aca="false">IF($R300="","",$A300&amp;"|"&amp;$R300&amp;"|"&amp;$D300)</f>
        <v>22|N|1</v>
      </c>
    </row>
    <row r="301" customFormat="false" ht="15" hidden="false" customHeight="false" outlineLevel="0" collapsed="false">
      <c r="A301" s="8" t="n">
        <v>22</v>
      </c>
      <c r="B301" s="8" t="s">
        <v>169</v>
      </c>
      <c r="D301" s="8" t="n">
        <v>2</v>
      </c>
      <c r="E301" s="8" t="n">
        <v>0.402</v>
      </c>
      <c r="F301" s="8" t="n">
        <v>665</v>
      </c>
      <c r="G301" s="8" t="n">
        <v>24.8</v>
      </c>
      <c r="H301" s="8" t="n">
        <v>12.8</v>
      </c>
      <c r="I301" s="8" t="n">
        <v>1</v>
      </c>
      <c r="N301" s="8" t="n">
        <v>-1.25</v>
      </c>
      <c r="R301" s="9" t="str">
        <f aca="false">IF($D301="","",IF($F301&lt;&gt;"","N",IF($J301&lt;&gt;"","C","")))</f>
        <v>N</v>
      </c>
      <c r="S301" s="9" t="str">
        <f aca="false">IF($R301="","",$A301&amp;"|"&amp;$R301&amp;"|"&amp;$D301)</f>
        <v>22|N|2</v>
      </c>
    </row>
    <row r="302" customFormat="false" ht="15" hidden="false" customHeight="false" outlineLevel="0" collapsed="false">
      <c r="A302" s="8" t="n">
        <v>22</v>
      </c>
      <c r="B302" s="8" t="s">
        <v>169</v>
      </c>
      <c r="D302" s="8" t="n">
        <v>3</v>
      </c>
      <c r="E302" s="8" t="n">
        <v>0.402</v>
      </c>
      <c r="F302" s="8" t="n">
        <v>1591</v>
      </c>
      <c r="G302" s="8" t="n">
        <v>26.1</v>
      </c>
      <c r="H302" s="8" t="n">
        <v>27.288</v>
      </c>
      <c r="I302" s="8" t="n">
        <v>0</v>
      </c>
      <c r="N302" s="8" t="n">
        <v>-5.874</v>
      </c>
      <c r="R302" s="9" t="str">
        <f aca="false">IF($D302="","",IF($F302&lt;&gt;"","N",IF($J302&lt;&gt;"","C","")))</f>
        <v>N</v>
      </c>
      <c r="S302" s="9" t="str">
        <f aca="false">IF($R302="","",$A302&amp;"|"&amp;$R302&amp;"|"&amp;$D302)</f>
        <v>22|N|3</v>
      </c>
    </row>
    <row r="303" customFormat="false" ht="15" hidden="false" customHeight="false" outlineLevel="0" collapsed="false">
      <c r="A303" s="8" t="n">
        <v>22</v>
      </c>
      <c r="B303" s="8" t="s">
        <v>169</v>
      </c>
      <c r="D303" s="8" t="n">
        <v>4</v>
      </c>
      <c r="E303" s="8" t="n">
        <v>0.402</v>
      </c>
      <c r="I303" s="8" t="n">
        <v>0</v>
      </c>
      <c r="J303" s="8" t="n">
        <v>5751</v>
      </c>
      <c r="K303" s="8" t="n">
        <v>130.484</v>
      </c>
      <c r="O303" s="8" t="n">
        <v>-9.538</v>
      </c>
      <c r="R303" s="9" t="str">
        <f aca="false">IF($D303="","",IF($F303&lt;&gt;"","N",IF($J303&lt;&gt;"","C","")))</f>
        <v>C</v>
      </c>
      <c r="S303" s="9" t="str">
        <f aca="false">IF($R303="","",$A303&amp;"|"&amp;$R303&amp;"|"&amp;$D303)</f>
        <v>22|C|4</v>
      </c>
    </row>
    <row r="304" customFormat="false" ht="15" hidden="false" customHeight="false" outlineLevel="0" collapsed="false">
      <c r="A304" s="8" t="n">
        <v>22</v>
      </c>
      <c r="B304" s="8" t="s">
        <v>169</v>
      </c>
      <c r="D304" s="8" t="n">
        <v>5</v>
      </c>
      <c r="E304" s="8" t="n">
        <v>0.402</v>
      </c>
      <c r="I304" s="8" t="n">
        <v>1</v>
      </c>
      <c r="J304" s="8" t="n">
        <v>4724</v>
      </c>
      <c r="K304" s="8" t="n">
        <v>88.908</v>
      </c>
      <c r="O304" s="8" t="n">
        <v>-25.22</v>
      </c>
      <c r="R304" s="9" t="str">
        <f aca="false">IF($D304="","",IF($F304&lt;&gt;"","N",IF($J304&lt;&gt;"","C","")))</f>
        <v>C</v>
      </c>
      <c r="S304" s="9" t="str">
        <f aca="false">IF($R304="","",$A304&amp;"|"&amp;$R304&amp;"|"&amp;$D304)</f>
        <v>22|C|5</v>
      </c>
    </row>
    <row r="305" customFormat="false" ht="15" hidden="false" customHeight="false" outlineLevel="0" collapsed="false">
      <c r="A305" s="8" t="n">
        <v>22</v>
      </c>
      <c r="B305" s="8" t="s">
        <v>169</v>
      </c>
      <c r="D305" s="8" t="n">
        <v>6</v>
      </c>
      <c r="E305" s="8" t="n">
        <v>0.402</v>
      </c>
      <c r="I305" s="8" t="n">
        <v>0</v>
      </c>
      <c r="J305" s="8" t="n">
        <v>4747</v>
      </c>
      <c r="K305" s="8" t="n">
        <v>89.075</v>
      </c>
      <c r="O305" s="8" t="n">
        <v>-25.363</v>
      </c>
      <c r="R305" s="9" t="str">
        <f aca="false">IF($D305="","",IF($F305&lt;&gt;"","N",IF($J305&lt;&gt;"","C","")))</f>
        <v>C</v>
      </c>
      <c r="S305" s="9" t="str">
        <f aca="false">IF($R305="","",$A305&amp;"|"&amp;$R305&amp;"|"&amp;$D305)</f>
        <v>22|C|6</v>
      </c>
    </row>
    <row r="306" customFormat="false" ht="15" hidden="false" customHeight="false" outlineLevel="0" collapsed="false">
      <c r="A306" s="8" t="n">
        <v>22</v>
      </c>
      <c r="B306" s="8" t="s">
        <v>169</v>
      </c>
      <c r="D306" s="8" t="n">
        <v>7</v>
      </c>
      <c r="E306" s="8" t="n">
        <v>0.402</v>
      </c>
      <c r="I306" s="8" t="n">
        <v>0</v>
      </c>
      <c r="J306" s="8" t="n">
        <v>4732</v>
      </c>
      <c r="K306" s="8" t="n">
        <v>88.99</v>
      </c>
      <c r="O306" s="8" t="n">
        <v>-25.416</v>
      </c>
      <c r="R306" s="9" t="str">
        <f aca="false">IF($D306="","",IF($F306&lt;&gt;"","N",IF($J306&lt;&gt;"","C","")))</f>
        <v>C</v>
      </c>
      <c r="S306" s="9" t="str">
        <f aca="false">IF($R306="","",$A306&amp;"|"&amp;$R306&amp;"|"&amp;$D306)</f>
        <v>22|C|7</v>
      </c>
    </row>
    <row r="307" customFormat="false" ht="15" hidden="false" customHeight="false" outlineLevel="0" collapsed="false">
      <c r="A307" s="8" t="n">
        <v>21</v>
      </c>
      <c r="B307" s="8" t="s">
        <v>67</v>
      </c>
      <c r="L307" s="8" t="s">
        <v>53</v>
      </c>
      <c r="M307" s="8" t="s">
        <v>173</v>
      </c>
      <c r="P307" s="8" t="s">
        <v>174</v>
      </c>
      <c r="R307" s="9" t="str">
        <f aca="false">IF($D307="","",IF($F307&lt;&gt;"","N",IF($J307&lt;&gt;"","C","")))</f>
        <v/>
      </c>
      <c r="S307" s="9" t="str">
        <f aca="false">IF($R307="","",$A307&amp;"|"&amp;$R307&amp;"|"&amp;$D307)</f>
        <v/>
      </c>
    </row>
    <row r="308" customFormat="false" ht="15" hidden="false" customHeight="false" outlineLevel="0" collapsed="false">
      <c r="A308" s="8" t="n">
        <v>21</v>
      </c>
      <c r="B308" s="8" t="s">
        <v>67</v>
      </c>
      <c r="L308" s="8" t="s">
        <v>59</v>
      </c>
      <c r="M308" s="8" t="s">
        <v>175</v>
      </c>
      <c r="P308" s="8" t="s">
        <v>176</v>
      </c>
      <c r="R308" s="9" t="str">
        <f aca="false">IF($D308="","",IF($F308&lt;&gt;"","N",IF($J308&lt;&gt;"","C","")))</f>
        <v/>
      </c>
      <c r="S308" s="9" t="str">
        <f aca="false">IF($R308="","",$A308&amp;"|"&amp;$R308&amp;"|"&amp;$D308)</f>
        <v/>
      </c>
    </row>
    <row r="309" customFormat="false" ht="15" hidden="false" customHeight="false" outlineLevel="0" collapsed="false">
      <c r="A309" s="8" t="n">
        <v>21</v>
      </c>
      <c r="B309" s="8" t="s">
        <v>67</v>
      </c>
      <c r="D309" s="8" t="n">
        <v>1</v>
      </c>
      <c r="F309" s="8" t="n">
        <v>661</v>
      </c>
      <c r="G309" s="8" t="n">
        <v>25.1</v>
      </c>
      <c r="H309" s="8" t="n">
        <v>12.79</v>
      </c>
      <c r="I309" s="8" t="n">
        <v>0</v>
      </c>
      <c r="N309" s="8" t="n">
        <v>-1.121</v>
      </c>
      <c r="R309" s="9" t="str">
        <f aca="false">IF($D309="","",IF($F309&lt;&gt;"","N",IF($J309&lt;&gt;"","C","")))</f>
        <v>N</v>
      </c>
      <c r="S309" s="9" t="str">
        <f aca="false">IF($R309="","",$A309&amp;"|"&amp;$R309&amp;"|"&amp;$D309)</f>
        <v>21|N|1</v>
      </c>
    </row>
    <row r="310" customFormat="false" ht="15" hidden="false" customHeight="false" outlineLevel="0" collapsed="false">
      <c r="A310" s="8" t="n">
        <v>21</v>
      </c>
      <c r="B310" s="8" t="s">
        <v>67</v>
      </c>
      <c r="D310" s="8" t="n">
        <v>2</v>
      </c>
      <c r="F310" s="8" t="n">
        <v>664</v>
      </c>
      <c r="G310" s="8" t="n">
        <v>25.1</v>
      </c>
      <c r="H310" s="8" t="n">
        <v>12.791</v>
      </c>
      <c r="I310" s="8" t="n">
        <v>1</v>
      </c>
      <c r="N310" s="8" t="n">
        <v>-1.25</v>
      </c>
      <c r="R310" s="9" t="str">
        <f aca="false">IF($D310="","",IF($F310&lt;&gt;"","N",IF($J310&lt;&gt;"","C","")))</f>
        <v>N</v>
      </c>
      <c r="S310" s="9" t="str">
        <f aca="false">IF($R310="","",$A310&amp;"|"&amp;$R310&amp;"|"&amp;$D310)</f>
        <v>21|N|2</v>
      </c>
    </row>
    <row r="311" customFormat="false" ht="15" hidden="false" customHeight="false" outlineLevel="0" collapsed="false">
      <c r="A311" s="8" t="n">
        <v>21</v>
      </c>
      <c r="B311" s="8" t="s">
        <v>67</v>
      </c>
      <c r="D311" s="8" t="n">
        <v>3</v>
      </c>
      <c r="F311" s="8" t="n">
        <v>577</v>
      </c>
      <c r="G311" s="8" t="n">
        <v>26.4</v>
      </c>
      <c r="H311" s="8" t="n">
        <v>10.11</v>
      </c>
      <c r="I311" s="8" t="n">
        <v>0</v>
      </c>
      <c r="N311" s="8" t="n">
        <v>-5.969</v>
      </c>
      <c r="R311" s="9" t="str">
        <f aca="false">IF($D311="","",IF($F311&lt;&gt;"","N",IF($J311&lt;&gt;"","C","")))</f>
        <v>N</v>
      </c>
      <c r="S311" s="9" t="str">
        <f aca="false">IF($R311="","",$A311&amp;"|"&amp;$R311&amp;"|"&amp;$D311)</f>
        <v>21|N|3</v>
      </c>
    </row>
    <row r="312" customFormat="false" ht="15" hidden="false" customHeight="false" outlineLevel="0" collapsed="false">
      <c r="A312" s="8" t="n">
        <v>21</v>
      </c>
      <c r="B312" s="8" t="s">
        <v>67</v>
      </c>
      <c r="D312" s="8" t="n">
        <v>4</v>
      </c>
      <c r="I312" s="8" t="n">
        <v>0</v>
      </c>
      <c r="J312" s="8" t="n">
        <v>2216</v>
      </c>
      <c r="K312" s="8" t="n">
        <v>49.134</v>
      </c>
      <c r="O312" s="8" t="n">
        <v>-9.66</v>
      </c>
      <c r="R312" s="9" t="str">
        <f aca="false">IF($D312="","",IF($F312&lt;&gt;"","N",IF($J312&lt;&gt;"","C","")))</f>
        <v>C</v>
      </c>
      <c r="S312" s="9" t="str">
        <f aca="false">IF($R312="","",$A312&amp;"|"&amp;$R312&amp;"|"&amp;$D312)</f>
        <v>21|C|4</v>
      </c>
    </row>
    <row r="313" customFormat="false" ht="15" hidden="false" customHeight="false" outlineLevel="0" collapsed="false">
      <c r="A313" s="8" t="n">
        <v>21</v>
      </c>
      <c r="B313" s="8" t="s">
        <v>67</v>
      </c>
      <c r="D313" s="8" t="n">
        <v>5</v>
      </c>
      <c r="I313" s="8" t="n">
        <v>1</v>
      </c>
      <c r="J313" s="8" t="n">
        <v>4690</v>
      </c>
      <c r="K313" s="8" t="n">
        <v>88.868</v>
      </c>
      <c r="O313" s="8" t="n">
        <v>-25.22</v>
      </c>
      <c r="R313" s="9" t="str">
        <f aca="false">IF($D313="","",IF($F313&lt;&gt;"","N",IF($J313&lt;&gt;"","C","")))</f>
        <v>C</v>
      </c>
      <c r="S313" s="9" t="str">
        <f aca="false">IF($R313="","",$A313&amp;"|"&amp;$R313&amp;"|"&amp;$D313)</f>
        <v>21|C|5</v>
      </c>
    </row>
    <row r="314" customFormat="false" ht="15" hidden="false" customHeight="false" outlineLevel="0" collapsed="false">
      <c r="A314" s="8" t="n">
        <v>21</v>
      </c>
      <c r="B314" s="8" t="s">
        <v>67</v>
      </c>
      <c r="D314" s="8" t="n">
        <v>6</v>
      </c>
      <c r="I314" s="8" t="n">
        <v>0</v>
      </c>
      <c r="J314" s="8" t="n">
        <v>4730</v>
      </c>
      <c r="K314" s="8" t="n">
        <v>88.898</v>
      </c>
      <c r="O314" s="8" t="n">
        <v>-25.441</v>
      </c>
      <c r="R314" s="9" t="str">
        <f aca="false">IF($D314="","",IF($F314&lt;&gt;"","N",IF($J314&lt;&gt;"","C","")))</f>
        <v>C</v>
      </c>
      <c r="S314" s="9" t="str">
        <f aca="false">IF($R314="","",$A314&amp;"|"&amp;$R314&amp;"|"&amp;$D314)</f>
        <v>21|C|6</v>
      </c>
    </row>
    <row r="315" customFormat="false" ht="15" hidden="false" customHeight="false" outlineLevel="0" collapsed="false">
      <c r="A315" s="8" t="n">
        <v>21</v>
      </c>
      <c r="B315" s="8" t="s">
        <v>67</v>
      </c>
      <c r="D315" s="8" t="n">
        <v>7</v>
      </c>
      <c r="I315" s="8" t="n">
        <v>0</v>
      </c>
      <c r="J315" s="8" t="n">
        <v>4732</v>
      </c>
      <c r="K315" s="8" t="n">
        <v>89.004</v>
      </c>
      <c r="O315" s="8" t="n">
        <v>-25.51</v>
      </c>
      <c r="R315" s="9" t="str">
        <f aca="false">IF($D315="","",IF($F315&lt;&gt;"","N",IF($J315&lt;&gt;"","C","")))</f>
        <v>C</v>
      </c>
      <c r="S315" s="9" t="str">
        <f aca="false">IF($R315="","",$A315&amp;"|"&amp;$R315&amp;"|"&amp;$D315)</f>
        <v>21|C|7</v>
      </c>
    </row>
    <row r="316" customFormat="false" ht="15" hidden="false" customHeight="false" outlineLevel="0" collapsed="false">
      <c r="A316" s="8" t="n">
        <v>20</v>
      </c>
      <c r="B316" s="8" t="s">
        <v>67</v>
      </c>
      <c r="L316" s="8" t="s">
        <v>53</v>
      </c>
      <c r="M316" s="8" t="s">
        <v>177</v>
      </c>
      <c r="P316" s="8" t="s">
        <v>178</v>
      </c>
      <c r="R316" s="9" t="str">
        <f aca="false">IF($D316="","",IF($F316&lt;&gt;"","N",IF($J316&lt;&gt;"","C","")))</f>
        <v/>
      </c>
      <c r="S316" s="9" t="str">
        <f aca="false">IF($R316="","",$A316&amp;"|"&amp;$R316&amp;"|"&amp;$D316)</f>
        <v/>
      </c>
    </row>
    <row r="317" customFormat="false" ht="15" hidden="false" customHeight="false" outlineLevel="0" collapsed="false">
      <c r="A317" s="8" t="n">
        <v>20</v>
      </c>
      <c r="B317" s="8" t="s">
        <v>67</v>
      </c>
      <c r="L317" s="8" t="s">
        <v>59</v>
      </c>
      <c r="M317" s="8" t="s">
        <v>179</v>
      </c>
      <c r="P317" s="8" t="s">
        <v>180</v>
      </c>
      <c r="R317" s="9" t="str">
        <f aca="false">IF($D317="","",IF($F317&lt;&gt;"","N",IF($J317&lt;&gt;"","C","")))</f>
        <v/>
      </c>
      <c r="S317" s="9" t="str">
        <f aca="false">IF($R317="","",$A317&amp;"|"&amp;$R317&amp;"|"&amp;$D317)</f>
        <v/>
      </c>
    </row>
    <row r="318" customFormat="false" ht="15" hidden="false" customHeight="false" outlineLevel="0" collapsed="false">
      <c r="A318" s="8" t="n">
        <v>20</v>
      </c>
      <c r="B318" s="8" t="s">
        <v>67</v>
      </c>
      <c r="D318" s="8" t="n">
        <v>1</v>
      </c>
      <c r="F318" s="8" t="n">
        <v>659</v>
      </c>
      <c r="G318" s="8" t="n">
        <v>25.4</v>
      </c>
      <c r="H318" s="8" t="n">
        <v>12.765</v>
      </c>
      <c r="I318" s="8" t="n">
        <v>0</v>
      </c>
      <c r="N318" s="8" t="n">
        <v>-1.305</v>
      </c>
      <c r="R318" s="9" t="str">
        <f aca="false">IF($D318="","",IF($F318&lt;&gt;"","N",IF($J318&lt;&gt;"","C","")))</f>
        <v>N</v>
      </c>
      <c r="S318" s="9" t="str">
        <f aca="false">IF($R318="","",$A318&amp;"|"&amp;$R318&amp;"|"&amp;$D318)</f>
        <v>20|N|1</v>
      </c>
    </row>
    <row r="319" customFormat="false" ht="15" hidden="false" customHeight="false" outlineLevel="0" collapsed="false">
      <c r="A319" s="8" t="n">
        <v>20</v>
      </c>
      <c r="B319" s="8" t="s">
        <v>67</v>
      </c>
      <c r="D319" s="8" t="n">
        <v>2</v>
      </c>
      <c r="F319" s="8" t="n">
        <v>664</v>
      </c>
      <c r="G319" s="8" t="n">
        <v>25.3</v>
      </c>
      <c r="H319" s="8" t="n">
        <v>12.782</v>
      </c>
      <c r="I319" s="8" t="n">
        <v>1</v>
      </c>
      <c r="N319" s="8" t="n">
        <v>-1.25</v>
      </c>
      <c r="R319" s="9" t="str">
        <f aca="false">IF($D319="","",IF($F319&lt;&gt;"","N",IF($J319&lt;&gt;"","C","")))</f>
        <v>N</v>
      </c>
      <c r="S319" s="9" t="str">
        <f aca="false">IF($R319="","",$A319&amp;"|"&amp;$R319&amp;"|"&amp;$D319)</f>
        <v>20|N|2</v>
      </c>
    </row>
    <row r="320" customFormat="false" ht="15" hidden="false" customHeight="false" outlineLevel="0" collapsed="false">
      <c r="A320" s="8" t="n">
        <v>20</v>
      </c>
      <c r="B320" s="8" t="s">
        <v>67</v>
      </c>
      <c r="D320" s="8" t="n">
        <v>3</v>
      </c>
      <c r="F320" s="8" t="n">
        <v>1705</v>
      </c>
      <c r="G320" s="8" t="n">
        <v>26.7</v>
      </c>
      <c r="H320" s="8" t="n">
        <v>29.179</v>
      </c>
      <c r="I320" s="8" t="n">
        <v>0</v>
      </c>
      <c r="N320" s="8" t="n">
        <v>-5.819</v>
      </c>
      <c r="R320" s="9" t="str">
        <f aca="false">IF($D320="","",IF($F320&lt;&gt;"","N",IF($J320&lt;&gt;"","C","")))</f>
        <v>N</v>
      </c>
      <c r="S320" s="9" t="str">
        <f aca="false">IF($R320="","",$A320&amp;"|"&amp;$R320&amp;"|"&amp;$D320)</f>
        <v>20|N|3</v>
      </c>
    </row>
    <row r="321" customFormat="false" ht="15" hidden="false" customHeight="false" outlineLevel="0" collapsed="false">
      <c r="A321" s="8" t="n">
        <v>20</v>
      </c>
      <c r="B321" s="8" t="s">
        <v>67</v>
      </c>
      <c r="D321" s="8" t="n">
        <v>4</v>
      </c>
      <c r="I321" s="8" t="n">
        <v>0</v>
      </c>
      <c r="J321" s="8" t="n">
        <v>6159</v>
      </c>
      <c r="K321" s="8" t="n">
        <v>139.977</v>
      </c>
      <c r="O321" s="8" t="n">
        <v>-9.593</v>
      </c>
      <c r="R321" s="9" t="str">
        <f aca="false">IF($D321="","",IF($F321&lt;&gt;"","N",IF($J321&lt;&gt;"","C","")))</f>
        <v>C</v>
      </c>
      <c r="S321" s="9" t="str">
        <f aca="false">IF($R321="","",$A321&amp;"|"&amp;$R321&amp;"|"&amp;$D321)</f>
        <v>20|C|4</v>
      </c>
    </row>
    <row r="322" customFormat="false" ht="15" hidden="false" customHeight="false" outlineLevel="0" collapsed="false">
      <c r="A322" s="8" t="n">
        <v>20</v>
      </c>
      <c r="B322" s="8" t="s">
        <v>67</v>
      </c>
      <c r="D322" s="8" t="n">
        <v>5</v>
      </c>
      <c r="I322" s="8" t="n">
        <v>1</v>
      </c>
      <c r="J322" s="8" t="n">
        <v>4733</v>
      </c>
      <c r="K322" s="8" t="n">
        <v>88.8</v>
      </c>
      <c r="O322" s="8" t="n">
        <v>-25.22</v>
      </c>
      <c r="R322" s="9" t="str">
        <f aca="false">IF($D322="","",IF($F322&lt;&gt;"","N",IF($J322&lt;&gt;"","C","")))</f>
        <v>C</v>
      </c>
      <c r="S322" s="9" t="str">
        <f aca="false">IF($R322="","",$A322&amp;"|"&amp;$R322&amp;"|"&amp;$D322)</f>
        <v>20|C|5</v>
      </c>
    </row>
    <row r="323" customFormat="false" ht="15" hidden="false" customHeight="false" outlineLevel="0" collapsed="false">
      <c r="A323" s="8" t="n">
        <v>20</v>
      </c>
      <c r="B323" s="8" t="s">
        <v>67</v>
      </c>
      <c r="D323" s="8" t="n">
        <v>6</v>
      </c>
      <c r="I323" s="8" t="n">
        <v>0</v>
      </c>
      <c r="J323" s="8" t="n">
        <v>4730</v>
      </c>
      <c r="K323" s="8" t="n">
        <v>88.838</v>
      </c>
      <c r="O323" s="8" t="n">
        <v>-25.373</v>
      </c>
      <c r="R323" s="9" t="str">
        <f aca="false">IF($D323="","",IF($F323&lt;&gt;"","N",IF($J323&lt;&gt;"","C","")))</f>
        <v>C</v>
      </c>
      <c r="S323" s="9" t="str">
        <f aca="false">IF($R323="","",$A323&amp;"|"&amp;$R323&amp;"|"&amp;$D323)</f>
        <v>20|C|6</v>
      </c>
    </row>
    <row r="324" customFormat="false" ht="15" hidden="false" customHeight="false" outlineLevel="0" collapsed="false">
      <c r="A324" s="8" t="n">
        <v>20</v>
      </c>
      <c r="B324" s="8" t="s">
        <v>67</v>
      </c>
      <c r="D324" s="8" t="n">
        <v>7</v>
      </c>
      <c r="I324" s="8" t="n">
        <v>0</v>
      </c>
      <c r="J324" s="8" t="n">
        <v>4719</v>
      </c>
      <c r="K324" s="8" t="n">
        <v>88.935</v>
      </c>
      <c r="O324" s="8" t="n">
        <v>-25.417</v>
      </c>
      <c r="R324" s="9" t="str">
        <f aca="false">IF($D324="","",IF($F324&lt;&gt;"","N",IF($J324&lt;&gt;"","C","")))</f>
        <v>C</v>
      </c>
      <c r="S324" s="9" t="str">
        <f aca="false">IF($R324="","",$A324&amp;"|"&amp;$R324&amp;"|"&amp;$D324)</f>
        <v>20|C|7</v>
      </c>
    </row>
    <row r="325" customFormat="false" ht="15" hidden="false" customHeight="false" outlineLevel="0" collapsed="false">
      <c r="A325" s="8" t="n">
        <v>19</v>
      </c>
      <c r="B325" s="8" t="s">
        <v>181</v>
      </c>
      <c r="E325" s="8" t="n">
        <v>0.454</v>
      </c>
      <c r="L325" s="8" t="s">
        <v>53</v>
      </c>
      <c r="M325" s="8" t="s">
        <v>182</v>
      </c>
      <c r="P325" s="8" t="s">
        <v>183</v>
      </c>
      <c r="R325" s="9" t="str">
        <f aca="false">IF($D325="","",IF($F325&lt;&gt;"","N",IF($J325&lt;&gt;"","C","")))</f>
        <v/>
      </c>
      <c r="S325" s="9" t="str">
        <f aca="false">IF($R325="","",$A325&amp;"|"&amp;$R325&amp;"|"&amp;$D325)</f>
        <v/>
      </c>
    </row>
    <row r="326" customFormat="false" ht="15" hidden="false" customHeight="false" outlineLevel="0" collapsed="false">
      <c r="A326" s="8" t="n">
        <v>19</v>
      </c>
      <c r="B326" s="8" t="s">
        <v>181</v>
      </c>
      <c r="E326" s="8" t="n">
        <v>0.454</v>
      </c>
      <c r="L326" s="8" t="s">
        <v>59</v>
      </c>
      <c r="M326" s="8" t="s">
        <v>184</v>
      </c>
      <c r="P326" s="8" t="s">
        <v>172</v>
      </c>
      <c r="R326" s="9" t="str">
        <f aca="false">IF($D326="","",IF($F326&lt;&gt;"","N",IF($J326&lt;&gt;"","C","")))</f>
        <v/>
      </c>
      <c r="S326" s="9" t="str">
        <f aca="false">IF($R326="","",$A326&amp;"|"&amp;$R326&amp;"|"&amp;$D326)</f>
        <v/>
      </c>
    </row>
    <row r="327" customFormat="false" ht="15" hidden="false" customHeight="false" outlineLevel="0" collapsed="false">
      <c r="A327" s="8" t="n">
        <v>19</v>
      </c>
      <c r="B327" s="8" t="s">
        <v>181</v>
      </c>
      <c r="D327" s="8" t="n">
        <v>1</v>
      </c>
      <c r="E327" s="8" t="n">
        <v>0.454</v>
      </c>
      <c r="F327" s="8" t="n">
        <v>658</v>
      </c>
      <c r="G327" s="8" t="n">
        <v>25.5</v>
      </c>
      <c r="H327" s="8" t="n">
        <v>12.744</v>
      </c>
      <c r="I327" s="8" t="n">
        <v>0</v>
      </c>
      <c r="N327" s="8" t="n">
        <v>-1.131</v>
      </c>
      <c r="R327" s="9" t="str">
        <f aca="false">IF($D327="","",IF($F327&lt;&gt;"","N",IF($J327&lt;&gt;"","C","")))</f>
        <v>N</v>
      </c>
      <c r="S327" s="9" t="str">
        <f aca="false">IF($R327="","",$A327&amp;"|"&amp;$R327&amp;"|"&amp;$D327)</f>
        <v>19|N|1</v>
      </c>
    </row>
    <row r="328" customFormat="false" ht="15" hidden="false" customHeight="false" outlineLevel="0" collapsed="false">
      <c r="A328" s="8" t="n">
        <v>19</v>
      </c>
      <c r="B328" s="8" t="s">
        <v>181</v>
      </c>
      <c r="D328" s="8" t="n">
        <v>2</v>
      </c>
      <c r="E328" s="8" t="n">
        <v>0.454</v>
      </c>
      <c r="F328" s="8" t="n">
        <v>663</v>
      </c>
      <c r="G328" s="8" t="n">
        <v>25.4</v>
      </c>
      <c r="H328" s="8" t="n">
        <v>12.752</v>
      </c>
      <c r="I328" s="8" t="n">
        <v>1</v>
      </c>
      <c r="N328" s="8" t="n">
        <v>-1.25</v>
      </c>
      <c r="R328" s="9" t="str">
        <f aca="false">IF($D328="","",IF($F328&lt;&gt;"","N",IF($J328&lt;&gt;"","C","")))</f>
        <v>N</v>
      </c>
      <c r="S328" s="9" t="str">
        <f aca="false">IF($R328="","",$A328&amp;"|"&amp;$R328&amp;"|"&amp;$D328)</f>
        <v>19|N|2</v>
      </c>
    </row>
    <row r="329" customFormat="false" ht="15" hidden="false" customHeight="false" outlineLevel="0" collapsed="false">
      <c r="A329" s="8" t="n">
        <v>19</v>
      </c>
      <c r="B329" s="8" t="s">
        <v>181</v>
      </c>
      <c r="D329" s="8" t="n">
        <v>3</v>
      </c>
      <c r="E329" s="8" t="n">
        <v>0.454</v>
      </c>
      <c r="F329" s="8" t="n">
        <v>1745</v>
      </c>
      <c r="G329" s="8" t="n">
        <v>26.9</v>
      </c>
      <c r="H329" s="8" t="n">
        <v>29.846</v>
      </c>
      <c r="I329" s="8" t="n">
        <v>0</v>
      </c>
      <c r="N329" s="8" t="n">
        <v>-5.941</v>
      </c>
      <c r="R329" s="9" t="str">
        <f aca="false">IF($D329="","",IF($F329&lt;&gt;"","N",IF($J329&lt;&gt;"","C","")))</f>
        <v>N</v>
      </c>
      <c r="S329" s="9" t="str">
        <f aca="false">IF($R329="","",$A329&amp;"|"&amp;$R329&amp;"|"&amp;$D329)</f>
        <v>19|N|3</v>
      </c>
    </row>
    <row r="330" customFormat="false" ht="15" hidden="false" customHeight="false" outlineLevel="0" collapsed="false">
      <c r="A330" s="8" t="n">
        <v>19</v>
      </c>
      <c r="B330" s="8" t="s">
        <v>181</v>
      </c>
      <c r="D330" s="8" t="n">
        <v>4</v>
      </c>
      <c r="E330" s="8" t="n">
        <v>0.454</v>
      </c>
      <c r="I330" s="8" t="n">
        <v>0</v>
      </c>
      <c r="J330" s="8" t="n">
        <v>6256</v>
      </c>
      <c r="K330" s="8" t="n">
        <v>143.731</v>
      </c>
      <c r="O330" s="8" t="n">
        <v>-9.527</v>
      </c>
      <c r="R330" s="9" t="str">
        <f aca="false">IF($D330="","",IF($F330&lt;&gt;"","N",IF($J330&lt;&gt;"","C","")))</f>
        <v>C</v>
      </c>
      <c r="S330" s="9" t="str">
        <f aca="false">IF($R330="","",$A330&amp;"|"&amp;$R330&amp;"|"&amp;$D330)</f>
        <v>19|C|4</v>
      </c>
    </row>
    <row r="331" customFormat="false" ht="15" hidden="false" customHeight="false" outlineLevel="0" collapsed="false">
      <c r="A331" s="8" t="n">
        <v>19</v>
      </c>
      <c r="B331" s="8" t="s">
        <v>181</v>
      </c>
      <c r="D331" s="8" t="n">
        <v>5</v>
      </c>
      <c r="E331" s="8" t="n">
        <v>0.454</v>
      </c>
      <c r="I331" s="8" t="n">
        <v>1</v>
      </c>
      <c r="J331" s="8" t="n">
        <v>4707</v>
      </c>
      <c r="K331" s="8" t="n">
        <v>88.71</v>
      </c>
      <c r="O331" s="8" t="n">
        <v>-25.22</v>
      </c>
      <c r="R331" s="9" t="str">
        <f aca="false">IF($D331="","",IF($F331&lt;&gt;"","N",IF($J331&lt;&gt;"","C","")))</f>
        <v>C</v>
      </c>
      <c r="S331" s="9" t="str">
        <f aca="false">IF($R331="","",$A331&amp;"|"&amp;$R331&amp;"|"&amp;$D331)</f>
        <v>19|C|5</v>
      </c>
    </row>
    <row r="332" customFormat="false" ht="15" hidden="false" customHeight="false" outlineLevel="0" collapsed="false">
      <c r="A332" s="8" t="n">
        <v>19</v>
      </c>
      <c r="B332" s="8" t="s">
        <v>181</v>
      </c>
      <c r="D332" s="8" t="n">
        <v>6</v>
      </c>
      <c r="E332" s="8" t="n">
        <v>0.454</v>
      </c>
      <c r="I332" s="8" t="n">
        <v>0</v>
      </c>
      <c r="J332" s="8" t="n">
        <v>4741</v>
      </c>
      <c r="K332" s="8" t="n">
        <v>88.819</v>
      </c>
      <c r="O332" s="8" t="n">
        <v>-25.352</v>
      </c>
      <c r="R332" s="9" t="str">
        <f aca="false">IF($D332="","",IF($F332&lt;&gt;"","N",IF($J332&lt;&gt;"","C","")))</f>
        <v>C</v>
      </c>
      <c r="S332" s="9" t="str">
        <f aca="false">IF($R332="","",$A332&amp;"|"&amp;$R332&amp;"|"&amp;$D332)</f>
        <v>19|C|6</v>
      </c>
    </row>
    <row r="333" customFormat="false" ht="15" hidden="false" customHeight="false" outlineLevel="0" collapsed="false">
      <c r="A333" s="8" t="n">
        <v>19</v>
      </c>
      <c r="B333" s="8" t="s">
        <v>181</v>
      </c>
      <c r="D333" s="8" t="n">
        <v>7</v>
      </c>
      <c r="E333" s="8" t="n">
        <v>0.454</v>
      </c>
      <c r="I333" s="8" t="n">
        <v>0</v>
      </c>
      <c r="J333" s="8" t="n">
        <v>4738</v>
      </c>
      <c r="K333" s="8" t="n">
        <v>88.91</v>
      </c>
      <c r="O333" s="8" t="n">
        <v>-25.417</v>
      </c>
      <c r="R333" s="9" t="str">
        <f aca="false">IF($D333="","",IF($F333&lt;&gt;"","N",IF($J333&lt;&gt;"","C","")))</f>
        <v>C</v>
      </c>
      <c r="S333" s="9" t="str">
        <f aca="false">IF($R333="","",$A333&amp;"|"&amp;$R333&amp;"|"&amp;$D333)</f>
        <v>19|C|7</v>
      </c>
    </row>
    <row r="334" customFormat="false" ht="15" hidden="false" customHeight="false" outlineLevel="0" collapsed="false">
      <c r="A334" s="8" t="n">
        <v>18</v>
      </c>
      <c r="B334" s="8" t="s">
        <v>185</v>
      </c>
      <c r="E334" s="8" t="n">
        <v>0.415</v>
      </c>
      <c r="L334" s="8" t="s">
        <v>53</v>
      </c>
      <c r="M334" s="8" t="s">
        <v>186</v>
      </c>
      <c r="P334" s="8" t="s">
        <v>187</v>
      </c>
      <c r="R334" s="9" t="str">
        <f aca="false">IF($D334="","",IF($F334&lt;&gt;"","N",IF($J334&lt;&gt;"","C","")))</f>
        <v/>
      </c>
      <c r="S334" s="9" t="str">
        <f aca="false">IF($R334="","",$A334&amp;"|"&amp;$R334&amp;"|"&amp;$D334)</f>
        <v/>
      </c>
    </row>
    <row r="335" customFormat="false" ht="15" hidden="false" customHeight="false" outlineLevel="0" collapsed="false">
      <c r="A335" s="8" t="n">
        <v>18</v>
      </c>
      <c r="B335" s="8" t="s">
        <v>185</v>
      </c>
      <c r="E335" s="8" t="n">
        <v>0.415</v>
      </c>
      <c r="L335" s="8" t="s">
        <v>59</v>
      </c>
      <c r="M335" s="8" t="s">
        <v>188</v>
      </c>
      <c r="P335" s="8" t="s">
        <v>180</v>
      </c>
      <c r="R335" s="9" t="str">
        <f aca="false">IF($D335="","",IF($F335&lt;&gt;"","N",IF($J335&lt;&gt;"","C","")))</f>
        <v/>
      </c>
      <c r="S335" s="9" t="str">
        <f aca="false">IF($R335="","",$A335&amp;"|"&amp;$R335&amp;"|"&amp;$D335)</f>
        <v/>
      </c>
    </row>
    <row r="336" customFormat="false" ht="15" hidden="false" customHeight="false" outlineLevel="0" collapsed="false">
      <c r="A336" s="8" t="n">
        <v>18</v>
      </c>
      <c r="B336" s="8" t="s">
        <v>185</v>
      </c>
      <c r="D336" s="8" t="n">
        <v>1</v>
      </c>
      <c r="E336" s="8" t="n">
        <v>0.415</v>
      </c>
      <c r="F336" s="8" t="n">
        <v>658</v>
      </c>
      <c r="G336" s="8" t="n">
        <v>25.8</v>
      </c>
      <c r="H336" s="8" t="n">
        <v>12.735</v>
      </c>
      <c r="I336" s="8" t="n">
        <v>0</v>
      </c>
      <c r="N336" s="8" t="n">
        <v>-1.264</v>
      </c>
      <c r="R336" s="9" t="str">
        <f aca="false">IF($D336="","",IF($F336&lt;&gt;"","N",IF($J336&lt;&gt;"","C","")))</f>
        <v>N</v>
      </c>
      <c r="S336" s="9" t="str">
        <f aca="false">IF($R336="","",$A336&amp;"|"&amp;$R336&amp;"|"&amp;$D336)</f>
        <v>18|N|1</v>
      </c>
    </row>
    <row r="337" customFormat="false" ht="15" hidden="false" customHeight="false" outlineLevel="0" collapsed="false">
      <c r="A337" s="8" t="n">
        <v>18</v>
      </c>
      <c r="B337" s="8" t="s">
        <v>185</v>
      </c>
      <c r="D337" s="8" t="n">
        <v>2</v>
      </c>
      <c r="E337" s="8" t="n">
        <v>0.415</v>
      </c>
      <c r="F337" s="8" t="n">
        <v>661</v>
      </c>
      <c r="G337" s="8" t="n">
        <v>25.7</v>
      </c>
      <c r="H337" s="8" t="n">
        <v>12.751</v>
      </c>
      <c r="I337" s="8" t="n">
        <v>1</v>
      </c>
      <c r="N337" s="8" t="n">
        <v>-1.25</v>
      </c>
      <c r="R337" s="9" t="str">
        <f aca="false">IF($D337="","",IF($F337&lt;&gt;"","N",IF($J337&lt;&gt;"","C","")))</f>
        <v>N</v>
      </c>
      <c r="S337" s="9" t="str">
        <f aca="false">IF($R337="","",$A337&amp;"|"&amp;$R337&amp;"|"&amp;$D337)</f>
        <v>18|N|2</v>
      </c>
    </row>
    <row r="338" customFormat="false" ht="15" hidden="false" customHeight="false" outlineLevel="0" collapsed="false">
      <c r="A338" s="8" t="n">
        <v>18</v>
      </c>
      <c r="B338" s="8" t="s">
        <v>185</v>
      </c>
      <c r="D338" s="8" t="n">
        <v>3</v>
      </c>
      <c r="E338" s="8" t="n">
        <v>0.415</v>
      </c>
      <c r="F338" s="8" t="n">
        <v>1611</v>
      </c>
      <c r="G338" s="8" t="n">
        <v>27.3</v>
      </c>
      <c r="H338" s="8" t="n">
        <v>27.655</v>
      </c>
      <c r="I338" s="8" t="n">
        <v>0</v>
      </c>
      <c r="N338" s="8" t="n">
        <v>-5.945</v>
      </c>
      <c r="R338" s="9" t="str">
        <f aca="false">IF($D338="","",IF($F338&lt;&gt;"","N",IF($J338&lt;&gt;"","C","")))</f>
        <v>N</v>
      </c>
      <c r="S338" s="9" t="str">
        <f aca="false">IF($R338="","",$A338&amp;"|"&amp;$R338&amp;"|"&amp;$D338)</f>
        <v>18|N|3</v>
      </c>
    </row>
    <row r="339" customFormat="false" ht="15" hidden="false" customHeight="false" outlineLevel="0" collapsed="false">
      <c r="A339" s="8" t="n">
        <v>18</v>
      </c>
      <c r="B339" s="8" t="s">
        <v>185</v>
      </c>
      <c r="D339" s="8" t="n">
        <v>4</v>
      </c>
      <c r="E339" s="8" t="n">
        <v>0.415</v>
      </c>
      <c r="I339" s="8" t="n">
        <v>0</v>
      </c>
      <c r="J339" s="8" t="n">
        <v>5794</v>
      </c>
      <c r="K339" s="8" t="n">
        <v>132.985</v>
      </c>
      <c r="O339" s="8" t="n">
        <v>-9.453</v>
      </c>
      <c r="R339" s="9" t="str">
        <f aca="false">IF($D339="","",IF($F339&lt;&gt;"","N",IF($J339&lt;&gt;"","C","")))</f>
        <v>C</v>
      </c>
      <c r="S339" s="9" t="str">
        <f aca="false">IF($R339="","",$A339&amp;"|"&amp;$R339&amp;"|"&amp;$D339)</f>
        <v>18|C|4</v>
      </c>
    </row>
    <row r="340" customFormat="false" ht="15" hidden="false" customHeight="false" outlineLevel="0" collapsed="false">
      <c r="A340" s="8" t="n">
        <v>18</v>
      </c>
      <c r="B340" s="8" t="s">
        <v>185</v>
      </c>
      <c r="D340" s="8" t="n">
        <v>5</v>
      </c>
      <c r="E340" s="8" t="n">
        <v>0.415</v>
      </c>
      <c r="I340" s="8" t="n">
        <v>1</v>
      </c>
      <c r="J340" s="8" t="n">
        <v>4709</v>
      </c>
      <c r="K340" s="8" t="n">
        <v>88.765</v>
      </c>
      <c r="O340" s="8" t="n">
        <v>-25.22</v>
      </c>
      <c r="R340" s="9" t="str">
        <f aca="false">IF($D340="","",IF($F340&lt;&gt;"","N",IF($J340&lt;&gt;"","C","")))</f>
        <v>C</v>
      </c>
      <c r="S340" s="9" t="str">
        <f aca="false">IF($R340="","",$A340&amp;"|"&amp;$R340&amp;"|"&amp;$D340)</f>
        <v>18|C|5</v>
      </c>
    </row>
    <row r="341" customFormat="false" ht="15" hidden="false" customHeight="false" outlineLevel="0" collapsed="false">
      <c r="A341" s="8" t="n">
        <v>18</v>
      </c>
      <c r="B341" s="8" t="s">
        <v>185</v>
      </c>
      <c r="D341" s="8" t="n">
        <v>6</v>
      </c>
      <c r="E341" s="8" t="n">
        <v>0.415</v>
      </c>
      <c r="I341" s="8" t="n">
        <v>0</v>
      </c>
      <c r="J341" s="8" t="n">
        <v>4741</v>
      </c>
      <c r="K341" s="8" t="n">
        <v>88.926</v>
      </c>
      <c r="O341" s="8" t="n">
        <v>-25.338</v>
      </c>
      <c r="R341" s="9" t="str">
        <f aca="false">IF($D341="","",IF($F341&lt;&gt;"","N",IF($J341&lt;&gt;"","C","")))</f>
        <v>C</v>
      </c>
      <c r="S341" s="9" t="str">
        <f aca="false">IF($R341="","",$A341&amp;"|"&amp;$R341&amp;"|"&amp;$D341)</f>
        <v>18|C|6</v>
      </c>
    </row>
    <row r="342" customFormat="false" ht="15" hidden="false" customHeight="false" outlineLevel="0" collapsed="false">
      <c r="A342" s="8" t="n">
        <v>18</v>
      </c>
      <c r="B342" s="8" t="s">
        <v>185</v>
      </c>
      <c r="D342" s="8" t="n">
        <v>7</v>
      </c>
      <c r="E342" s="8" t="n">
        <v>0.415</v>
      </c>
      <c r="I342" s="8" t="n">
        <v>0</v>
      </c>
      <c r="J342" s="8" t="n">
        <v>4726</v>
      </c>
      <c r="K342" s="8" t="n">
        <v>88.819</v>
      </c>
      <c r="O342" s="8" t="n">
        <v>-25.387</v>
      </c>
      <c r="R342" s="9" t="str">
        <f aca="false">IF($D342="","",IF($F342&lt;&gt;"","N",IF($J342&lt;&gt;"","C","")))</f>
        <v>C</v>
      </c>
      <c r="S342" s="9" t="str">
        <f aca="false">IF($R342="","",$A342&amp;"|"&amp;$R342&amp;"|"&amp;$D342)</f>
        <v>18|C|7</v>
      </c>
    </row>
    <row r="343" customFormat="false" ht="15" hidden="false" customHeight="false" outlineLevel="0" collapsed="false">
      <c r="A343" s="8" t="n">
        <v>17</v>
      </c>
      <c r="B343" s="8" t="s">
        <v>189</v>
      </c>
      <c r="E343" s="8" t="n">
        <v>0.423</v>
      </c>
      <c r="L343" s="8" t="s">
        <v>53</v>
      </c>
      <c r="M343" s="8" t="s">
        <v>190</v>
      </c>
      <c r="P343" s="8" t="s">
        <v>191</v>
      </c>
      <c r="R343" s="9" t="str">
        <f aca="false">IF($D343="","",IF($F343&lt;&gt;"","N",IF($J343&lt;&gt;"","C","")))</f>
        <v/>
      </c>
      <c r="S343" s="9" t="str">
        <f aca="false">IF($R343="","",$A343&amp;"|"&amp;$R343&amp;"|"&amp;$D343)</f>
        <v/>
      </c>
    </row>
    <row r="344" customFormat="false" ht="15" hidden="false" customHeight="false" outlineLevel="0" collapsed="false">
      <c r="A344" s="8" t="n">
        <v>17</v>
      </c>
      <c r="B344" s="8" t="s">
        <v>189</v>
      </c>
      <c r="E344" s="8" t="n">
        <v>0.423</v>
      </c>
      <c r="L344" s="8" t="s">
        <v>59</v>
      </c>
      <c r="M344" s="8" t="s">
        <v>192</v>
      </c>
      <c r="P344" s="8" t="s">
        <v>193</v>
      </c>
      <c r="R344" s="9" t="str">
        <f aca="false">IF($D344="","",IF($F344&lt;&gt;"","N",IF($J344&lt;&gt;"","C","")))</f>
        <v/>
      </c>
      <c r="S344" s="9" t="str">
        <f aca="false">IF($R344="","",$A344&amp;"|"&amp;$R344&amp;"|"&amp;$D344)</f>
        <v/>
      </c>
    </row>
    <row r="345" customFormat="false" ht="15" hidden="false" customHeight="false" outlineLevel="0" collapsed="false">
      <c r="A345" s="8" t="n">
        <v>17</v>
      </c>
      <c r="B345" s="8" t="s">
        <v>189</v>
      </c>
      <c r="D345" s="8" t="n">
        <v>1</v>
      </c>
      <c r="E345" s="8" t="n">
        <v>0.423</v>
      </c>
      <c r="F345" s="8" t="n">
        <v>657</v>
      </c>
      <c r="G345" s="8" t="n">
        <v>26</v>
      </c>
      <c r="H345" s="8" t="n">
        <v>12.72</v>
      </c>
      <c r="I345" s="8" t="n">
        <v>0</v>
      </c>
      <c r="N345" s="8" t="n">
        <v>-1.176</v>
      </c>
      <c r="R345" s="9" t="str">
        <f aca="false">IF($D345="","",IF($F345&lt;&gt;"","N",IF($J345&lt;&gt;"","C","")))</f>
        <v>N</v>
      </c>
      <c r="S345" s="9" t="str">
        <f aca="false">IF($R345="","",$A345&amp;"|"&amp;$R345&amp;"|"&amp;$D345)</f>
        <v>17|N|1</v>
      </c>
    </row>
    <row r="346" customFormat="false" ht="15" hidden="false" customHeight="false" outlineLevel="0" collapsed="false">
      <c r="A346" s="8" t="n">
        <v>17</v>
      </c>
      <c r="B346" s="8" t="s">
        <v>189</v>
      </c>
      <c r="D346" s="8" t="n">
        <v>2</v>
      </c>
      <c r="E346" s="8" t="n">
        <v>0.423</v>
      </c>
      <c r="F346" s="8" t="n">
        <v>660</v>
      </c>
      <c r="G346" s="8" t="n">
        <v>25.9</v>
      </c>
      <c r="H346" s="8" t="n">
        <v>12.729</v>
      </c>
      <c r="I346" s="8" t="n">
        <v>1</v>
      </c>
      <c r="N346" s="8" t="n">
        <v>-1.25</v>
      </c>
      <c r="R346" s="9" t="str">
        <f aca="false">IF($D346="","",IF($F346&lt;&gt;"","N",IF($J346&lt;&gt;"","C","")))</f>
        <v>N</v>
      </c>
      <c r="S346" s="9" t="str">
        <f aca="false">IF($R346="","",$A346&amp;"|"&amp;$R346&amp;"|"&amp;$D346)</f>
        <v>17|N|2</v>
      </c>
    </row>
    <row r="347" customFormat="false" ht="15" hidden="false" customHeight="false" outlineLevel="0" collapsed="false">
      <c r="A347" s="8" t="n">
        <v>17</v>
      </c>
      <c r="B347" s="8" t="s">
        <v>189</v>
      </c>
      <c r="D347" s="8" t="n">
        <v>3</v>
      </c>
      <c r="E347" s="8" t="n">
        <v>0.423</v>
      </c>
      <c r="F347" s="8" t="n">
        <v>2817</v>
      </c>
      <c r="G347" s="8" t="n">
        <v>27.6</v>
      </c>
      <c r="H347" s="8" t="n">
        <v>48.547</v>
      </c>
      <c r="I347" s="8" t="n">
        <v>0</v>
      </c>
      <c r="N347" s="8" t="n">
        <v>19.444</v>
      </c>
      <c r="R347" s="9" t="str">
        <f aca="false">IF($D347="","",IF($F347&lt;&gt;"","N",IF($J347&lt;&gt;"","C","")))</f>
        <v>N</v>
      </c>
      <c r="S347" s="9" t="str">
        <f aca="false">IF($R347="","",$A347&amp;"|"&amp;$R347&amp;"|"&amp;$D347)</f>
        <v>17|N|3</v>
      </c>
    </row>
    <row r="348" customFormat="false" ht="15" hidden="false" customHeight="false" outlineLevel="0" collapsed="false">
      <c r="A348" s="8" t="n">
        <v>17</v>
      </c>
      <c r="B348" s="8" t="s">
        <v>189</v>
      </c>
      <c r="D348" s="8" t="n">
        <v>4</v>
      </c>
      <c r="E348" s="8" t="n">
        <v>0.423</v>
      </c>
      <c r="I348" s="8" t="n">
        <v>0</v>
      </c>
      <c r="J348" s="8" t="n">
        <v>2667</v>
      </c>
      <c r="K348" s="8" t="n">
        <v>58.79</v>
      </c>
      <c r="O348" s="8" t="n">
        <v>-3.429</v>
      </c>
      <c r="R348" s="9" t="str">
        <f aca="false">IF($D348="","",IF($F348&lt;&gt;"","N",IF($J348&lt;&gt;"","C","")))</f>
        <v>C</v>
      </c>
      <c r="S348" s="9" t="str">
        <f aca="false">IF($R348="","",$A348&amp;"|"&amp;$R348&amp;"|"&amp;$D348)</f>
        <v>17|C|4</v>
      </c>
    </row>
    <row r="349" customFormat="false" ht="15" hidden="false" customHeight="false" outlineLevel="0" collapsed="false">
      <c r="A349" s="8" t="n">
        <v>17</v>
      </c>
      <c r="B349" s="8" t="s">
        <v>189</v>
      </c>
      <c r="D349" s="8" t="n">
        <v>5</v>
      </c>
      <c r="E349" s="8" t="n">
        <v>0.423</v>
      </c>
      <c r="I349" s="8" t="n">
        <v>1</v>
      </c>
      <c r="J349" s="8" t="n">
        <v>4685</v>
      </c>
      <c r="K349" s="8" t="n">
        <v>88.76</v>
      </c>
      <c r="O349" s="8" t="n">
        <v>-25.22</v>
      </c>
      <c r="R349" s="9" t="str">
        <f aca="false">IF($D349="","",IF($F349&lt;&gt;"","N",IF($J349&lt;&gt;"","C","")))</f>
        <v>C</v>
      </c>
      <c r="S349" s="9" t="str">
        <f aca="false">IF($R349="","",$A349&amp;"|"&amp;$R349&amp;"|"&amp;$D349)</f>
        <v>17|C|5</v>
      </c>
    </row>
    <row r="350" customFormat="false" ht="15" hidden="false" customHeight="false" outlineLevel="0" collapsed="false">
      <c r="A350" s="8" t="n">
        <v>17</v>
      </c>
      <c r="B350" s="8" t="s">
        <v>189</v>
      </c>
      <c r="D350" s="8" t="n">
        <v>6</v>
      </c>
      <c r="E350" s="8" t="n">
        <v>0.423</v>
      </c>
      <c r="I350" s="8" t="n">
        <v>0</v>
      </c>
      <c r="J350" s="8" t="n">
        <v>4729</v>
      </c>
      <c r="K350" s="8" t="n">
        <v>88.879</v>
      </c>
      <c r="O350" s="8" t="n">
        <v>-25.359</v>
      </c>
      <c r="R350" s="9" t="str">
        <f aca="false">IF($D350="","",IF($F350&lt;&gt;"","N",IF($J350&lt;&gt;"","C","")))</f>
        <v>C</v>
      </c>
      <c r="S350" s="9" t="str">
        <f aca="false">IF($R350="","",$A350&amp;"|"&amp;$R350&amp;"|"&amp;$D350)</f>
        <v>17|C|6</v>
      </c>
    </row>
    <row r="351" customFormat="false" ht="15" hidden="false" customHeight="false" outlineLevel="0" collapsed="false">
      <c r="A351" s="8" t="n">
        <v>17</v>
      </c>
      <c r="B351" s="8" t="s">
        <v>189</v>
      </c>
      <c r="D351" s="8" t="n">
        <v>7</v>
      </c>
      <c r="E351" s="8" t="n">
        <v>0.423</v>
      </c>
      <c r="I351" s="8" t="n">
        <v>0</v>
      </c>
      <c r="J351" s="8" t="n">
        <v>4722</v>
      </c>
      <c r="K351" s="8" t="n">
        <v>88.656</v>
      </c>
      <c r="O351" s="8" t="n">
        <v>-25.446</v>
      </c>
      <c r="R351" s="9" t="str">
        <f aca="false">IF($D351="","",IF($F351&lt;&gt;"","N",IF($J351&lt;&gt;"","C","")))</f>
        <v>C</v>
      </c>
      <c r="S351" s="9" t="str">
        <f aca="false">IF($R351="","",$A351&amp;"|"&amp;$R351&amp;"|"&amp;$D351)</f>
        <v>17|C|7</v>
      </c>
    </row>
    <row r="352" customFormat="false" ht="15" hidden="false" customHeight="false" outlineLevel="0" collapsed="false">
      <c r="A352" s="8" t="n">
        <v>16</v>
      </c>
      <c r="B352" s="8" t="s">
        <v>189</v>
      </c>
      <c r="E352" s="8" t="n">
        <v>0.43</v>
      </c>
      <c r="L352" s="8" t="s">
        <v>53</v>
      </c>
      <c r="M352" s="8" t="s">
        <v>194</v>
      </c>
      <c r="P352" s="8" t="s">
        <v>195</v>
      </c>
      <c r="R352" s="9" t="str">
        <f aca="false">IF($D352="","",IF($F352&lt;&gt;"","N",IF($J352&lt;&gt;"","C","")))</f>
        <v/>
      </c>
      <c r="S352" s="9" t="str">
        <f aca="false">IF($R352="","",$A352&amp;"|"&amp;$R352&amp;"|"&amp;$D352)</f>
        <v/>
      </c>
    </row>
    <row r="353" customFormat="false" ht="15" hidden="false" customHeight="false" outlineLevel="0" collapsed="false">
      <c r="A353" s="8" t="n">
        <v>16</v>
      </c>
      <c r="B353" s="8" t="s">
        <v>189</v>
      </c>
      <c r="E353" s="8" t="n">
        <v>0.43</v>
      </c>
      <c r="L353" s="8" t="s">
        <v>59</v>
      </c>
      <c r="M353" s="8" t="s">
        <v>196</v>
      </c>
      <c r="P353" s="8" t="s">
        <v>123</v>
      </c>
      <c r="R353" s="9" t="str">
        <f aca="false">IF($D353="","",IF($F353&lt;&gt;"","N",IF($J353&lt;&gt;"","C","")))</f>
        <v/>
      </c>
      <c r="S353" s="9" t="str">
        <f aca="false">IF($R353="","",$A353&amp;"|"&amp;$R353&amp;"|"&amp;$D353)</f>
        <v/>
      </c>
    </row>
    <row r="354" customFormat="false" ht="15" hidden="false" customHeight="false" outlineLevel="0" collapsed="false">
      <c r="A354" s="8" t="n">
        <v>16</v>
      </c>
      <c r="B354" s="8" t="s">
        <v>189</v>
      </c>
      <c r="D354" s="8" t="n">
        <v>1</v>
      </c>
      <c r="E354" s="8" t="n">
        <v>0.43</v>
      </c>
      <c r="F354" s="8" t="n">
        <v>655</v>
      </c>
      <c r="G354" s="8" t="n">
        <v>26.1</v>
      </c>
      <c r="H354" s="8" t="n">
        <v>12.684</v>
      </c>
      <c r="I354" s="8" t="n">
        <v>0</v>
      </c>
      <c r="N354" s="8" t="n">
        <v>-1.125</v>
      </c>
      <c r="R354" s="9" t="str">
        <f aca="false">IF($D354="","",IF($F354&lt;&gt;"","N",IF($J354&lt;&gt;"","C","")))</f>
        <v>N</v>
      </c>
      <c r="S354" s="9" t="str">
        <f aca="false">IF($R354="","",$A354&amp;"|"&amp;$R354&amp;"|"&amp;$D354)</f>
        <v>16|N|1</v>
      </c>
    </row>
    <row r="355" customFormat="false" ht="15" hidden="false" customHeight="false" outlineLevel="0" collapsed="false">
      <c r="A355" s="8" t="n">
        <v>16</v>
      </c>
      <c r="B355" s="8" t="s">
        <v>189</v>
      </c>
      <c r="D355" s="8" t="n">
        <v>2</v>
      </c>
      <c r="E355" s="8" t="n">
        <v>0.43</v>
      </c>
      <c r="F355" s="8" t="n">
        <v>660</v>
      </c>
      <c r="G355" s="8" t="n">
        <v>26.1</v>
      </c>
      <c r="H355" s="8" t="n">
        <v>12.705</v>
      </c>
      <c r="I355" s="8" t="n">
        <v>1</v>
      </c>
      <c r="N355" s="8" t="n">
        <v>-1.25</v>
      </c>
      <c r="R355" s="9" t="str">
        <f aca="false">IF($D355="","",IF($F355&lt;&gt;"","N",IF($J355&lt;&gt;"","C","")))</f>
        <v>N</v>
      </c>
      <c r="S355" s="9" t="str">
        <f aca="false">IF($R355="","",$A355&amp;"|"&amp;$R355&amp;"|"&amp;$D355)</f>
        <v>16|N|2</v>
      </c>
    </row>
    <row r="356" customFormat="false" ht="15" hidden="false" customHeight="false" outlineLevel="0" collapsed="false">
      <c r="A356" s="8" t="n">
        <v>16</v>
      </c>
      <c r="B356" s="8" t="s">
        <v>189</v>
      </c>
      <c r="D356" s="8" t="n">
        <v>3</v>
      </c>
      <c r="E356" s="8" t="n">
        <v>0.43</v>
      </c>
      <c r="F356" s="8" t="n">
        <v>2907</v>
      </c>
      <c r="G356" s="8" t="n">
        <v>27.9</v>
      </c>
      <c r="H356" s="8" t="n">
        <v>50.157</v>
      </c>
      <c r="I356" s="8" t="n">
        <v>0</v>
      </c>
      <c r="N356" s="8" t="n">
        <v>19.262</v>
      </c>
      <c r="R356" s="9" t="str">
        <f aca="false">IF($D356="","",IF($F356&lt;&gt;"","N",IF($J356&lt;&gt;"","C","")))</f>
        <v>N</v>
      </c>
      <c r="S356" s="9" t="str">
        <f aca="false">IF($R356="","",$A356&amp;"|"&amp;$R356&amp;"|"&amp;$D356)</f>
        <v>16|N|3</v>
      </c>
    </row>
    <row r="357" customFormat="false" ht="15" hidden="false" customHeight="false" outlineLevel="0" collapsed="false">
      <c r="A357" s="8" t="n">
        <v>16</v>
      </c>
      <c r="B357" s="8" t="s">
        <v>189</v>
      </c>
      <c r="D357" s="8" t="n">
        <v>4</v>
      </c>
      <c r="E357" s="8" t="n">
        <v>0.43</v>
      </c>
      <c r="I357" s="8" t="n">
        <v>0</v>
      </c>
      <c r="J357" s="8" t="n">
        <v>2740</v>
      </c>
      <c r="K357" s="8" t="n">
        <v>61.156</v>
      </c>
      <c r="O357" s="8" t="n">
        <v>-3.422</v>
      </c>
      <c r="R357" s="9" t="str">
        <f aca="false">IF($D357="","",IF($F357&lt;&gt;"","N",IF($J357&lt;&gt;"","C","")))</f>
        <v>C</v>
      </c>
      <c r="S357" s="9" t="str">
        <f aca="false">IF($R357="","",$A357&amp;"|"&amp;$R357&amp;"|"&amp;$D357)</f>
        <v>16|C|4</v>
      </c>
    </row>
    <row r="358" customFormat="false" ht="15" hidden="false" customHeight="false" outlineLevel="0" collapsed="false">
      <c r="A358" s="8" t="n">
        <v>16</v>
      </c>
      <c r="B358" s="8" t="s">
        <v>189</v>
      </c>
      <c r="D358" s="8" t="n">
        <v>5</v>
      </c>
      <c r="E358" s="8" t="n">
        <v>0.43</v>
      </c>
      <c r="I358" s="8" t="n">
        <v>1</v>
      </c>
      <c r="J358" s="8" t="n">
        <v>4703</v>
      </c>
      <c r="K358" s="8" t="n">
        <v>88.485</v>
      </c>
      <c r="O358" s="8" t="n">
        <v>-25.22</v>
      </c>
      <c r="R358" s="9" t="str">
        <f aca="false">IF($D358="","",IF($F358&lt;&gt;"","N",IF($J358&lt;&gt;"","C","")))</f>
        <v>C</v>
      </c>
      <c r="S358" s="9" t="str">
        <f aca="false">IF($R358="","",$A358&amp;"|"&amp;$R358&amp;"|"&amp;$D358)</f>
        <v>16|C|5</v>
      </c>
    </row>
    <row r="359" customFormat="false" ht="15" hidden="false" customHeight="false" outlineLevel="0" collapsed="false">
      <c r="A359" s="8" t="n">
        <v>16</v>
      </c>
      <c r="B359" s="8" t="s">
        <v>189</v>
      </c>
      <c r="D359" s="8" t="n">
        <v>6</v>
      </c>
      <c r="E359" s="8" t="n">
        <v>0.43</v>
      </c>
      <c r="I359" s="8" t="n">
        <v>0</v>
      </c>
      <c r="J359" s="8" t="n">
        <v>4729</v>
      </c>
      <c r="K359" s="8" t="n">
        <v>88.511</v>
      </c>
      <c r="O359" s="8" t="n">
        <v>-25.368</v>
      </c>
      <c r="R359" s="9" t="str">
        <f aca="false">IF($D359="","",IF($F359&lt;&gt;"","N",IF($J359&lt;&gt;"","C","")))</f>
        <v>C</v>
      </c>
      <c r="S359" s="9" t="str">
        <f aca="false">IF($R359="","",$A359&amp;"|"&amp;$R359&amp;"|"&amp;$D359)</f>
        <v>16|C|6</v>
      </c>
    </row>
    <row r="360" customFormat="false" ht="15" hidden="false" customHeight="false" outlineLevel="0" collapsed="false">
      <c r="A360" s="8" t="n">
        <v>16</v>
      </c>
      <c r="B360" s="8" t="s">
        <v>189</v>
      </c>
      <c r="D360" s="8" t="n">
        <v>7</v>
      </c>
      <c r="E360" s="8" t="n">
        <v>0.43</v>
      </c>
      <c r="I360" s="8" t="n">
        <v>0</v>
      </c>
      <c r="J360" s="8" t="n">
        <v>4725</v>
      </c>
      <c r="K360" s="8" t="n">
        <v>88.8</v>
      </c>
      <c r="O360" s="8" t="n">
        <v>-25.444</v>
      </c>
      <c r="R360" s="9" t="str">
        <f aca="false">IF($D360="","",IF($F360&lt;&gt;"","N",IF($J360&lt;&gt;"","C","")))</f>
        <v>C</v>
      </c>
      <c r="S360" s="9" t="str">
        <f aca="false">IF($R360="","",$A360&amp;"|"&amp;$R360&amp;"|"&amp;$D360)</f>
        <v>16|C|7</v>
      </c>
    </row>
    <row r="361" customFormat="false" ht="15" hidden="false" customHeight="false" outlineLevel="0" collapsed="false">
      <c r="A361" s="8" t="n">
        <v>15</v>
      </c>
      <c r="B361" s="8" t="s">
        <v>189</v>
      </c>
      <c r="E361" s="8" t="n">
        <v>0.402</v>
      </c>
      <c r="L361" s="8" t="s">
        <v>53</v>
      </c>
      <c r="M361" s="8" t="s">
        <v>197</v>
      </c>
      <c r="P361" s="8" t="s">
        <v>198</v>
      </c>
      <c r="R361" s="9" t="str">
        <f aca="false">IF($D361="","",IF($F361&lt;&gt;"","N",IF($J361&lt;&gt;"","C","")))</f>
        <v/>
      </c>
      <c r="S361" s="9" t="str">
        <f aca="false">IF($R361="","",$A361&amp;"|"&amp;$R361&amp;"|"&amp;$D361)</f>
        <v/>
      </c>
    </row>
    <row r="362" customFormat="false" ht="15" hidden="false" customHeight="false" outlineLevel="0" collapsed="false">
      <c r="A362" s="8" t="n">
        <v>15</v>
      </c>
      <c r="B362" s="8" t="s">
        <v>189</v>
      </c>
      <c r="E362" s="8" t="n">
        <v>0.402</v>
      </c>
      <c r="L362" s="8" t="s">
        <v>59</v>
      </c>
      <c r="M362" s="8" t="s">
        <v>199</v>
      </c>
      <c r="P362" s="8" t="s">
        <v>116</v>
      </c>
      <c r="R362" s="9" t="str">
        <f aca="false">IF($D362="","",IF($F362&lt;&gt;"","N",IF($J362&lt;&gt;"","C","")))</f>
        <v/>
      </c>
      <c r="S362" s="9" t="str">
        <f aca="false">IF($R362="","",$A362&amp;"|"&amp;$R362&amp;"|"&amp;$D362)</f>
        <v/>
      </c>
    </row>
    <row r="363" customFormat="false" ht="15" hidden="false" customHeight="false" outlineLevel="0" collapsed="false">
      <c r="A363" s="8" t="n">
        <v>15</v>
      </c>
      <c r="B363" s="8" t="s">
        <v>189</v>
      </c>
      <c r="D363" s="8" t="n">
        <v>1</v>
      </c>
      <c r="E363" s="8" t="n">
        <v>0.402</v>
      </c>
      <c r="F363" s="8" t="n">
        <v>653</v>
      </c>
      <c r="G363" s="8" t="n">
        <v>26.5</v>
      </c>
      <c r="H363" s="8" t="n">
        <v>12.654</v>
      </c>
      <c r="I363" s="8" t="n">
        <v>0</v>
      </c>
      <c r="N363" s="8" t="n">
        <v>-1.275</v>
      </c>
      <c r="R363" s="9" t="str">
        <f aca="false">IF($D363="","",IF($F363&lt;&gt;"","N",IF($J363&lt;&gt;"","C","")))</f>
        <v>N</v>
      </c>
      <c r="S363" s="9" t="str">
        <f aca="false">IF($R363="","",$A363&amp;"|"&amp;$R363&amp;"|"&amp;$D363)</f>
        <v>15|N|1</v>
      </c>
    </row>
    <row r="364" customFormat="false" ht="15" hidden="false" customHeight="false" outlineLevel="0" collapsed="false">
      <c r="A364" s="8" t="n">
        <v>15</v>
      </c>
      <c r="B364" s="8" t="s">
        <v>189</v>
      </c>
      <c r="D364" s="8" t="n">
        <v>2</v>
      </c>
      <c r="E364" s="8" t="n">
        <v>0.402</v>
      </c>
      <c r="F364" s="8" t="n">
        <v>659</v>
      </c>
      <c r="G364" s="8" t="n">
        <v>26.4</v>
      </c>
      <c r="H364" s="8" t="n">
        <v>12.677</v>
      </c>
      <c r="I364" s="8" t="n">
        <v>1</v>
      </c>
      <c r="N364" s="8" t="n">
        <v>-1.25</v>
      </c>
      <c r="R364" s="9" t="str">
        <f aca="false">IF($D364="","",IF($F364&lt;&gt;"","N",IF($J364&lt;&gt;"","C","")))</f>
        <v>N</v>
      </c>
      <c r="S364" s="9" t="str">
        <f aca="false">IF($R364="","",$A364&amp;"|"&amp;$R364&amp;"|"&amp;$D364)</f>
        <v>15|N|2</v>
      </c>
    </row>
    <row r="365" customFormat="false" ht="15" hidden="false" customHeight="false" outlineLevel="0" collapsed="false">
      <c r="A365" s="8" t="n">
        <v>15</v>
      </c>
      <c r="B365" s="8" t="s">
        <v>189</v>
      </c>
      <c r="D365" s="8" t="n">
        <v>3</v>
      </c>
      <c r="E365" s="8" t="n">
        <v>0.402</v>
      </c>
      <c r="F365" s="8" t="n">
        <v>2745</v>
      </c>
      <c r="G365" s="8" t="n">
        <v>28.2</v>
      </c>
      <c r="H365" s="8" t="n">
        <v>47.392</v>
      </c>
      <c r="I365" s="8" t="n">
        <v>0</v>
      </c>
      <c r="N365" s="8" t="n">
        <v>19.505</v>
      </c>
      <c r="R365" s="9" t="str">
        <f aca="false">IF($D365="","",IF($F365&lt;&gt;"","N",IF($J365&lt;&gt;"","C","")))</f>
        <v>N</v>
      </c>
      <c r="S365" s="9" t="str">
        <f aca="false">IF($R365="","",$A365&amp;"|"&amp;$R365&amp;"|"&amp;$D365)</f>
        <v>15|N|3</v>
      </c>
    </row>
    <row r="366" customFormat="false" ht="15" hidden="false" customHeight="false" outlineLevel="0" collapsed="false">
      <c r="A366" s="8" t="n">
        <v>15</v>
      </c>
      <c r="B366" s="8" t="s">
        <v>189</v>
      </c>
      <c r="D366" s="8" t="n">
        <v>4</v>
      </c>
      <c r="E366" s="8" t="n">
        <v>0.402</v>
      </c>
      <c r="I366" s="8" t="n">
        <v>0</v>
      </c>
      <c r="J366" s="8" t="n">
        <v>2572</v>
      </c>
      <c r="K366" s="8" t="n">
        <v>57.172</v>
      </c>
      <c r="O366" s="8" t="n">
        <v>-3.399</v>
      </c>
      <c r="R366" s="9" t="str">
        <f aca="false">IF($D366="","",IF($F366&lt;&gt;"","N",IF($J366&lt;&gt;"","C","")))</f>
        <v>C</v>
      </c>
      <c r="S366" s="9" t="str">
        <f aca="false">IF($R366="","",$A366&amp;"|"&amp;$R366&amp;"|"&amp;$D366)</f>
        <v>15|C|4</v>
      </c>
    </row>
    <row r="367" customFormat="false" ht="15" hidden="false" customHeight="false" outlineLevel="0" collapsed="false">
      <c r="A367" s="8" t="n">
        <v>15</v>
      </c>
      <c r="B367" s="8" t="s">
        <v>189</v>
      </c>
      <c r="D367" s="8" t="n">
        <v>5</v>
      </c>
      <c r="E367" s="8" t="n">
        <v>0.402</v>
      </c>
      <c r="I367" s="8" t="n">
        <v>1</v>
      </c>
      <c r="J367" s="8" t="n">
        <v>4687</v>
      </c>
      <c r="K367" s="8" t="n">
        <v>88.565</v>
      </c>
      <c r="O367" s="8" t="n">
        <v>-25.22</v>
      </c>
      <c r="R367" s="9" t="str">
        <f aca="false">IF($D367="","",IF($F367&lt;&gt;"","N",IF($J367&lt;&gt;"","C","")))</f>
        <v>C</v>
      </c>
      <c r="S367" s="9" t="str">
        <f aca="false">IF($R367="","",$A367&amp;"|"&amp;$R367&amp;"|"&amp;$D367)</f>
        <v>15|C|5</v>
      </c>
    </row>
    <row r="368" customFormat="false" ht="15" hidden="false" customHeight="false" outlineLevel="0" collapsed="false">
      <c r="A368" s="8" t="n">
        <v>15</v>
      </c>
      <c r="B368" s="8" t="s">
        <v>189</v>
      </c>
      <c r="D368" s="8" t="n">
        <v>6</v>
      </c>
      <c r="E368" s="8" t="n">
        <v>0.402</v>
      </c>
      <c r="I368" s="8" t="n">
        <v>0</v>
      </c>
      <c r="J368" s="8" t="n">
        <v>4713</v>
      </c>
      <c r="K368" s="8" t="n">
        <v>88.664</v>
      </c>
      <c r="O368" s="8" t="n">
        <v>-25.384</v>
      </c>
      <c r="R368" s="9" t="str">
        <f aca="false">IF($D368="","",IF($F368&lt;&gt;"","N",IF($J368&lt;&gt;"","C","")))</f>
        <v>C</v>
      </c>
      <c r="S368" s="9" t="str">
        <f aca="false">IF($R368="","",$A368&amp;"|"&amp;$R368&amp;"|"&amp;$D368)</f>
        <v>15|C|6</v>
      </c>
    </row>
    <row r="369" customFormat="false" ht="15" hidden="false" customHeight="false" outlineLevel="0" collapsed="false">
      <c r="A369" s="8" t="n">
        <v>15</v>
      </c>
      <c r="B369" s="8" t="s">
        <v>189</v>
      </c>
      <c r="D369" s="8" t="n">
        <v>7</v>
      </c>
      <c r="E369" s="8" t="n">
        <v>0.402</v>
      </c>
      <c r="I369" s="8" t="n">
        <v>0</v>
      </c>
      <c r="J369" s="8" t="n">
        <v>4716</v>
      </c>
      <c r="K369" s="8" t="n">
        <v>88.684</v>
      </c>
      <c r="O369" s="8" t="n">
        <v>-25.45</v>
      </c>
      <c r="R369" s="9" t="str">
        <f aca="false">IF($D369="","",IF($F369&lt;&gt;"","N",IF($J369&lt;&gt;"","C","")))</f>
        <v>C</v>
      </c>
      <c r="S369" s="9" t="str">
        <f aca="false">IF($R369="","",$A369&amp;"|"&amp;$R369&amp;"|"&amp;$D369)</f>
        <v>15|C|7</v>
      </c>
    </row>
    <row r="370" customFormat="false" ht="15" hidden="false" customHeight="false" outlineLevel="0" collapsed="false">
      <c r="A370" s="8" t="n">
        <v>14</v>
      </c>
      <c r="B370" s="8" t="s">
        <v>200</v>
      </c>
      <c r="E370" s="8" t="n">
        <v>0.428</v>
      </c>
      <c r="L370" s="8" t="s">
        <v>53</v>
      </c>
      <c r="M370" s="8" t="s">
        <v>201</v>
      </c>
      <c r="P370" s="8" t="s">
        <v>202</v>
      </c>
      <c r="R370" s="9" t="str">
        <f aca="false">IF($D370="","",IF($F370&lt;&gt;"","N",IF($J370&lt;&gt;"","C","")))</f>
        <v/>
      </c>
      <c r="S370" s="9" t="str">
        <f aca="false">IF($R370="","",$A370&amp;"|"&amp;$R370&amp;"|"&amp;$D370)</f>
        <v/>
      </c>
    </row>
    <row r="371" customFormat="false" ht="15" hidden="false" customHeight="false" outlineLevel="0" collapsed="false">
      <c r="A371" s="8" t="n">
        <v>14</v>
      </c>
      <c r="B371" s="8" t="s">
        <v>200</v>
      </c>
      <c r="E371" s="8" t="n">
        <v>0.428</v>
      </c>
      <c r="L371" s="8" t="s">
        <v>59</v>
      </c>
      <c r="M371" s="8" t="s">
        <v>203</v>
      </c>
      <c r="P371" s="8" t="s">
        <v>204</v>
      </c>
      <c r="R371" s="9" t="str">
        <f aca="false">IF($D371="","",IF($F371&lt;&gt;"","N",IF($J371&lt;&gt;"","C","")))</f>
        <v/>
      </c>
      <c r="S371" s="9" t="str">
        <f aca="false">IF($R371="","",$A371&amp;"|"&amp;$R371&amp;"|"&amp;$D371)</f>
        <v/>
      </c>
    </row>
    <row r="372" customFormat="false" ht="15" hidden="false" customHeight="false" outlineLevel="0" collapsed="false">
      <c r="A372" s="8" t="n">
        <v>14</v>
      </c>
      <c r="B372" s="8" t="s">
        <v>200</v>
      </c>
      <c r="D372" s="8" t="n">
        <v>1</v>
      </c>
      <c r="E372" s="8" t="n">
        <v>0.428</v>
      </c>
      <c r="F372" s="8" t="n">
        <v>653</v>
      </c>
      <c r="G372" s="8" t="n">
        <v>26.7</v>
      </c>
      <c r="H372" s="8" t="n">
        <v>12.653</v>
      </c>
      <c r="I372" s="8" t="n">
        <v>0</v>
      </c>
      <c r="N372" s="8" t="n">
        <v>-1.237</v>
      </c>
      <c r="R372" s="9" t="str">
        <f aca="false">IF($D372="","",IF($F372&lt;&gt;"","N",IF($J372&lt;&gt;"","C","")))</f>
        <v>N</v>
      </c>
      <c r="S372" s="9" t="str">
        <f aca="false">IF($R372="","",$A372&amp;"|"&amp;$R372&amp;"|"&amp;$D372)</f>
        <v>14|N|1</v>
      </c>
    </row>
    <row r="373" customFormat="false" ht="15" hidden="false" customHeight="false" outlineLevel="0" collapsed="false">
      <c r="A373" s="8" t="n">
        <v>14</v>
      </c>
      <c r="B373" s="8" t="s">
        <v>200</v>
      </c>
      <c r="D373" s="8" t="n">
        <v>2</v>
      </c>
      <c r="E373" s="8" t="n">
        <v>0.428</v>
      </c>
      <c r="F373" s="8" t="n">
        <v>657</v>
      </c>
      <c r="G373" s="8" t="n">
        <v>26.7</v>
      </c>
      <c r="H373" s="8" t="n">
        <v>12.658</v>
      </c>
      <c r="I373" s="8" t="n">
        <v>1</v>
      </c>
      <c r="N373" s="8" t="n">
        <v>-1.25</v>
      </c>
      <c r="R373" s="9" t="str">
        <f aca="false">IF($D373="","",IF($F373&lt;&gt;"","N",IF($J373&lt;&gt;"","C","")))</f>
        <v>N</v>
      </c>
      <c r="S373" s="9" t="str">
        <f aca="false">IF($R373="","",$A373&amp;"|"&amp;$R373&amp;"|"&amp;$D373)</f>
        <v>14|N|2</v>
      </c>
    </row>
    <row r="374" customFormat="false" ht="15" hidden="false" customHeight="false" outlineLevel="0" collapsed="false">
      <c r="A374" s="8" t="n">
        <v>14</v>
      </c>
      <c r="B374" s="8" t="s">
        <v>200</v>
      </c>
      <c r="D374" s="8" t="n">
        <v>3</v>
      </c>
      <c r="E374" s="8" t="n">
        <v>0.428</v>
      </c>
      <c r="F374" s="8" t="n">
        <v>1666</v>
      </c>
      <c r="G374" s="8" t="n">
        <v>28.6</v>
      </c>
      <c r="H374" s="8" t="n">
        <v>28.701</v>
      </c>
      <c r="I374" s="8" t="n">
        <v>0</v>
      </c>
      <c r="N374" s="8" t="n">
        <v>-5.744</v>
      </c>
      <c r="R374" s="9" t="str">
        <f aca="false">IF($D374="","",IF($F374&lt;&gt;"","N",IF($J374&lt;&gt;"","C","")))</f>
        <v>N</v>
      </c>
      <c r="S374" s="9" t="str">
        <f aca="false">IF($R374="","",$A374&amp;"|"&amp;$R374&amp;"|"&amp;$D374)</f>
        <v>14|N|3</v>
      </c>
    </row>
    <row r="375" customFormat="false" ht="15" hidden="false" customHeight="false" outlineLevel="0" collapsed="false">
      <c r="A375" s="8" t="n">
        <v>14</v>
      </c>
      <c r="B375" s="8" t="s">
        <v>200</v>
      </c>
      <c r="D375" s="8" t="n">
        <v>4</v>
      </c>
      <c r="E375" s="8" t="n">
        <v>0.428</v>
      </c>
      <c r="I375" s="8" t="n">
        <v>0</v>
      </c>
      <c r="J375" s="8" t="n">
        <v>6002</v>
      </c>
      <c r="K375" s="8" t="n">
        <v>136.908</v>
      </c>
      <c r="O375" s="8" t="n">
        <v>-9.583</v>
      </c>
      <c r="R375" s="9" t="str">
        <f aca="false">IF($D375="","",IF($F375&lt;&gt;"","N",IF($J375&lt;&gt;"","C","")))</f>
        <v>C</v>
      </c>
      <c r="S375" s="9" t="str">
        <f aca="false">IF($R375="","",$A375&amp;"|"&amp;$R375&amp;"|"&amp;$D375)</f>
        <v>14|C|4</v>
      </c>
    </row>
    <row r="376" customFormat="false" ht="15" hidden="false" customHeight="false" outlineLevel="0" collapsed="false">
      <c r="A376" s="8" t="n">
        <v>14</v>
      </c>
      <c r="B376" s="8" t="s">
        <v>200</v>
      </c>
      <c r="D376" s="8" t="n">
        <v>5</v>
      </c>
      <c r="E376" s="8" t="n">
        <v>0.428</v>
      </c>
      <c r="I376" s="8" t="n">
        <v>1</v>
      </c>
      <c r="J376" s="8" t="n">
        <v>4703</v>
      </c>
      <c r="K376" s="8" t="n">
        <v>88.498</v>
      </c>
      <c r="O376" s="8" t="n">
        <v>-25.22</v>
      </c>
      <c r="R376" s="9" t="str">
        <f aca="false">IF($D376="","",IF($F376&lt;&gt;"","N",IF($J376&lt;&gt;"","C","")))</f>
        <v>C</v>
      </c>
      <c r="S376" s="9" t="str">
        <f aca="false">IF($R376="","",$A376&amp;"|"&amp;$R376&amp;"|"&amp;$D376)</f>
        <v>14|C|5</v>
      </c>
    </row>
    <row r="377" customFormat="false" ht="15" hidden="false" customHeight="false" outlineLevel="0" collapsed="false">
      <c r="A377" s="8" t="n">
        <v>14</v>
      </c>
      <c r="B377" s="8" t="s">
        <v>200</v>
      </c>
      <c r="D377" s="8" t="n">
        <v>6</v>
      </c>
      <c r="E377" s="8" t="n">
        <v>0.428</v>
      </c>
      <c r="I377" s="8" t="n">
        <v>0</v>
      </c>
      <c r="J377" s="8" t="n">
        <v>4718</v>
      </c>
      <c r="K377" s="8" t="n">
        <v>88.592</v>
      </c>
      <c r="O377" s="8" t="n">
        <v>-25.377</v>
      </c>
      <c r="R377" s="9" t="str">
        <f aca="false">IF($D377="","",IF($F377&lt;&gt;"","N",IF($J377&lt;&gt;"","C","")))</f>
        <v>C</v>
      </c>
      <c r="S377" s="9" t="str">
        <f aca="false">IF($R377="","",$A377&amp;"|"&amp;$R377&amp;"|"&amp;$D377)</f>
        <v>14|C|6</v>
      </c>
    </row>
    <row r="378" customFormat="false" ht="15" hidden="false" customHeight="false" outlineLevel="0" collapsed="false">
      <c r="A378" s="8" t="n">
        <v>14</v>
      </c>
      <c r="B378" s="8" t="s">
        <v>200</v>
      </c>
      <c r="D378" s="8" t="n">
        <v>7</v>
      </c>
      <c r="E378" s="8" t="n">
        <v>0.428</v>
      </c>
      <c r="I378" s="8" t="n">
        <v>0</v>
      </c>
      <c r="J378" s="8" t="n">
        <v>4713</v>
      </c>
      <c r="K378" s="8" t="n">
        <v>88.712</v>
      </c>
      <c r="O378" s="8" t="n">
        <v>-25.446</v>
      </c>
      <c r="R378" s="9" t="str">
        <f aca="false">IF($D378="","",IF($F378&lt;&gt;"","N",IF($J378&lt;&gt;"","C","")))</f>
        <v>C</v>
      </c>
      <c r="S378" s="9" t="str">
        <f aca="false">IF($R378="","",$A378&amp;"|"&amp;$R378&amp;"|"&amp;$D378)</f>
        <v>14|C|7</v>
      </c>
    </row>
    <row r="379" customFormat="false" ht="15" hidden="false" customHeight="false" outlineLevel="0" collapsed="false">
      <c r="A379" s="8" t="n">
        <v>13</v>
      </c>
      <c r="B379" s="8" t="s">
        <v>205</v>
      </c>
      <c r="E379" s="8" t="n">
        <v>0.389</v>
      </c>
      <c r="L379" s="8" t="s">
        <v>53</v>
      </c>
      <c r="M379" s="8" t="s">
        <v>206</v>
      </c>
      <c r="P379" s="8" t="s">
        <v>207</v>
      </c>
      <c r="R379" s="9" t="str">
        <f aca="false">IF($D379="","",IF($F379&lt;&gt;"","N",IF($J379&lt;&gt;"","C","")))</f>
        <v/>
      </c>
      <c r="S379" s="9" t="str">
        <f aca="false">IF($R379="","",$A379&amp;"|"&amp;$R379&amp;"|"&amp;$D379)</f>
        <v/>
      </c>
    </row>
    <row r="380" customFormat="false" ht="15" hidden="false" customHeight="false" outlineLevel="0" collapsed="false">
      <c r="A380" s="8" t="n">
        <v>13</v>
      </c>
      <c r="B380" s="8" t="s">
        <v>205</v>
      </c>
      <c r="E380" s="8" t="n">
        <v>0.389</v>
      </c>
      <c r="L380" s="8" t="s">
        <v>59</v>
      </c>
      <c r="M380" s="8" t="s">
        <v>208</v>
      </c>
      <c r="P380" s="8" t="s">
        <v>209</v>
      </c>
      <c r="R380" s="9" t="str">
        <f aca="false">IF($D380="","",IF($F380&lt;&gt;"","N",IF($J380&lt;&gt;"","C","")))</f>
        <v/>
      </c>
      <c r="S380" s="9" t="str">
        <f aca="false">IF($R380="","",$A380&amp;"|"&amp;$R380&amp;"|"&amp;$D380)</f>
        <v/>
      </c>
    </row>
    <row r="381" customFormat="false" ht="15" hidden="false" customHeight="false" outlineLevel="0" collapsed="false">
      <c r="A381" s="8" t="n">
        <v>13</v>
      </c>
      <c r="B381" s="8" t="s">
        <v>205</v>
      </c>
      <c r="D381" s="8" t="n">
        <v>1</v>
      </c>
      <c r="E381" s="8" t="n">
        <v>0.389</v>
      </c>
      <c r="F381" s="8" t="n">
        <v>651</v>
      </c>
      <c r="G381" s="8" t="n">
        <v>27</v>
      </c>
      <c r="H381" s="8" t="n">
        <v>12.624</v>
      </c>
      <c r="I381" s="8" t="n">
        <v>0</v>
      </c>
      <c r="N381" s="8" t="n">
        <v>-1.266</v>
      </c>
      <c r="R381" s="9" t="str">
        <f aca="false">IF($D381="","",IF($F381&lt;&gt;"","N",IF($J381&lt;&gt;"","C","")))</f>
        <v>N</v>
      </c>
      <c r="S381" s="9" t="str">
        <f aca="false">IF($R381="","",$A381&amp;"|"&amp;$R381&amp;"|"&amp;$D381)</f>
        <v>13|N|1</v>
      </c>
    </row>
    <row r="382" customFormat="false" ht="15" hidden="false" customHeight="false" outlineLevel="0" collapsed="false">
      <c r="A382" s="8" t="n">
        <v>13</v>
      </c>
      <c r="B382" s="8" t="s">
        <v>205</v>
      </c>
      <c r="D382" s="8" t="n">
        <v>2</v>
      </c>
      <c r="E382" s="8" t="n">
        <v>0.389</v>
      </c>
      <c r="F382" s="8" t="n">
        <v>656</v>
      </c>
      <c r="G382" s="8" t="n">
        <v>27</v>
      </c>
      <c r="H382" s="8" t="n">
        <v>12.641</v>
      </c>
      <c r="I382" s="8" t="n">
        <v>1</v>
      </c>
      <c r="N382" s="8" t="n">
        <v>-1.25</v>
      </c>
      <c r="R382" s="9" t="str">
        <f aca="false">IF($D382="","",IF($F382&lt;&gt;"","N",IF($J382&lt;&gt;"","C","")))</f>
        <v>N</v>
      </c>
      <c r="S382" s="9" t="str">
        <f aca="false">IF($R382="","",$A382&amp;"|"&amp;$R382&amp;"|"&amp;$D382)</f>
        <v>13|N|2</v>
      </c>
    </row>
    <row r="383" customFormat="false" ht="15" hidden="false" customHeight="false" outlineLevel="0" collapsed="false">
      <c r="A383" s="8" t="n">
        <v>13</v>
      </c>
      <c r="B383" s="8" t="s">
        <v>205</v>
      </c>
      <c r="D383" s="8" t="n">
        <v>3</v>
      </c>
      <c r="E383" s="8" t="n">
        <v>0.389</v>
      </c>
      <c r="F383" s="8" t="n">
        <v>2667</v>
      </c>
      <c r="G383" s="8" t="n">
        <v>29</v>
      </c>
      <c r="H383" s="8" t="n">
        <v>46.173</v>
      </c>
      <c r="I383" s="8" t="n">
        <v>0</v>
      </c>
      <c r="N383" s="8" t="n">
        <v>0.888</v>
      </c>
      <c r="R383" s="9" t="str">
        <f aca="false">IF($D383="","",IF($F383&lt;&gt;"","N",IF($J383&lt;&gt;"","C","")))</f>
        <v>N</v>
      </c>
      <c r="S383" s="9" t="str">
        <f aca="false">IF($R383="","",$A383&amp;"|"&amp;$R383&amp;"|"&amp;$D383)</f>
        <v>13|N|3</v>
      </c>
    </row>
    <row r="384" customFormat="false" ht="15" hidden="false" customHeight="false" outlineLevel="0" collapsed="false">
      <c r="A384" s="8" t="n">
        <v>13</v>
      </c>
      <c r="B384" s="8" t="s">
        <v>205</v>
      </c>
      <c r="D384" s="8" t="n">
        <v>4</v>
      </c>
      <c r="E384" s="8" t="n">
        <v>0.389</v>
      </c>
      <c r="I384" s="8" t="n">
        <v>0</v>
      </c>
      <c r="J384" s="8" t="n">
        <v>2543</v>
      </c>
      <c r="K384" s="8" t="n">
        <v>55.493</v>
      </c>
      <c r="O384" s="8" t="n">
        <v>-23.656</v>
      </c>
      <c r="R384" s="9" t="str">
        <f aca="false">IF($D384="","",IF($F384&lt;&gt;"","N",IF($J384&lt;&gt;"","C","")))</f>
        <v>C</v>
      </c>
      <c r="S384" s="9" t="str">
        <f aca="false">IF($R384="","",$A384&amp;"|"&amp;$R384&amp;"|"&amp;$D384)</f>
        <v>13|C|4</v>
      </c>
    </row>
    <row r="385" customFormat="false" ht="15" hidden="false" customHeight="false" outlineLevel="0" collapsed="false">
      <c r="A385" s="8" t="n">
        <v>13</v>
      </c>
      <c r="B385" s="8" t="s">
        <v>205</v>
      </c>
      <c r="D385" s="8" t="n">
        <v>5</v>
      </c>
      <c r="E385" s="8" t="n">
        <v>0.389</v>
      </c>
      <c r="I385" s="8" t="n">
        <v>1</v>
      </c>
      <c r="J385" s="8" t="n">
        <v>4684</v>
      </c>
      <c r="K385" s="8" t="n">
        <v>88.395</v>
      </c>
      <c r="O385" s="8" t="n">
        <v>-25.22</v>
      </c>
      <c r="R385" s="9" t="str">
        <f aca="false">IF($D385="","",IF($F385&lt;&gt;"","N",IF($J385&lt;&gt;"","C","")))</f>
        <v>C</v>
      </c>
      <c r="S385" s="9" t="str">
        <f aca="false">IF($R385="","",$A385&amp;"|"&amp;$R385&amp;"|"&amp;$D385)</f>
        <v>13|C|5</v>
      </c>
    </row>
    <row r="386" customFormat="false" ht="15" hidden="false" customHeight="false" outlineLevel="0" collapsed="false">
      <c r="A386" s="8" t="n">
        <v>13</v>
      </c>
      <c r="B386" s="8" t="s">
        <v>205</v>
      </c>
      <c r="D386" s="8" t="n">
        <v>6</v>
      </c>
      <c r="E386" s="8" t="n">
        <v>0.389</v>
      </c>
      <c r="I386" s="8" t="n">
        <v>0</v>
      </c>
      <c r="J386" s="8" t="n">
        <v>4709</v>
      </c>
      <c r="K386" s="8" t="n">
        <v>88.489</v>
      </c>
      <c r="O386" s="8" t="n">
        <v>-25.393</v>
      </c>
      <c r="R386" s="9" t="str">
        <f aca="false">IF($D386="","",IF($F386&lt;&gt;"","N",IF($J386&lt;&gt;"","C","")))</f>
        <v>C</v>
      </c>
      <c r="S386" s="9" t="str">
        <f aca="false">IF($R386="","",$A386&amp;"|"&amp;$R386&amp;"|"&amp;$D386)</f>
        <v>13|C|6</v>
      </c>
    </row>
    <row r="387" customFormat="false" ht="15" hidden="false" customHeight="false" outlineLevel="0" collapsed="false">
      <c r="A387" s="8" t="n">
        <v>13</v>
      </c>
      <c r="B387" s="8" t="s">
        <v>205</v>
      </c>
      <c r="D387" s="8" t="n">
        <v>7</v>
      </c>
      <c r="E387" s="8" t="n">
        <v>0.389</v>
      </c>
      <c r="I387" s="8" t="n">
        <v>0</v>
      </c>
      <c r="J387" s="8" t="n">
        <v>4726</v>
      </c>
      <c r="K387" s="8" t="n">
        <v>88.502</v>
      </c>
      <c r="O387" s="8" t="n">
        <v>-25.489</v>
      </c>
      <c r="R387" s="9" t="str">
        <f aca="false">IF($D387="","",IF($F387&lt;&gt;"","N",IF($J387&lt;&gt;"","C","")))</f>
        <v>C</v>
      </c>
      <c r="S387" s="9" t="str">
        <f aca="false">IF($R387="","",$A387&amp;"|"&amp;$R387&amp;"|"&amp;$D387)</f>
        <v>13|C|7</v>
      </c>
    </row>
    <row r="388" customFormat="false" ht="15" hidden="false" customHeight="false" outlineLevel="0" collapsed="false">
      <c r="A388" s="8" t="n">
        <v>12</v>
      </c>
      <c r="B388" s="8" t="s">
        <v>205</v>
      </c>
      <c r="E388" s="8" t="n">
        <v>0.409</v>
      </c>
      <c r="L388" s="8" t="s">
        <v>53</v>
      </c>
      <c r="M388" s="8" t="s">
        <v>210</v>
      </c>
      <c r="P388" s="8" t="s">
        <v>211</v>
      </c>
      <c r="R388" s="9" t="str">
        <f aca="false">IF($D388="","",IF($F388&lt;&gt;"","N",IF($J388&lt;&gt;"","C","")))</f>
        <v/>
      </c>
      <c r="S388" s="9" t="str">
        <f aca="false">IF($R388="","",$A388&amp;"|"&amp;$R388&amp;"|"&amp;$D388)</f>
        <v/>
      </c>
    </row>
    <row r="389" customFormat="false" ht="15" hidden="false" customHeight="false" outlineLevel="0" collapsed="false">
      <c r="A389" s="8" t="n">
        <v>12</v>
      </c>
      <c r="B389" s="8" t="s">
        <v>205</v>
      </c>
      <c r="E389" s="8" t="n">
        <v>0.409</v>
      </c>
      <c r="L389" s="8" t="s">
        <v>59</v>
      </c>
      <c r="M389" s="8" t="s">
        <v>212</v>
      </c>
      <c r="P389" s="8" t="s">
        <v>213</v>
      </c>
      <c r="R389" s="9" t="str">
        <f aca="false">IF($D389="","",IF($F389&lt;&gt;"","N",IF($J389&lt;&gt;"","C","")))</f>
        <v/>
      </c>
      <c r="S389" s="9" t="str">
        <f aca="false">IF($R389="","",$A389&amp;"|"&amp;$R389&amp;"|"&amp;$D389)</f>
        <v/>
      </c>
    </row>
    <row r="390" customFormat="false" ht="15" hidden="false" customHeight="false" outlineLevel="0" collapsed="false">
      <c r="A390" s="8" t="n">
        <v>12</v>
      </c>
      <c r="B390" s="8" t="s">
        <v>205</v>
      </c>
      <c r="D390" s="8" t="n">
        <v>1</v>
      </c>
      <c r="E390" s="8" t="n">
        <v>0.409</v>
      </c>
      <c r="F390" s="8" t="n">
        <v>650</v>
      </c>
      <c r="G390" s="8" t="n">
        <v>27.4</v>
      </c>
      <c r="H390" s="8" t="n">
        <v>12.588</v>
      </c>
      <c r="I390" s="8" t="n">
        <v>0</v>
      </c>
      <c r="N390" s="8" t="n">
        <v>-1.129</v>
      </c>
      <c r="R390" s="9" t="str">
        <f aca="false">IF($D390="","",IF($F390&lt;&gt;"","N",IF($J390&lt;&gt;"","C","")))</f>
        <v>N</v>
      </c>
      <c r="S390" s="9" t="str">
        <f aca="false">IF($R390="","",$A390&amp;"|"&amp;$R390&amp;"|"&amp;$D390)</f>
        <v>12|N|1</v>
      </c>
    </row>
    <row r="391" customFormat="false" ht="15" hidden="false" customHeight="false" outlineLevel="0" collapsed="false">
      <c r="A391" s="8" t="n">
        <v>12</v>
      </c>
      <c r="B391" s="8" t="s">
        <v>205</v>
      </c>
      <c r="D391" s="8" t="n">
        <v>2</v>
      </c>
      <c r="E391" s="8" t="n">
        <v>0.409</v>
      </c>
      <c r="F391" s="8" t="n">
        <v>655</v>
      </c>
      <c r="G391" s="8" t="n">
        <v>27.3</v>
      </c>
      <c r="H391" s="8" t="n">
        <v>12.595</v>
      </c>
      <c r="I391" s="8" t="n">
        <v>1</v>
      </c>
      <c r="N391" s="8" t="n">
        <v>-1.25</v>
      </c>
      <c r="R391" s="9" t="str">
        <f aca="false">IF($D391="","",IF($F391&lt;&gt;"","N",IF($J391&lt;&gt;"","C","")))</f>
        <v>N</v>
      </c>
      <c r="S391" s="9" t="str">
        <f aca="false">IF($R391="","",$A391&amp;"|"&amp;$R391&amp;"|"&amp;$D391)</f>
        <v>12|N|2</v>
      </c>
    </row>
    <row r="392" customFormat="false" ht="15" hidden="false" customHeight="false" outlineLevel="0" collapsed="false">
      <c r="A392" s="8" t="n">
        <v>12</v>
      </c>
      <c r="B392" s="8" t="s">
        <v>205</v>
      </c>
      <c r="D392" s="8" t="n">
        <v>3</v>
      </c>
      <c r="E392" s="8" t="n">
        <v>0.409</v>
      </c>
      <c r="F392" s="8" t="n">
        <v>2800</v>
      </c>
      <c r="G392" s="8" t="n">
        <v>29.5</v>
      </c>
      <c r="H392" s="8" t="n">
        <v>48.488</v>
      </c>
      <c r="I392" s="8" t="n">
        <v>0</v>
      </c>
      <c r="N392" s="8" t="n">
        <v>1.272</v>
      </c>
      <c r="R392" s="9" t="str">
        <f aca="false">IF($D392="","",IF($F392&lt;&gt;"","N",IF($J392&lt;&gt;"","C","")))</f>
        <v>N</v>
      </c>
      <c r="S392" s="9" t="str">
        <f aca="false">IF($R392="","",$A392&amp;"|"&amp;$R392&amp;"|"&amp;$D392)</f>
        <v>12|N|3</v>
      </c>
    </row>
    <row r="393" customFormat="false" ht="15" hidden="false" customHeight="false" outlineLevel="0" collapsed="false">
      <c r="A393" s="8" t="n">
        <v>12</v>
      </c>
      <c r="B393" s="8" t="s">
        <v>205</v>
      </c>
      <c r="D393" s="8" t="n">
        <v>4</v>
      </c>
      <c r="E393" s="8" t="n">
        <v>0.409</v>
      </c>
      <c r="I393" s="8" t="n">
        <v>0</v>
      </c>
      <c r="J393" s="8" t="n">
        <v>2636</v>
      </c>
      <c r="K393" s="8" t="n">
        <v>57.934</v>
      </c>
      <c r="O393" s="8" t="n">
        <v>-23.686</v>
      </c>
      <c r="R393" s="9" t="str">
        <f aca="false">IF($D393="","",IF($F393&lt;&gt;"","N",IF($J393&lt;&gt;"","C","")))</f>
        <v>C</v>
      </c>
      <c r="S393" s="9" t="str">
        <f aca="false">IF($R393="","",$A393&amp;"|"&amp;$R393&amp;"|"&amp;$D393)</f>
        <v>12|C|4</v>
      </c>
    </row>
    <row r="394" customFormat="false" ht="15" hidden="false" customHeight="false" outlineLevel="0" collapsed="false">
      <c r="A394" s="8" t="n">
        <v>12</v>
      </c>
      <c r="B394" s="8" t="s">
        <v>205</v>
      </c>
      <c r="D394" s="8" t="n">
        <v>5</v>
      </c>
      <c r="E394" s="8" t="n">
        <v>0.409</v>
      </c>
      <c r="I394" s="8" t="n">
        <v>1</v>
      </c>
      <c r="J394" s="8" t="n">
        <v>4705</v>
      </c>
      <c r="K394" s="8" t="n">
        <v>88.348</v>
      </c>
      <c r="O394" s="8" t="n">
        <v>-25.22</v>
      </c>
      <c r="R394" s="9" t="str">
        <f aca="false">IF($D394="","",IF($F394&lt;&gt;"","N",IF($J394&lt;&gt;"","C","")))</f>
        <v>C</v>
      </c>
      <c r="S394" s="9" t="str">
        <f aca="false">IF($R394="","",$A394&amp;"|"&amp;$R394&amp;"|"&amp;$D394)</f>
        <v>12|C|5</v>
      </c>
    </row>
    <row r="395" customFormat="false" ht="15" hidden="false" customHeight="false" outlineLevel="0" collapsed="false">
      <c r="A395" s="8" t="n">
        <v>12</v>
      </c>
      <c r="B395" s="8" t="s">
        <v>205</v>
      </c>
      <c r="D395" s="8" t="n">
        <v>6</v>
      </c>
      <c r="E395" s="8" t="n">
        <v>0.409</v>
      </c>
      <c r="I395" s="8" t="n">
        <v>0</v>
      </c>
      <c r="J395" s="8" t="n">
        <v>4708</v>
      </c>
      <c r="K395" s="8" t="n">
        <v>88.476</v>
      </c>
      <c r="O395" s="8" t="n">
        <v>-25.396</v>
      </c>
      <c r="R395" s="9" t="str">
        <f aca="false">IF($D395="","",IF($F395&lt;&gt;"","N",IF($J395&lt;&gt;"","C","")))</f>
        <v>C</v>
      </c>
      <c r="S395" s="9" t="str">
        <f aca="false">IF($R395="","",$A395&amp;"|"&amp;$R395&amp;"|"&amp;$D395)</f>
        <v>12|C|6</v>
      </c>
    </row>
    <row r="396" customFormat="false" ht="15" hidden="false" customHeight="false" outlineLevel="0" collapsed="false">
      <c r="A396" s="8" t="n">
        <v>12</v>
      </c>
      <c r="B396" s="8" t="s">
        <v>205</v>
      </c>
      <c r="D396" s="8" t="n">
        <v>7</v>
      </c>
      <c r="E396" s="8" t="n">
        <v>0.409</v>
      </c>
      <c r="I396" s="8" t="n">
        <v>0</v>
      </c>
      <c r="J396" s="8" t="n">
        <v>4704</v>
      </c>
      <c r="K396" s="8" t="n">
        <v>88.507</v>
      </c>
      <c r="O396" s="8" t="n">
        <v>-25.47</v>
      </c>
      <c r="R396" s="9" t="str">
        <f aca="false">IF($D396="","",IF($F396&lt;&gt;"","N",IF($J396&lt;&gt;"","C","")))</f>
        <v>C</v>
      </c>
      <c r="S396" s="9" t="str">
        <f aca="false">IF($R396="","",$A396&amp;"|"&amp;$R396&amp;"|"&amp;$D396)</f>
        <v>12|C|7</v>
      </c>
    </row>
    <row r="397" customFormat="false" ht="15" hidden="false" customHeight="false" outlineLevel="0" collapsed="false">
      <c r="A397" s="8" t="n">
        <v>11</v>
      </c>
      <c r="B397" s="8" t="s">
        <v>205</v>
      </c>
      <c r="E397" s="8" t="n">
        <v>0.397</v>
      </c>
      <c r="L397" s="8" t="s">
        <v>53</v>
      </c>
      <c r="M397" s="8" t="s">
        <v>214</v>
      </c>
      <c r="P397" s="8" t="s">
        <v>215</v>
      </c>
      <c r="R397" s="9" t="str">
        <f aca="false">IF($D397="","",IF($F397&lt;&gt;"","N",IF($J397&lt;&gt;"","C","")))</f>
        <v/>
      </c>
      <c r="S397" s="9" t="str">
        <f aca="false">IF($R397="","",$A397&amp;"|"&amp;$R397&amp;"|"&amp;$D397)</f>
        <v/>
      </c>
    </row>
    <row r="398" customFormat="false" ht="15" hidden="false" customHeight="false" outlineLevel="0" collapsed="false">
      <c r="A398" s="8" t="n">
        <v>11</v>
      </c>
      <c r="B398" s="8" t="s">
        <v>205</v>
      </c>
      <c r="E398" s="8" t="n">
        <v>0.397</v>
      </c>
      <c r="L398" s="8" t="s">
        <v>59</v>
      </c>
      <c r="M398" s="8" t="s">
        <v>216</v>
      </c>
      <c r="P398" s="8" t="s">
        <v>217</v>
      </c>
      <c r="R398" s="9" t="str">
        <f aca="false">IF($D398="","",IF($F398&lt;&gt;"","N",IF($J398&lt;&gt;"","C","")))</f>
        <v/>
      </c>
      <c r="S398" s="9" t="str">
        <f aca="false">IF($R398="","",$A398&amp;"|"&amp;$R398&amp;"|"&amp;$D398)</f>
        <v/>
      </c>
    </row>
    <row r="399" customFormat="false" ht="15" hidden="false" customHeight="false" outlineLevel="0" collapsed="false">
      <c r="A399" s="8" t="n">
        <v>11</v>
      </c>
      <c r="B399" s="8" t="s">
        <v>205</v>
      </c>
      <c r="D399" s="8" t="n">
        <v>1</v>
      </c>
      <c r="E399" s="8" t="n">
        <v>0.397</v>
      </c>
      <c r="F399" s="8" t="n">
        <v>650</v>
      </c>
      <c r="G399" s="8" t="n">
        <v>27.8</v>
      </c>
      <c r="H399" s="8" t="n">
        <v>12.577</v>
      </c>
      <c r="I399" s="8" t="n">
        <v>0</v>
      </c>
      <c r="N399" s="8" t="n">
        <v>-1.203</v>
      </c>
      <c r="R399" s="9" t="str">
        <f aca="false">IF($D399="","",IF($F399&lt;&gt;"","N",IF($J399&lt;&gt;"","C","")))</f>
        <v>N</v>
      </c>
      <c r="S399" s="9" t="str">
        <f aca="false">IF($R399="","",$A399&amp;"|"&amp;$R399&amp;"|"&amp;$D399)</f>
        <v>11|N|1</v>
      </c>
    </row>
    <row r="400" customFormat="false" ht="15" hidden="false" customHeight="false" outlineLevel="0" collapsed="false">
      <c r="A400" s="8" t="n">
        <v>11</v>
      </c>
      <c r="B400" s="8" t="s">
        <v>205</v>
      </c>
      <c r="D400" s="8" t="n">
        <v>2</v>
      </c>
      <c r="E400" s="8" t="n">
        <v>0.397</v>
      </c>
      <c r="F400" s="8" t="n">
        <v>654</v>
      </c>
      <c r="G400" s="8" t="n">
        <v>27.7</v>
      </c>
      <c r="H400" s="8" t="n">
        <v>12.597</v>
      </c>
      <c r="I400" s="8" t="n">
        <v>1</v>
      </c>
      <c r="N400" s="8" t="n">
        <v>-1.25</v>
      </c>
      <c r="R400" s="9" t="str">
        <f aca="false">IF($D400="","",IF($F400&lt;&gt;"","N",IF($J400&lt;&gt;"","C","")))</f>
        <v>N</v>
      </c>
      <c r="S400" s="9" t="str">
        <f aca="false">IF($R400="","",$A400&amp;"|"&amp;$R400&amp;"|"&amp;$D400)</f>
        <v>11|N|2</v>
      </c>
    </row>
    <row r="401" customFormat="false" ht="15" hidden="false" customHeight="false" outlineLevel="0" collapsed="false">
      <c r="A401" s="8" t="n">
        <v>11</v>
      </c>
      <c r="B401" s="8" t="s">
        <v>205</v>
      </c>
      <c r="D401" s="8" t="n">
        <v>3</v>
      </c>
      <c r="E401" s="8" t="n">
        <v>0.397</v>
      </c>
      <c r="F401" s="8" t="n">
        <v>2696</v>
      </c>
      <c r="G401" s="8" t="n">
        <v>30</v>
      </c>
      <c r="H401" s="8" t="n">
        <v>46.912</v>
      </c>
      <c r="I401" s="8" t="n">
        <v>0</v>
      </c>
      <c r="N401" s="8" t="n">
        <v>0.951</v>
      </c>
      <c r="R401" s="9" t="str">
        <f aca="false">IF($D401="","",IF($F401&lt;&gt;"","N",IF($J401&lt;&gt;"","C","")))</f>
        <v>N</v>
      </c>
      <c r="S401" s="9" t="str">
        <f aca="false">IF($R401="","",$A401&amp;"|"&amp;$R401&amp;"|"&amp;$D401)</f>
        <v>11|N|3</v>
      </c>
    </row>
    <row r="402" customFormat="false" ht="15" hidden="false" customHeight="false" outlineLevel="0" collapsed="false">
      <c r="A402" s="8" t="n">
        <v>11</v>
      </c>
      <c r="B402" s="8" t="s">
        <v>205</v>
      </c>
      <c r="D402" s="8" t="n">
        <v>4</v>
      </c>
      <c r="E402" s="8" t="n">
        <v>0.397</v>
      </c>
      <c r="I402" s="8" t="n">
        <v>0</v>
      </c>
      <c r="J402" s="8" t="n">
        <v>2564</v>
      </c>
      <c r="K402" s="8" t="n">
        <v>56.217</v>
      </c>
      <c r="O402" s="8" t="n">
        <v>-23.653</v>
      </c>
      <c r="R402" s="9" t="str">
        <f aca="false">IF($D402="","",IF($F402&lt;&gt;"","N",IF($J402&lt;&gt;"","C","")))</f>
        <v>C</v>
      </c>
      <c r="S402" s="9" t="str">
        <f aca="false">IF($R402="","",$A402&amp;"|"&amp;$R402&amp;"|"&amp;$D402)</f>
        <v>11|C|4</v>
      </c>
    </row>
    <row r="403" customFormat="false" ht="15" hidden="false" customHeight="false" outlineLevel="0" collapsed="false">
      <c r="A403" s="8" t="n">
        <v>11</v>
      </c>
      <c r="B403" s="8" t="s">
        <v>205</v>
      </c>
      <c r="D403" s="8" t="n">
        <v>5</v>
      </c>
      <c r="E403" s="8" t="n">
        <v>0.397</v>
      </c>
      <c r="I403" s="8" t="n">
        <v>1</v>
      </c>
      <c r="J403" s="8" t="n">
        <v>4686</v>
      </c>
      <c r="K403" s="8" t="n">
        <v>88.451</v>
      </c>
      <c r="O403" s="8" t="n">
        <v>-25.22</v>
      </c>
      <c r="R403" s="9" t="str">
        <f aca="false">IF($D403="","",IF($F403&lt;&gt;"","N",IF($J403&lt;&gt;"","C","")))</f>
        <v>C</v>
      </c>
      <c r="S403" s="9" t="str">
        <f aca="false">IF($R403="","",$A403&amp;"|"&amp;$R403&amp;"|"&amp;$D403)</f>
        <v>11|C|5</v>
      </c>
    </row>
    <row r="404" customFormat="false" ht="15" hidden="false" customHeight="false" outlineLevel="0" collapsed="false">
      <c r="A404" s="8" t="n">
        <v>11</v>
      </c>
      <c r="B404" s="8" t="s">
        <v>205</v>
      </c>
      <c r="D404" s="8" t="n">
        <v>6</v>
      </c>
      <c r="E404" s="8" t="n">
        <v>0.397</v>
      </c>
      <c r="I404" s="8" t="n">
        <v>0</v>
      </c>
      <c r="J404" s="8" t="n">
        <v>4708</v>
      </c>
      <c r="K404" s="8" t="n">
        <v>88.404</v>
      </c>
      <c r="O404" s="8" t="n">
        <v>-25.384</v>
      </c>
      <c r="R404" s="9" t="str">
        <f aca="false">IF($D404="","",IF($F404&lt;&gt;"","N",IF($J404&lt;&gt;"","C","")))</f>
        <v>C</v>
      </c>
      <c r="S404" s="9" t="str">
        <f aca="false">IF($R404="","",$A404&amp;"|"&amp;$R404&amp;"|"&amp;$D404)</f>
        <v>11|C|6</v>
      </c>
    </row>
    <row r="405" customFormat="false" ht="15" hidden="false" customHeight="false" outlineLevel="0" collapsed="false">
      <c r="A405" s="8" t="n">
        <v>11</v>
      </c>
      <c r="B405" s="8" t="s">
        <v>205</v>
      </c>
      <c r="D405" s="8" t="n">
        <v>7</v>
      </c>
      <c r="E405" s="8" t="n">
        <v>0.397</v>
      </c>
      <c r="I405" s="8" t="n">
        <v>0</v>
      </c>
      <c r="J405" s="8" t="n">
        <v>4710</v>
      </c>
      <c r="K405" s="8" t="n">
        <v>88.364</v>
      </c>
      <c r="O405" s="8" t="n">
        <v>-25.442</v>
      </c>
      <c r="R405" s="9" t="str">
        <f aca="false">IF($D405="","",IF($F405&lt;&gt;"","N",IF($J405&lt;&gt;"","C","")))</f>
        <v>C</v>
      </c>
      <c r="S405" s="9" t="str">
        <f aca="false">IF($R405="","",$A405&amp;"|"&amp;$R405&amp;"|"&amp;$D405)</f>
        <v>11|C|7</v>
      </c>
    </row>
    <row r="406" customFormat="false" ht="15" hidden="false" customHeight="false" outlineLevel="0" collapsed="false">
      <c r="A406" s="8" t="n">
        <v>10</v>
      </c>
      <c r="B406" s="8" t="s">
        <v>218</v>
      </c>
      <c r="E406" s="8" t="n">
        <v>0.4</v>
      </c>
      <c r="L406" s="8" t="s">
        <v>53</v>
      </c>
      <c r="M406" s="8" t="s">
        <v>219</v>
      </c>
      <c r="P406" s="8" t="s">
        <v>220</v>
      </c>
      <c r="R406" s="9" t="str">
        <f aca="false">IF($D406="","",IF($F406&lt;&gt;"","N",IF($J406&lt;&gt;"","C","")))</f>
        <v/>
      </c>
      <c r="S406" s="9" t="str">
        <f aca="false">IF($R406="","",$A406&amp;"|"&amp;$R406&amp;"|"&amp;$D406)</f>
        <v/>
      </c>
    </row>
    <row r="407" customFormat="false" ht="15" hidden="false" customHeight="false" outlineLevel="0" collapsed="false">
      <c r="A407" s="8" t="n">
        <v>10</v>
      </c>
      <c r="B407" s="8" t="s">
        <v>218</v>
      </c>
      <c r="E407" s="8" t="n">
        <v>0.4</v>
      </c>
      <c r="L407" s="8" t="s">
        <v>59</v>
      </c>
      <c r="M407" s="8" t="s">
        <v>221</v>
      </c>
      <c r="P407" s="8" t="s">
        <v>222</v>
      </c>
      <c r="R407" s="9" t="str">
        <f aca="false">IF($D407="","",IF($F407&lt;&gt;"","N",IF($J407&lt;&gt;"","C","")))</f>
        <v/>
      </c>
      <c r="S407" s="9" t="str">
        <f aca="false">IF($R407="","",$A407&amp;"|"&amp;$R407&amp;"|"&amp;$D407)</f>
        <v/>
      </c>
    </row>
    <row r="408" customFormat="false" ht="15" hidden="false" customHeight="false" outlineLevel="0" collapsed="false">
      <c r="A408" s="8" t="n">
        <v>10</v>
      </c>
      <c r="B408" s="8" t="s">
        <v>218</v>
      </c>
      <c r="D408" s="8" t="n">
        <v>1</v>
      </c>
      <c r="E408" s="8" t="n">
        <v>0.4</v>
      </c>
      <c r="F408" s="8" t="n">
        <v>649</v>
      </c>
      <c r="G408" s="8" t="n">
        <v>28.1</v>
      </c>
      <c r="H408" s="8" t="n">
        <v>12.558</v>
      </c>
      <c r="I408" s="8" t="n">
        <v>0</v>
      </c>
      <c r="N408" s="8" t="n">
        <v>-1.284</v>
      </c>
      <c r="R408" s="9" t="str">
        <f aca="false">IF($D408="","",IF($F408&lt;&gt;"","N",IF($J408&lt;&gt;"","C","")))</f>
        <v>N</v>
      </c>
      <c r="S408" s="9" t="str">
        <f aca="false">IF($R408="","",$A408&amp;"|"&amp;$R408&amp;"|"&amp;$D408)</f>
        <v>10|N|1</v>
      </c>
    </row>
    <row r="409" customFormat="false" ht="15" hidden="false" customHeight="false" outlineLevel="0" collapsed="false">
      <c r="A409" s="8" t="n">
        <v>10</v>
      </c>
      <c r="B409" s="8" t="s">
        <v>218</v>
      </c>
      <c r="D409" s="8" t="n">
        <v>2</v>
      </c>
      <c r="E409" s="8" t="n">
        <v>0.4</v>
      </c>
      <c r="F409" s="8" t="n">
        <v>653</v>
      </c>
      <c r="G409" s="8" t="n">
        <v>28.1</v>
      </c>
      <c r="H409" s="8" t="n">
        <v>12.57</v>
      </c>
      <c r="I409" s="8" t="n">
        <v>1</v>
      </c>
      <c r="N409" s="8" t="n">
        <v>-1.25</v>
      </c>
      <c r="R409" s="9" t="str">
        <f aca="false">IF($D409="","",IF($F409&lt;&gt;"","N",IF($J409&lt;&gt;"","C","")))</f>
        <v>N</v>
      </c>
      <c r="S409" s="9" t="str">
        <f aca="false">IF($R409="","",$A409&amp;"|"&amp;$R409&amp;"|"&amp;$D409)</f>
        <v>10|N|2</v>
      </c>
    </row>
    <row r="410" customFormat="false" ht="15" hidden="false" customHeight="false" outlineLevel="0" collapsed="false">
      <c r="A410" s="8" t="n">
        <v>10</v>
      </c>
      <c r="B410" s="8" t="s">
        <v>218</v>
      </c>
      <c r="D410" s="8" t="n">
        <v>3</v>
      </c>
      <c r="E410" s="8" t="n">
        <v>0.4</v>
      </c>
      <c r="F410" s="8" t="n">
        <v>1514</v>
      </c>
      <c r="G410" s="8" t="n">
        <v>30.3</v>
      </c>
      <c r="H410" s="8" t="n">
        <v>26.4</v>
      </c>
      <c r="I410" s="8" t="n">
        <v>0</v>
      </c>
      <c r="N410" s="8" t="n">
        <v>-5.523</v>
      </c>
      <c r="R410" s="9" t="str">
        <f aca="false">IF($D410="","",IF($F410&lt;&gt;"","N",IF($J410&lt;&gt;"","C","")))</f>
        <v>N</v>
      </c>
      <c r="S410" s="9" t="str">
        <f aca="false">IF($R410="","",$A410&amp;"|"&amp;$R410&amp;"|"&amp;$D410)</f>
        <v>10|N|3</v>
      </c>
    </row>
    <row r="411" customFormat="false" ht="15" hidden="false" customHeight="false" outlineLevel="0" collapsed="false">
      <c r="A411" s="8" t="n">
        <v>10</v>
      </c>
      <c r="B411" s="8" t="s">
        <v>218</v>
      </c>
      <c r="D411" s="8" t="n">
        <v>4</v>
      </c>
      <c r="E411" s="8" t="n">
        <v>0.4</v>
      </c>
      <c r="I411" s="8" t="n">
        <v>0</v>
      </c>
      <c r="J411" s="8" t="n">
        <v>5679</v>
      </c>
      <c r="K411" s="8" t="n">
        <v>125.163</v>
      </c>
      <c r="O411" s="8" t="n">
        <v>-9.552</v>
      </c>
      <c r="R411" s="9" t="str">
        <f aca="false">IF($D411="","",IF($F411&lt;&gt;"","N",IF($J411&lt;&gt;"","C","")))</f>
        <v>C</v>
      </c>
      <c r="S411" s="9" t="str">
        <f aca="false">IF($R411="","",$A411&amp;"|"&amp;$R411&amp;"|"&amp;$D411)</f>
        <v>10|C|4</v>
      </c>
    </row>
    <row r="412" customFormat="false" ht="15" hidden="false" customHeight="false" outlineLevel="0" collapsed="false">
      <c r="A412" s="8" t="n">
        <v>10</v>
      </c>
      <c r="B412" s="8" t="s">
        <v>218</v>
      </c>
      <c r="D412" s="8" t="n">
        <v>5</v>
      </c>
      <c r="E412" s="8" t="n">
        <v>0.4</v>
      </c>
      <c r="I412" s="8" t="n">
        <v>1</v>
      </c>
      <c r="J412" s="8" t="n">
        <v>4687</v>
      </c>
      <c r="K412" s="8" t="n">
        <v>88.336</v>
      </c>
      <c r="O412" s="8" t="n">
        <v>-25.22</v>
      </c>
      <c r="R412" s="9" t="str">
        <f aca="false">IF($D412="","",IF($F412&lt;&gt;"","N",IF($J412&lt;&gt;"","C","")))</f>
        <v>C</v>
      </c>
      <c r="S412" s="9" t="str">
        <f aca="false">IF($R412="","",$A412&amp;"|"&amp;$R412&amp;"|"&amp;$D412)</f>
        <v>10|C|5</v>
      </c>
    </row>
    <row r="413" customFormat="false" ht="15" hidden="false" customHeight="false" outlineLevel="0" collapsed="false">
      <c r="A413" s="8" t="n">
        <v>10</v>
      </c>
      <c r="B413" s="8" t="s">
        <v>218</v>
      </c>
      <c r="D413" s="8" t="n">
        <v>6</v>
      </c>
      <c r="E413" s="8" t="n">
        <v>0.4</v>
      </c>
      <c r="I413" s="8" t="n">
        <v>0</v>
      </c>
      <c r="J413" s="8" t="n">
        <v>4711</v>
      </c>
      <c r="K413" s="8" t="n">
        <v>88.411</v>
      </c>
      <c r="O413" s="8" t="n">
        <v>-25.36</v>
      </c>
      <c r="R413" s="9" t="str">
        <f aca="false">IF($D413="","",IF($F413&lt;&gt;"","N",IF($J413&lt;&gt;"","C","")))</f>
        <v>C</v>
      </c>
      <c r="S413" s="9" t="str">
        <f aca="false">IF($R413="","",$A413&amp;"|"&amp;$R413&amp;"|"&amp;$D413)</f>
        <v>10|C|6</v>
      </c>
    </row>
    <row r="414" customFormat="false" ht="15" hidden="false" customHeight="false" outlineLevel="0" collapsed="false">
      <c r="A414" s="8" t="n">
        <v>10</v>
      </c>
      <c r="B414" s="8" t="s">
        <v>218</v>
      </c>
      <c r="D414" s="8" t="n">
        <v>7</v>
      </c>
      <c r="E414" s="8" t="n">
        <v>0.4</v>
      </c>
      <c r="I414" s="8" t="n">
        <v>0</v>
      </c>
      <c r="J414" s="8" t="n">
        <v>4701</v>
      </c>
      <c r="K414" s="8" t="n">
        <v>88.399</v>
      </c>
      <c r="O414" s="8" t="n">
        <v>-25.401</v>
      </c>
      <c r="R414" s="9" t="str">
        <f aca="false">IF($D414="","",IF($F414&lt;&gt;"","N",IF($J414&lt;&gt;"","C","")))</f>
        <v>C</v>
      </c>
      <c r="S414" s="9" t="str">
        <f aca="false">IF($R414="","",$A414&amp;"|"&amp;$R414&amp;"|"&amp;$D414)</f>
        <v>10|C|7</v>
      </c>
    </row>
    <row r="415" customFormat="false" ht="15" hidden="false" customHeight="false" outlineLevel="0" collapsed="false">
      <c r="A415" s="8" t="n">
        <v>9</v>
      </c>
      <c r="B415" s="8" t="s">
        <v>223</v>
      </c>
      <c r="E415" s="8" t="n">
        <v>0.788</v>
      </c>
      <c r="L415" s="8" t="s">
        <v>53</v>
      </c>
      <c r="M415" s="8" t="s">
        <v>224</v>
      </c>
      <c r="P415" s="8" t="s">
        <v>225</v>
      </c>
      <c r="R415" s="9" t="str">
        <f aca="false">IF($D415="","",IF($F415&lt;&gt;"","N",IF($J415&lt;&gt;"","C","")))</f>
        <v/>
      </c>
      <c r="S415" s="9" t="str">
        <f aca="false">IF($R415="","",$A415&amp;"|"&amp;$R415&amp;"|"&amp;$D415)</f>
        <v/>
      </c>
    </row>
    <row r="416" customFormat="false" ht="15" hidden="false" customHeight="false" outlineLevel="0" collapsed="false">
      <c r="A416" s="8" t="n">
        <v>9</v>
      </c>
      <c r="B416" s="8" t="s">
        <v>223</v>
      </c>
      <c r="E416" s="8" t="n">
        <v>0.788</v>
      </c>
      <c r="L416" s="8" t="s">
        <v>59</v>
      </c>
      <c r="M416" s="8" t="s">
        <v>226</v>
      </c>
      <c r="P416" s="8" t="s">
        <v>227</v>
      </c>
      <c r="R416" s="9" t="str">
        <f aca="false">IF($D416="","",IF($F416&lt;&gt;"","N",IF($J416&lt;&gt;"","C","")))</f>
        <v/>
      </c>
      <c r="S416" s="9" t="str">
        <f aca="false">IF($R416="","",$A416&amp;"|"&amp;$R416&amp;"|"&amp;$D416)</f>
        <v/>
      </c>
    </row>
    <row r="417" customFormat="false" ht="15" hidden="false" customHeight="false" outlineLevel="0" collapsed="false">
      <c r="A417" s="8" t="n">
        <v>9</v>
      </c>
      <c r="B417" s="8" t="s">
        <v>223</v>
      </c>
      <c r="D417" s="8" t="n">
        <v>1</v>
      </c>
      <c r="E417" s="8" t="n">
        <v>0.788</v>
      </c>
      <c r="F417" s="8" t="n">
        <v>649</v>
      </c>
      <c r="G417" s="8" t="n">
        <v>28.6</v>
      </c>
      <c r="H417" s="8" t="n">
        <v>12.573</v>
      </c>
      <c r="I417" s="8" t="n">
        <v>0</v>
      </c>
      <c r="N417" s="8" t="n">
        <v>-1.323</v>
      </c>
      <c r="R417" s="9" t="str">
        <f aca="false">IF($D417="","",IF($F417&lt;&gt;"","N",IF($J417&lt;&gt;"","C","")))</f>
        <v>N</v>
      </c>
      <c r="S417" s="9" t="str">
        <f aca="false">IF($R417="","",$A417&amp;"|"&amp;$R417&amp;"|"&amp;$D417)</f>
        <v>9|N|1</v>
      </c>
    </row>
    <row r="418" customFormat="false" ht="15" hidden="false" customHeight="false" outlineLevel="0" collapsed="false">
      <c r="A418" s="8" t="n">
        <v>9</v>
      </c>
      <c r="B418" s="8" t="s">
        <v>223</v>
      </c>
      <c r="D418" s="8" t="n">
        <v>2</v>
      </c>
      <c r="E418" s="8" t="n">
        <v>0.788</v>
      </c>
      <c r="F418" s="8" t="n">
        <v>654</v>
      </c>
      <c r="G418" s="8" t="n">
        <v>28.5</v>
      </c>
      <c r="H418" s="8" t="n">
        <v>12.584</v>
      </c>
      <c r="I418" s="8" t="n">
        <v>1</v>
      </c>
      <c r="N418" s="8" t="n">
        <v>-1.25</v>
      </c>
      <c r="R418" s="9" t="str">
        <f aca="false">IF($D418="","",IF($F418&lt;&gt;"","N",IF($J418&lt;&gt;"","C","")))</f>
        <v>N</v>
      </c>
      <c r="S418" s="9" t="str">
        <f aca="false">IF($R418="","",$A418&amp;"|"&amp;$R418&amp;"|"&amp;$D418)</f>
        <v>9|N|2</v>
      </c>
    </row>
    <row r="419" customFormat="false" ht="15" hidden="false" customHeight="false" outlineLevel="0" collapsed="false">
      <c r="A419" s="8" t="n">
        <v>9</v>
      </c>
      <c r="B419" s="8" t="s">
        <v>223</v>
      </c>
      <c r="D419" s="8" t="n">
        <v>3</v>
      </c>
      <c r="E419" s="8" t="n">
        <v>0.788</v>
      </c>
      <c r="F419" s="8" t="n">
        <v>2995</v>
      </c>
      <c r="G419" s="8" t="n">
        <v>30.8</v>
      </c>
      <c r="H419" s="8" t="n">
        <v>51.069</v>
      </c>
      <c r="I419" s="8" t="n">
        <v>0</v>
      </c>
      <c r="N419" s="8" t="n">
        <v>-5.662</v>
      </c>
      <c r="R419" s="9" t="str">
        <f aca="false">IF($D419="","",IF($F419&lt;&gt;"","N",IF($J419&lt;&gt;"","C","")))</f>
        <v>N</v>
      </c>
      <c r="S419" s="9" t="str">
        <f aca="false">IF($R419="","",$A419&amp;"|"&amp;$R419&amp;"|"&amp;$D419)</f>
        <v>9|N|3</v>
      </c>
    </row>
    <row r="420" customFormat="false" ht="15" hidden="false" customHeight="false" outlineLevel="0" collapsed="false">
      <c r="A420" s="8" t="n">
        <v>9</v>
      </c>
      <c r="B420" s="8" t="s">
        <v>223</v>
      </c>
      <c r="D420" s="8" t="n">
        <v>4</v>
      </c>
      <c r="E420" s="8" t="n">
        <v>0.788</v>
      </c>
      <c r="I420" s="8" t="n">
        <v>0</v>
      </c>
      <c r="J420" s="8" t="n">
        <v>10285</v>
      </c>
      <c r="K420" s="8" t="n">
        <v>240.154</v>
      </c>
      <c r="O420" s="8" t="n">
        <v>-9.352</v>
      </c>
      <c r="R420" s="9" t="str">
        <f aca="false">IF($D420="","",IF($F420&lt;&gt;"","N",IF($J420&lt;&gt;"","C","")))</f>
        <v>C</v>
      </c>
      <c r="S420" s="9" t="str">
        <f aca="false">IF($R420="","",$A420&amp;"|"&amp;$R420&amp;"|"&amp;$D420)</f>
        <v>9|C|4</v>
      </c>
    </row>
    <row r="421" customFormat="false" ht="15" hidden="false" customHeight="false" outlineLevel="0" collapsed="false">
      <c r="A421" s="8" t="n">
        <v>9</v>
      </c>
      <c r="B421" s="8" t="s">
        <v>223</v>
      </c>
      <c r="D421" s="8" t="n">
        <v>5</v>
      </c>
      <c r="E421" s="8" t="n">
        <v>0.788</v>
      </c>
      <c r="I421" s="8" t="n">
        <v>1</v>
      </c>
      <c r="J421" s="8" t="n">
        <v>4705</v>
      </c>
      <c r="K421" s="8" t="n">
        <v>88.337</v>
      </c>
      <c r="O421" s="8" t="n">
        <v>-25.22</v>
      </c>
      <c r="R421" s="9" t="str">
        <f aca="false">IF($D421="","",IF($F421&lt;&gt;"","N",IF($J421&lt;&gt;"","C","")))</f>
        <v>C</v>
      </c>
      <c r="S421" s="9" t="str">
        <f aca="false">IF($R421="","",$A421&amp;"|"&amp;$R421&amp;"|"&amp;$D421)</f>
        <v>9|C|5</v>
      </c>
    </row>
    <row r="422" customFormat="false" ht="15" hidden="false" customHeight="false" outlineLevel="0" collapsed="false">
      <c r="A422" s="8" t="n">
        <v>9</v>
      </c>
      <c r="B422" s="8" t="s">
        <v>223</v>
      </c>
      <c r="D422" s="8" t="n">
        <v>6</v>
      </c>
      <c r="E422" s="8" t="n">
        <v>0.788</v>
      </c>
      <c r="I422" s="8" t="n">
        <v>0</v>
      </c>
      <c r="J422" s="8" t="n">
        <v>4711</v>
      </c>
      <c r="K422" s="8" t="n">
        <v>88.376</v>
      </c>
      <c r="O422" s="8" t="n">
        <v>-25.316</v>
      </c>
      <c r="R422" s="9" t="str">
        <f aca="false">IF($D422="","",IF($F422&lt;&gt;"","N",IF($J422&lt;&gt;"","C","")))</f>
        <v>C</v>
      </c>
      <c r="S422" s="9" t="str">
        <f aca="false">IF($R422="","",$A422&amp;"|"&amp;$R422&amp;"|"&amp;$D422)</f>
        <v>9|C|6</v>
      </c>
    </row>
    <row r="423" customFormat="false" ht="15" hidden="false" customHeight="false" outlineLevel="0" collapsed="false">
      <c r="A423" s="8" t="n">
        <v>9</v>
      </c>
      <c r="B423" s="8" t="s">
        <v>223</v>
      </c>
      <c r="D423" s="8" t="n">
        <v>7</v>
      </c>
      <c r="E423" s="8" t="n">
        <v>0.788</v>
      </c>
      <c r="I423" s="8" t="n">
        <v>0</v>
      </c>
      <c r="J423" s="8" t="n">
        <v>4686</v>
      </c>
      <c r="K423" s="8" t="n">
        <v>88.438</v>
      </c>
      <c r="O423" s="8" t="n">
        <v>-25.351</v>
      </c>
      <c r="R423" s="9" t="str">
        <f aca="false">IF($D423="","",IF($F423&lt;&gt;"","N",IF($J423&lt;&gt;"","C","")))</f>
        <v>C</v>
      </c>
      <c r="S423" s="9" t="str">
        <f aca="false">IF($R423="","",$A423&amp;"|"&amp;$R423&amp;"|"&amp;$D423)</f>
        <v>9|C|7</v>
      </c>
    </row>
    <row r="424" customFormat="false" ht="15" hidden="false" customHeight="false" outlineLevel="0" collapsed="false">
      <c r="A424" s="8" t="n">
        <v>8</v>
      </c>
      <c r="B424" s="8" t="s">
        <v>228</v>
      </c>
      <c r="E424" s="8" t="n">
        <v>0.572</v>
      </c>
      <c r="L424" s="8" t="s">
        <v>53</v>
      </c>
      <c r="M424" s="8" t="s">
        <v>229</v>
      </c>
      <c r="P424" s="8" t="s">
        <v>230</v>
      </c>
      <c r="R424" s="9" t="str">
        <f aca="false">IF($D424="","",IF($F424&lt;&gt;"","N",IF($J424&lt;&gt;"","C","")))</f>
        <v/>
      </c>
      <c r="S424" s="9" t="str">
        <f aca="false">IF($R424="","",$A424&amp;"|"&amp;$R424&amp;"|"&amp;$D424)</f>
        <v/>
      </c>
    </row>
    <row r="425" customFormat="false" ht="15" hidden="false" customHeight="false" outlineLevel="0" collapsed="false">
      <c r="A425" s="8" t="n">
        <v>8</v>
      </c>
      <c r="B425" s="8" t="s">
        <v>228</v>
      </c>
      <c r="E425" s="8" t="n">
        <v>0.572</v>
      </c>
      <c r="L425" s="8" t="s">
        <v>59</v>
      </c>
      <c r="M425" s="8" t="s">
        <v>231</v>
      </c>
      <c r="P425" s="8" t="s">
        <v>232</v>
      </c>
      <c r="R425" s="9" t="str">
        <f aca="false">IF($D425="","",IF($F425&lt;&gt;"","N",IF($J425&lt;&gt;"","C","")))</f>
        <v/>
      </c>
      <c r="S425" s="9" t="str">
        <f aca="false">IF($R425="","",$A425&amp;"|"&amp;$R425&amp;"|"&amp;$D425)</f>
        <v/>
      </c>
    </row>
    <row r="426" customFormat="false" ht="15" hidden="false" customHeight="false" outlineLevel="0" collapsed="false">
      <c r="A426" s="8" t="n">
        <v>8</v>
      </c>
      <c r="B426" s="8" t="s">
        <v>228</v>
      </c>
      <c r="D426" s="8" t="n">
        <v>1</v>
      </c>
      <c r="E426" s="8" t="n">
        <v>0.572</v>
      </c>
      <c r="F426" s="8" t="n">
        <v>651</v>
      </c>
      <c r="G426" s="8" t="n">
        <v>28.9</v>
      </c>
      <c r="H426" s="8" t="n">
        <v>12.588</v>
      </c>
      <c r="I426" s="8" t="n">
        <v>0</v>
      </c>
      <c r="N426" s="8" t="n">
        <v>-1.237</v>
      </c>
      <c r="R426" s="9" t="str">
        <f aca="false">IF($D426="","",IF($F426&lt;&gt;"","N",IF($J426&lt;&gt;"","C","")))</f>
        <v>N</v>
      </c>
      <c r="S426" s="9" t="str">
        <f aca="false">IF($R426="","",$A426&amp;"|"&amp;$R426&amp;"|"&amp;$D426)</f>
        <v>8|N|1</v>
      </c>
    </row>
    <row r="427" customFormat="false" ht="15" hidden="false" customHeight="false" outlineLevel="0" collapsed="false">
      <c r="A427" s="8" t="n">
        <v>8</v>
      </c>
      <c r="B427" s="8" t="s">
        <v>228</v>
      </c>
      <c r="D427" s="8" t="n">
        <v>2</v>
      </c>
      <c r="E427" s="8" t="n">
        <v>0.572</v>
      </c>
      <c r="F427" s="8" t="n">
        <v>655</v>
      </c>
      <c r="G427" s="8" t="n">
        <v>28.9</v>
      </c>
      <c r="H427" s="8" t="n">
        <v>12.597</v>
      </c>
      <c r="I427" s="8" t="n">
        <v>1</v>
      </c>
      <c r="N427" s="8" t="n">
        <v>-1.25</v>
      </c>
      <c r="R427" s="9" t="str">
        <f aca="false">IF($D427="","",IF($F427&lt;&gt;"","N",IF($J427&lt;&gt;"","C","")))</f>
        <v>N</v>
      </c>
      <c r="S427" s="9" t="str">
        <f aca="false">IF($R427="","",$A427&amp;"|"&amp;$R427&amp;"|"&amp;$D427)</f>
        <v>8|N|2</v>
      </c>
    </row>
    <row r="428" customFormat="false" ht="15" hidden="false" customHeight="false" outlineLevel="0" collapsed="false">
      <c r="A428" s="8" t="n">
        <v>8</v>
      </c>
      <c r="B428" s="8" t="s">
        <v>228</v>
      </c>
      <c r="D428" s="8" t="n">
        <v>3</v>
      </c>
      <c r="E428" s="8" t="n">
        <v>0.572</v>
      </c>
      <c r="F428" s="8" t="n">
        <v>2213</v>
      </c>
      <c r="G428" s="8" t="n">
        <v>31.6</v>
      </c>
      <c r="H428" s="8" t="n">
        <v>38.149</v>
      </c>
      <c r="I428" s="8" t="n">
        <v>0</v>
      </c>
      <c r="N428" s="8" t="n">
        <v>-5.479</v>
      </c>
      <c r="R428" s="9" t="str">
        <f aca="false">IF($D428="","",IF($F428&lt;&gt;"","N",IF($J428&lt;&gt;"","C","")))</f>
        <v>N</v>
      </c>
      <c r="S428" s="9" t="str">
        <f aca="false">IF($R428="","",$A428&amp;"|"&amp;$R428&amp;"|"&amp;$D428)</f>
        <v>8|N|3</v>
      </c>
    </row>
    <row r="429" customFormat="false" ht="15" hidden="false" customHeight="false" outlineLevel="0" collapsed="false">
      <c r="A429" s="8" t="n">
        <v>8</v>
      </c>
      <c r="B429" s="8" t="s">
        <v>228</v>
      </c>
      <c r="D429" s="8" t="n">
        <v>4</v>
      </c>
      <c r="E429" s="8" t="n">
        <v>0.572</v>
      </c>
      <c r="I429" s="8" t="n">
        <v>0</v>
      </c>
      <c r="J429" s="8" t="n">
        <v>7464</v>
      </c>
      <c r="K429" s="8" t="n">
        <v>178.135</v>
      </c>
      <c r="O429" s="8" t="n">
        <v>-9.384</v>
      </c>
      <c r="R429" s="9" t="str">
        <f aca="false">IF($D429="","",IF($F429&lt;&gt;"","N",IF($J429&lt;&gt;"","C","")))</f>
        <v>C</v>
      </c>
      <c r="S429" s="9" t="str">
        <f aca="false">IF($R429="","",$A429&amp;"|"&amp;$R429&amp;"|"&amp;$D429)</f>
        <v>8|C|4</v>
      </c>
    </row>
    <row r="430" customFormat="false" ht="15" hidden="false" customHeight="false" outlineLevel="0" collapsed="false">
      <c r="A430" s="8" t="n">
        <v>8</v>
      </c>
      <c r="B430" s="8" t="s">
        <v>228</v>
      </c>
      <c r="D430" s="8" t="n">
        <v>5</v>
      </c>
      <c r="E430" s="8" t="n">
        <v>0.572</v>
      </c>
      <c r="I430" s="8" t="n">
        <v>1</v>
      </c>
      <c r="J430" s="8" t="n">
        <v>4709</v>
      </c>
      <c r="K430" s="8" t="n">
        <v>88.691</v>
      </c>
      <c r="O430" s="8" t="n">
        <v>-25.22</v>
      </c>
      <c r="R430" s="9" t="str">
        <f aca="false">IF($D430="","",IF($F430&lt;&gt;"","N",IF($J430&lt;&gt;"","C","")))</f>
        <v>C</v>
      </c>
      <c r="S430" s="9" t="str">
        <f aca="false">IF($R430="","",$A430&amp;"|"&amp;$R430&amp;"|"&amp;$D430)</f>
        <v>8|C|5</v>
      </c>
    </row>
    <row r="431" customFormat="false" ht="15" hidden="false" customHeight="false" outlineLevel="0" collapsed="false">
      <c r="A431" s="8" t="n">
        <v>8</v>
      </c>
      <c r="B431" s="8" t="s">
        <v>228</v>
      </c>
      <c r="D431" s="8" t="n">
        <v>6</v>
      </c>
      <c r="E431" s="8" t="n">
        <v>0.572</v>
      </c>
      <c r="I431" s="8" t="n">
        <v>0</v>
      </c>
      <c r="J431" s="8" t="n">
        <v>4720</v>
      </c>
      <c r="K431" s="8" t="n">
        <v>88.61</v>
      </c>
      <c r="O431" s="8" t="n">
        <v>-25.396</v>
      </c>
      <c r="R431" s="9" t="str">
        <f aca="false">IF($D431="","",IF($F431&lt;&gt;"","N",IF($J431&lt;&gt;"","C","")))</f>
        <v>C</v>
      </c>
      <c r="S431" s="9" t="str">
        <f aca="false">IF($R431="","",$A431&amp;"|"&amp;$R431&amp;"|"&amp;$D431)</f>
        <v>8|C|6</v>
      </c>
    </row>
    <row r="432" customFormat="false" ht="15" hidden="false" customHeight="false" outlineLevel="0" collapsed="false">
      <c r="A432" s="8" t="n">
        <v>8</v>
      </c>
      <c r="B432" s="8" t="s">
        <v>228</v>
      </c>
      <c r="D432" s="8" t="n">
        <v>7</v>
      </c>
      <c r="E432" s="8" t="n">
        <v>0.572</v>
      </c>
      <c r="I432" s="8" t="n">
        <v>0</v>
      </c>
      <c r="J432" s="8" t="n">
        <v>4722</v>
      </c>
      <c r="K432" s="8" t="n">
        <v>88.686</v>
      </c>
      <c r="O432" s="8" t="n">
        <v>-25.471</v>
      </c>
      <c r="R432" s="9" t="str">
        <f aca="false">IF($D432="","",IF($F432&lt;&gt;"","N",IF($J432&lt;&gt;"","C","")))</f>
        <v>C</v>
      </c>
      <c r="S432" s="9" t="str">
        <f aca="false">IF($R432="","",$A432&amp;"|"&amp;$R432&amp;"|"&amp;$D432)</f>
        <v>8|C|7</v>
      </c>
    </row>
    <row r="433" customFormat="false" ht="15" hidden="false" customHeight="false" outlineLevel="0" collapsed="false">
      <c r="A433" s="8" t="n">
        <v>7</v>
      </c>
      <c r="B433" s="8" t="s">
        <v>233</v>
      </c>
      <c r="E433" s="8" t="n">
        <v>0.177</v>
      </c>
      <c r="L433" s="8" t="s">
        <v>53</v>
      </c>
      <c r="M433" s="8" t="s">
        <v>234</v>
      </c>
      <c r="P433" s="8" t="s">
        <v>235</v>
      </c>
      <c r="R433" s="9" t="str">
        <f aca="false">IF($D433="","",IF($F433&lt;&gt;"","N",IF($J433&lt;&gt;"","C","")))</f>
        <v/>
      </c>
      <c r="S433" s="9" t="str">
        <f aca="false">IF($R433="","",$A433&amp;"|"&amp;$R433&amp;"|"&amp;$D433)</f>
        <v/>
      </c>
    </row>
    <row r="434" customFormat="false" ht="15" hidden="false" customHeight="false" outlineLevel="0" collapsed="false">
      <c r="A434" s="8" t="n">
        <v>7</v>
      </c>
      <c r="B434" s="8" t="s">
        <v>233</v>
      </c>
      <c r="E434" s="8" t="n">
        <v>0.177</v>
      </c>
      <c r="L434" s="8" t="s">
        <v>59</v>
      </c>
      <c r="M434" s="8" t="s">
        <v>236</v>
      </c>
      <c r="P434" s="8" t="s">
        <v>237</v>
      </c>
      <c r="R434" s="9" t="str">
        <f aca="false">IF($D434="","",IF($F434&lt;&gt;"","N",IF($J434&lt;&gt;"","C","")))</f>
        <v/>
      </c>
      <c r="S434" s="9" t="str">
        <f aca="false">IF($R434="","",$A434&amp;"|"&amp;$R434&amp;"|"&amp;$D434)</f>
        <v/>
      </c>
    </row>
    <row r="435" customFormat="false" ht="15" hidden="false" customHeight="false" outlineLevel="0" collapsed="false">
      <c r="A435" s="8" t="n">
        <v>7</v>
      </c>
      <c r="B435" s="8" t="s">
        <v>233</v>
      </c>
      <c r="D435" s="8" t="n">
        <v>1</v>
      </c>
      <c r="E435" s="8" t="n">
        <v>0.177</v>
      </c>
      <c r="F435" s="8" t="n">
        <v>650</v>
      </c>
      <c r="G435" s="8" t="n">
        <v>29.5</v>
      </c>
      <c r="H435" s="8" t="n">
        <v>12.577</v>
      </c>
      <c r="I435" s="8" t="n">
        <v>0</v>
      </c>
      <c r="N435" s="8" t="n">
        <v>-1.142</v>
      </c>
      <c r="R435" s="9" t="str">
        <f aca="false">IF($D435="","",IF($F435&lt;&gt;"","N",IF($J435&lt;&gt;"","C","")))</f>
        <v>N</v>
      </c>
      <c r="S435" s="9" t="str">
        <f aca="false">IF($R435="","",$A435&amp;"|"&amp;$R435&amp;"|"&amp;$D435)</f>
        <v>7|N|1</v>
      </c>
    </row>
    <row r="436" customFormat="false" ht="15" hidden="false" customHeight="false" outlineLevel="0" collapsed="false">
      <c r="A436" s="8" t="n">
        <v>7</v>
      </c>
      <c r="B436" s="8" t="s">
        <v>233</v>
      </c>
      <c r="D436" s="8" t="n">
        <v>2</v>
      </c>
      <c r="E436" s="8" t="n">
        <v>0.177</v>
      </c>
      <c r="F436" s="8" t="n">
        <v>656</v>
      </c>
      <c r="G436" s="8" t="n">
        <v>29.4</v>
      </c>
      <c r="H436" s="8" t="n">
        <v>12.599</v>
      </c>
      <c r="I436" s="8" t="n">
        <v>1</v>
      </c>
      <c r="N436" s="8" t="n">
        <v>-1.25</v>
      </c>
      <c r="R436" s="9" t="str">
        <f aca="false">IF($D436="","",IF($F436&lt;&gt;"","N",IF($J436&lt;&gt;"","C","")))</f>
        <v>N</v>
      </c>
      <c r="S436" s="9" t="str">
        <f aca="false">IF($R436="","",$A436&amp;"|"&amp;$R436&amp;"|"&amp;$D436)</f>
        <v>7|N|2</v>
      </c>
    </row>
    <row r="437" customFormat="false" ht="15" hidden="false" customHeight="false" outlineLevel="0" collapsed="false">
      <c r="A437" s="8" t="n">
        <v>7</v>
      </c>
      <c r="B437" s="8" t="s">
        <v>233</v>
      </c>
      <c r="D437" s="8" t="n">
        <v>3</v>
      </c>
      <c r="E437" s="8" t="n">
        <v>0.177</v>
      </c>
      <c r="F437" s="8" t="n">
        <v>659</v>
      </c>
      <c r="G437" s="8" t="n">
        <v>32.3</v>
      </c>
      <c r="H437" s="8" t="n">
        <v>12.058</v>
      </c>
      <c r="I437" s="8" t="n">
        <v>0</v>
      </c>
      <c r="N437" s="8" t="n">
        <v>-4.102</v>
      </c>
      <c r="R437" s="9" t="str">
        <f aca="false">IF($D437="","",IF($F437&lt;&gt;"","N",IF($J437&lt;&gt;"","C","")))</f>
        <v>N</v>
      </c>
      <c r="S437" s="9" t="str">
        <f aca="false">IF($R437="","",$A437&amp;"|"&amp;$R437&amp;"|"&amp;$D437)</f>
        <v>7|N|3</v>
      </c>
    </row>
    <row r="438" customFormat="false" ht="15" hidden="false" customHeight="false" outlineLevel="0" collapsed="false">
      <c r="A438" s="8" t="n">
        <v>7</v>
      </c>
      <c r="B438" s="8" t="s">
        <v>233</v>
      </c>
      <c r="D438" s="8" t="n">
        <v>4</v>
      </c>
      <c r="E438" s="8" t="n">
        <v>0.177</v>
      </c>
      <c r="I438" s="8" t="n">
        <v>0</v>
      </c>
      <c r="J438" s="8" t="n">
        <v>2402</v>
      </c>
      <c r="K438" s="8" t="n">
        <v>54.07</v>
      </c>
      <c r="O438" s="8" t="n">
        <v>-9.667</v>
      </c>
      <c r="R438" s="9" t="str">
        <f aca="false">IF($D438="","",IF($F438&lt;&gt;"","N",IF($J438&lt;&gt;"","C","")))</f>
        <v>C</v>
      </c>
      <c r="S438" s="9" t="str">
        <f aca="false">IF($R438="","",$A438&amp;"|"&amp;$R438&amp;"|"&amp;$D438)</f>
        <v>7|C|4</v>
      </c>
    </row>
    <row r="439" customFormat="false" ht="15" hidden="false" customHeight="false" outlineLevel="0" collapsed="false">
      <c r="A439" s="8" t="n">
        <v>7</v>
      </c>
      <c r="B439" s="8" t="s">
        <v>233</v>
      </c>
      <c r="D439" s="8" t="n">
        <v>5</v>
      </c>
      <c r="E439" s="8" t="n">
        <v>0.177</v>
      </c>
      <c r="I439" s="8" t="n">
        <v>1</v>
      </c>
      <c r="J439" s="8" t="n">
        <v>4653</v>
      </c>
      <c r="K439" s="8" t="n">
        <v>88.525</v>
      </c>
      <c r="O439" s="8" t="n">
        <v>-25.22</v>
      </c>
      <c r="R439" s="9" t="str">
        <f aca="false">IF($D439="","",IF($F439&lt;&gt;"","N",IF($J439&lt;&gt;"","C","")))</f>
        <v>C</v>
      </c>
      <c r="S439" s="9" t="str">
        <f aca="false">IF($R439="","",$A439&amp;"|"&amp;$R439&amp;"|"&amp;$D439)</f>
        <v>7|C|5</v>
      </c>
    </row>
    <row r="440" customFormat="false" ht="15" hidden="false" customHeight="false" outlineLevel="0" collapsed="false">
      <c r="A440" s="8" t="n">
        <v>7</v>
      </c>
      <c r="B440" s="8" t="s">
        <v>233</v>
      </c>
      <c r="D440" s="8" t="n">
        <v>6</v>
      </c>
      <c r="E440" s="8" t="n">
        <v>0.177</v>
      </c>
      <c r="I440" s="8" t="n">
        <v>0</v>
      </c>
      <c r="J440" s="8" t="n">
        <v>4698</v>
      </c>
      <c r="K440" s="8" t="n">
        <v>88.62</v>
      </c>
      <c r="O440" s="8" t="n">
        <v>-25.457</v>
      </c>
      <c r="R440" s="9" t="str">
        <f aca="false">IF($D440="","",IF($F440&lt;&gt;"","N",IF($J440&lt;&gt;"","C","")))</f>
        <v>C</v>
      </c>
      <c r="S440" s="9" t="str">
        <f aca="false">IF($R440="","",$A440&amp;"|"&amp;$R440&amp;"|"&amp;$D440)</f>
        <v>7|C|6</v>
      </c>
    </row>
    <row r="441" customFormat="false" ht="15" hidden="false" customHeight="false" outlineLevel="0" collapsed="false">
      <c r="A441" s="8" t="n">
        <v>7</v>
      </c>
      <c r="B441" s="8" t="s">
        <v>233</v>
      </c>
      <c r="D441" s="8" t="n">
        <v>7</v>
      </c>
      <c r="E441" s="8" t="n">
        <v>0.177</v>
      </c>
      <c r="I441" s="8" t="n">
        <v>0</v>
      </c>
      <c r="J441" s="8" t="n">
        <v>4721</v>
      </c>
      <c r="K441" s="8" t="n">
        <v>88.716</v>
      </c>
      <c r="O441" s="8" t="n">
        <v>-25.527</v>
      </c>
      <c r="R441" s="9" t="str">
        <f aca="false">IF($D441="","",IF($F441&lt;&gt;"","N",IF($J441&lt;&gt;"","C","")))</f>
        <v>C</v>
      </c>
      <c r="S441" s="9" t="str">
        <f aca="false">IF($R441="","",$A441&amp;"|"&amp;$R441&amp;"|"&amp;$D441)</f>
        <v>7|C|7</v>
      </c>
    </row>
    <row r="442" customFormat="false" ht="15" hidden="false" customHeight="false" outlineLevel="0" collapsed="false">
      <c r="A442" s="8" t="n">
        <v>6</v>
      </c>
      <c r="B442" s="8" t="s">
        <v>238</v>
      </c>
      <c r="E442" s="8" t="n">
        <v>0.126</v>
      </c>
      <c r="L442" s="8" t="s">
        <v>53</v>
      </c>
      <c r="M442" s="8" t="s">
        <v>239</v>
      </c>
      <c r="P442" s="8" t="s">
        <v>240</v>
      </c>
      <c r="R442" s="9" t="str">
        <f aca="false">IF($D442="","",IF($F442&lt;&gt;"","N",IF($J442&lt;&gt;"","C","")))</f>
        <v/>
      </c>
      <c r="S442" s="9" t="str">
        <f aca="false">IF($R442="","",$A442&amp;"|"&amp;$R442&amp;"|"&amp;$D442)</f>
        <v/>
      </c>
    </row>
    <row r="443" customFormat="false" ht="15" hidden="false" customHeight="false" outlineLevel="0" collapsed="false">
      <c r="A443" s="8" t="n">
        <v>6</v>
      </c>
      <c r="B443" s="8" t="s">
        <v>238</v>
      </c>
      <c r="E443" s="8" t="n">
        <v>0.126</v>
      </c>
      <c r="L443" s="8" t="s">
        <v>59</v>
      </c>
      <c r="M443" s="8" t="s">
        <v>241</v>
      </c>
      <c r="P443" s="8" t="s">
        <v>242</v>
      </c>
      <c r="R443" s="9" t="str">
        <f aca="false">IF($D443="","",IF($F443&lt;&gt;"","N",IF($J443&lt;&gt;"","C","")))</f>
        <v/>
      </c>
      <c r="S443" s="9" t="str">
        <f aca="false">IF($R443="","",$A443&amp;"|"&amp;$R443&amp;"|"&amp;$D443)</f>
        <v/>
      </c>
    </row>
    <row r="444" customFormat="false" ht="15" hidden="false" customHeight="false" outlineLevel="0" collapsed="false">
      <c r="A444" s="8" t="n">
        <v>6</v>
      </c>
      <c r="B444" s="8" t="s">
        <v>238</v>
      </c>
      <c r="D444" s="8" t="n">
        <v>1</v>
      </c>
      <c r="E444" s="8" t="n">
        <v>0.126</v>
      </c>
      <c r="F444" s="8" t="n">
        <v>650</v>
      </c>
      <c r="G444" s="8" t="n">
        <v>30</v>
      </c>
      <c r="H444" s="8" t="n">
        <v>12.579</v>
      </c>
      <c r="I444" s="8" t="n">
        <v>0</v>
      </c>
      <c r="N444" s="8" t="n">
        <v>-1.207</v>
      </c>
      <c r="R444" s="9" t="str">
        <f aca="false">IF($D444="","",IF($F444&lt;&gt;"","N",IF($J444&lt;&gt;"","C","")))</f>
        <v>N</v>
      </c>
      <c r="S444" s="9" t="str">
        <f aca="false">IF($R444="","",$A444&amp;"|"&amp;$R444&amp;"|"&amp;$D444)</f>
        <v>6|N|1</v>
      </c>
    </row>
    <row r="445" customFormat="false" ht="15" hidden="false" customHeight="false" outlineLevel="0" collapsed="false">
      <c r="A445" s="8" t="n">
        <v>6</v>
      </c>
      <c r="B445" s="8" t="s">
        <v>238</v>
      </c>
      <c r="D445" s="8" t="n">
        <v>2</v>
      </c>
      <c r="E445" s="8" t="n">
        <v>0.126</v>
      </c>
      <c r="F445" s="8" t="n">
        <v>654</v>
      </c>
      <c r="G445" s="8" t="n">
        <v>30</v>
      </c>
      <c r="H445" s="8" t="n">
        <v>12.592</v>
      </c>
      <c r="I445" s="8" t="n">
        <v>1</v>
      </c>
      <c r="N445" s="8" t="n">
        <v>-1.25</v>
      </c>
      <c r="R445" s="9" t="str">
        <f aca="false">IF($D445="","",IF($F445&lt;&gt;"","N",IF($J445&lt;&gt;"","C","")))</f>
        <v>N</v>
      </c>
      <c r="S445" s="9" t="str">
        <f aca="false">IF($R445="","",$A445&amp;"|"&amp;$R445&amp;"|"&amp;$D445)</f>
        <v>6|N|2</v>
      </c>
    </row>
    <row r="446" customFormat="false" ht="15" hidden="false" customHeight="false" outlineLevel="0" collapsed="false">
      <c r="A446" s="8" t="n">
        <v>6</v>
      </c>
      <c r="B446" s="8" t="s">
        <v>238</v>
      </c>
      <c r="D446" s="8" t="n">
        <v>3</v>
      </c>
      <c r="E446" s="8" t="n">
        <v>0.126</v>
      </c>
      <c r="F446" s="8" t="n">
        <v>466</v>
      </c>
      <c r="G446" s="8" t="n">
        <v>33.1</v>
      </c>
      <c r="H446" s="8" t="n">
        <v>8.889</v>
      </c>
      <c r="I446" s="8" t="n">
        <v>0</v>
      </c>
      <c r="N446" s="8" t="n">
        <v>-3.024</v>
      </c>
      <c r="R446" s="9" t="str">
        <f aca="false">IF($D446="","",IF($F446&lt;&gt;"","N",IF($J446&lt;&gt;"","C","")))</f>
        <v>N</v>
      </c>
      <c r="S446" s="9" t="str">
        <f aca="false">IF($R446="","",$A446&amp;"|"&amp;$R446&amp;"|"&amp;$D446)</f>
        <v>6|N|3</v>
      </c>
    </row>
    <row r="447" customFormat="false" ht="15" hidden="false" customHeight="false" outlineLevel="0" collapsed="false">
      <c r="A447" s="8" t="n">
        <v>6</v>
      </c>
      <c r="B447" s="8" t="s">
        <v>238</v>
      </c>
      <c r="D447" s="8" t="n">
        <v>4</v>
      </c>
      <c r="E447" s="8" t="n">
        <v>0.126</v>
      </c>
      <c r="I447" s="8" t="n">
        <v>0</v>
      </c>
      <c r="J447" s="8" t="n">
        <v>1684</v>
      </c>
      <c r="K447" s="8" t="n">
        <v>37.895</v>
      </c>
      <c r="O447" s="8" t="n">
        <v>-9.666</v>
      </c>
      <c r="R447" s="9" t="str">
        <f aca="false">IF($D447="","",IF($F447&lt;&gt;"","N",IF($J447&lt;&gt;"","C","")))</f>
        <v>C</v>
      </c>
      <c r="S447" s="9" t="str">
        <f aca="false">IF($R447="","",$A447&amp;"|"&amp;$R447&amp;"|"&amp;$D447)</f>
        <v>6|C|4</v>
      </c>
    </row>
    <row r="448" customFormat="false" ht="15" hidden="false" customHeight="false" outlineLevel="0" collapsed="false">
      <c r="A448" s="8" t="n">
        <v>6</v>
      </c>
      <c r="B448" s="8" t="s">
        <v>238</v>
      </c>
      <c r="D448" s="8" t="n">
        <v>5</v>
      </c>
      <c r="E448" s="8" t="n">
        <v>0.126</v>
      </c>
      <c r="I448" s="8" t="n">
        <v>1</v>
      </c>
      <c r="J448" s="8" t="n">
        <v>4676</v>
      </c>
      <c r="K448" s="8" t="n">
        <v>88.325</v>
      </c>
      <c r="O448" s="8" t="n">
        <v>-25.22</v>
      </c>
      <c r="R448" s="9" t="str">
        <f aca="false">IF($D448="","",IF($F448&lt;&gt;"","N",IF($J448&lt;&gt;"","C","")))</f>
        <v>C</v>
      </c>
      <c r="S448" s="9" t="str">
        <f aca="false">IF($R448="","",$A448&amp;"|"&amp;$R448&amp;"|"&amp;$D448)</f>
        <v>6|C|5</v>
      </c>
    </row>
    <row r="449" customFormat="false" ht="15" hidden="false" customHeight="false" outlineLevel="0" collapsed="false">
      <c r="A449" s="8" t="n">
        <v>6</v>
      </c>
      <c r="B449" s="8" t="s">
        <v>238</v>
      </c>
      <c r="D449" s="8" t="n">
        <v>6</v>
      </c>
      <c r="E449" s="8" t="n">
        <v>0.126</v>
      </c>
      <c r="I449" s="8" t="n">
        <v>0</v>
      </c>
      <c r="J449" s="8" t="n">
        <v>4713</v>
      </c>
      <c r="K449" s="8" t="n">
        <v>88.553</v>
      </c>
      <c r="O449" s="8" t="n">
        <v>-25.438</v>
      </c>
      <c r="R449" s="9" t="str">
        <f aca="false">IF($D449="","",IF($F449&lt;&gt;"","N",IF($J449&lt;&gt;"","C","")))</f>
        <v>C</v>
      </c>
      <c r="S449" s="9" t="str">
        <f aca="false">IF($R449="","",$A449&amp;"|"&amp;$R449&amp;"|"&amp;$D449)</f>
        <v>6|C|6</v>
      </c>
    </row>
    <row r="450" customFormat="false" ht="15" hidden="false" customHeight="false" outlineLevel="0" collapsed="false">
      <c r="A450" s="8" t="n">
        <v>6</v>
      </c>
      <c r="B450" s="8" t="s">
        <v>238</v>
      </c>
      <c r="D450" s="8" t="n">
        <v>7</v>
      </c>
      <c r="E450" s="8" t="n">
        <v>0.126</v>
      </c>
      <c r="I450" s="8" t="n">
        <v>0</v>
      </c>
      <c r="J450" s="8" t="n">
        <v>4737</v>
      </c>
      <c r="K450" s="8" t="n">
        <v>88.662</v>
      </c>
      <c r="O450" s="8" t="n">
        <v>-25.505</v>
      </c>
      <c r="R450" s="9" t="str">
        <f aca="false">IF($D450="","",IF($F450&lt;&gt;"","N",IF($J450&lt;&gt;"","C","")))</f>
        <v>C</v>
      </c>
      <c r="S450" s="9" t="str">
        <f aca="false">IF($R450="","",$A450&amp;"|"&amp;$R450&amp;"|"&amp;$D450)</f>
        <v>6|C|7</v>
      </c>
    </row>
    <row r="451" customFormat="false" ht="15" hidden="false" customHeight="false" outlineLevel="0" collapsed="false">
      <c r="A451" s="8" t="n">
        <v>5</v>
      </c>
      <c r="B451" s="8" t="s">
        <v>243</v>
      </c>
      <c r="E451" s="8" t="n">
        <v>0</v>
      </c>
      <c r="L451" s="8" t="s">
        <v>53</v>
      </c>
      <c r="M451" s="8" t="s">
        <v>244</v>
      </c>
      <c r="P451" s="8" t="s">
        <v>245</v>
      </c>
      <c r="R451" s="9" t="str">
        <f aca="false">IF($D451="","",IF($F451&lt;&gt;"","N",IF($J451&lt;&gt;"","C","")))</f>
        <v/>
      </c>
      <c r="S451" s="9" t="str">
        <f aca="false">IF($R451="","",$A451&amp;"|"&amp;$R451&amp;"|"&amp;$D451)</f>
        <v/>
      </c>
    </row>
    <row r="452" customFormat="false" ht="15" hidden="false" customHeight="false" outlineLevel="0" collapsed="false">
      <c r="A452" s="8" t="n">
        <v>5</v>
      </c>
      <c r="B452" s="8" t="s">
        <v>243</v>
      </c>
      <c r="D452" s="8" t="n">
        <v>1</v>
      </c>
      <c r="E452" s="8" t="n">
        <v>0</v>
      </c>
      <c r="F452" s="8" t="n">
        <v>650</v>
      </c>
      <c r="G452" s="8" t="n">
        <v>30.8</v>
      </c>
      <c r="H452" s="8" t="n">
        <v>12.577</v>
      </c>
      <c r="I452" s="8" t="n">
        <v>0</v>
      </c>
      <c r="N452" s="8" t="n">
        <v>-1.071</v>
      </c>
      <c r="R452" s="9" t="str">
        <f aca="false">IF($D452="","",IF($F452&lt;&gt;"","N",IF($J452&lt;&gt;"","C","")))</f>
        <v>N</v>
      </c>
      <c r="S452" s="9" t="str">
        <f aca="false">IF($R452="","",$A452&amp;"|"&amp;$R452&amp;"|"&amp;$D452)</f>
        <v>5|N|1</v>
      </c>
    </row>
    <row r="453" customFormat="false" ht="15" hidden="false" customHeight="false" outlineLevel="0" collapsed="false">
      <c r="A453" s="8" t="n">
        <v>5</v>
      </c>
      <c r="B453" s="8" t="s">
        <v>243</v>
      </c>
      <c r="D453" s="8" t="n">
        <v>2</v>
      </c>
      <c r="E453" s="8" t="n">
        <v>0</v>
      </c>
      <c r="F453" s="8" t="n">
        <v>654</v>
      </c>
      <c r="G453" s="8" t="n">
        <v>30.8</v>
      </c>
      <c r="H453" s="8" t="n">
        <v>12.587</v>
      </c>
      <c r="I453" s="8" t="n">
        <v>1</v>
      </c>
      <c r="N453" s="8" t="n">
        <v>-1.25</v>
      </c>
      <c r="R453" s="9" t="str">
        <f aca="false">IF($D453="","",IF($F453&lt;&gt;"","N",IF($J453&lt;&gt;"","C","")))</f>
        <v>N</v>
      </c>
      <c r="S453" s="9" t="str">
        <f aca="false">IF($R453="","",$A453&amp;"|"&amp;$R453&amp;"|"&amp;$D453)</f>
        <v>5|N|2</v>
      </c>
    </row>
    <row r="454" customFormat="false" ht="15" hidden="false" customHeight="false" outlineLevel="0" collapsed="false">
      <c r="A454" s="8" t="n">
        <v>5</v>
      </c>
      <c r="B454" s="8" t="s">
        <v>243</v>
      </c>
      <c r="D454" s="8" t="n">
        <v>3</v>
      </c>
      <c r="E454" s="8" t="n">
        <v>0</v>
      </c>
      <c r="I454" s="8" t="n">
        <v>1</v>
      </c>
      <c r="J454" s="8" t="n">
        <v>4706</v>
      </c>
      <c r="K454" s="8" t="n">
        <v>88.478</v>
      </c>
      <c r="O454" s="8" t="n">
        <v>-25.22</v>
      </c>
      <c r="R454" s="9" t="str">
        <f aca="false">IF($D454="","",IF($F454&lt;&gt;"","N",IF($J454&lt;&gt;"","C","")))</f>
        <v>C</v>
      </c>
      <c r="S454" s="9" t="str">
        <f aca="false">IF($R454="","",$A454&amp;"|"&amp;$R454&amp;"|"&amp;$D454)</f>
        <v>5|C|3</v>
      </c>
    </row>
    <row r="455" customFormat="false" ht="15" hidden="false" customHeight="false" outlineLevel="0" collapsed="false">
      <c r="A455" s="8" t="n">
        <v>5</v>
      </c>
      <c r="B455" s="8" t="s">
        <v>243</v>
      </c>
      <c r="D455" s="8" t="n">
        <v>4</v>
      </c>
      <c r="E455" s="8" t="n">
        <v>0</v>
      </c>
      <c r="I455" s="8" t="n">
        <v>0</v>
      </c>
      <c r="J455" s="8" t="n">
        <v>4672</v>
      </c>
      <c r="K455" s="8" t="n">
        <v>88.561</v>
      </c>
      <c r="O455" s="8" t="n">
        <v>-25.535</v>
      </c>
      <c r="R455" s="9" t="str">
        <f aca="false">IF($D455="","",IF($F455&lt;&gt;"","N",IF($J455&lt;&gt;"","C","")))</f>
        <v>C</v>
      </c>
      <c r="S455" s="9" t="str">
        <f aca="false">IF($R455="","",$A455&amp;"|"&amp;$R455&amp;"|"&amp;$D455)</f>
        <v>5|C|4</v>
      </c>
    </row>
    <row r="456" customFormat="false" ht="15" hidden="false" customHeight="false" outlineLevel="0" collapsed="false">
      <c r="A456" s="8" t="n">
        <v>5</v>
      </c>
      <c r="B456" s="8" t="s">
        <v>243</v>
      </c>
      <c r="D456" s="8" t="n">
        <v>5</v>
      </c>
      <c r="E456" s="8" t="n">
        <v>0</v>
      </c>
      <c r="I456" s="8" t="n">
        <v>0</v>
      </c>
      <c r="J456" s="8" t="n">
        <v>4686</v>
      </c>
      <c r="K456" s="8" t="n">
        <v>88.619</v>
      </c>
      <c r="O456" s="8" t="n">
        <v>-25.635</v>
      </c>
      <c r="R456" s="9" t="str">
        <f aca="false">IF($D456="","",IF($F456&lt;&gt;"","N",IF($J456&lt;&gt;"","C","")))</f>
        <v>C</v>
      </c>
      <c r="S456" s="9" t="str">
        <f aca="false">IF($R456="","",$A456&amp;"|"&amp;$R456&amp;"|"&amp;$D456)</f>
        <v>5|C|5</v>
      </c>
    </row>
    <row r="457" customFormat="false" ht="15" hidden="false" customHeight="false" outlineLevel="0" collapsed="false">
      <c r="A457" s="8" t="n">
        <v>4</v>
      </c>
      <c r="B457" s="8" t="s">
        <v>243</v>
      </c>
      <c r="E457" s="8" t="n">
        <v>0</v>
      </c>
      <c r="L457" s="8" t="s">
        <v>53</v>
      </c>
      <c r="M457" s="8" t="s">
        <v>246</v>
      </c>
      <c r="P457" s="8" t="s">
        <v>247</v>
      </c>
      <c r="R457" s="9" t="str">
        <f aca="false">IF($D457="","",IF($F457&lt;&gt;"","N",IF($J457&lt;&gt;"","C","")))</f>
        <v/>
      </c>
      <c r="S457" s="9" t="str">
        <f aca="false">IF($R457="","",$A457&amp;"|"&amp;$R457&amp;"|"&amp;$D457)</f>
        <v/>
      </c>
    </row>
    <row r="458" customFormat="false" ht="15" hidden="false" customHeight="false" outlineLevel="0" collapsed="false">
      <c r="A458" s="8" t="n">
        <v>4</v>
      </c>
      <c r="B458" s="8" t="s">
        <v>243</v>
      </c>
      <c r="D458" s="8" t="n">
        <v>1</v>
      </c>
      <c r="E458" s="8" t="n">
        <v>0</v>
      </c>
      <c r="F458" s="8" t="n">
        <v>650</v>
      </c>
      <c r="G458" s="8" t="n">
        <v>31.9</v>
      </c>
      <c r="H458" s="8" t="n">
        <v>12.574</v>
      </c>
      <c r="I458" s="8" t="n">
        <v>0</v>
      </c>
      <c r="N458" s="8" t="n">
        <v>-1.133</v>
      </c>
      <c r="R458" s="9" t="str">
        <f aca="false">IF($D458="","",IF($F458&lt;&gt;"","N",IF($J458&lt;&gt;"","C","")))</f>
        <v>N</v>
      </c>
      <c r="S458" s="9" t="str">
        <f aca="false">IF($R458="","",$A458&amp;"|"&amp;$R458&amp;"|"&amp;$D458)</f>
        <v>4|N|1</v>
      </c>
    </row>
    <row r="459" customFormat="false" ht="15" hidden="false" customHeight="false" outlineLevel="0" collapsed="false">
      <c r="A459" s="8" t="n">
        <v>4</v>
      </c>
      <c r="B459" s="8" t="s">
        <v>243</v>
      </c>
      <c r="D459" s="8" t="n">
        <v>2</v>
      </c>
      <c r="E459" s="8" t="n">
        <v>0</v>
      </c>
      <c r="F459" s="8" t="n">
        <v>654</v>
      </c>
      <c r="G459" s="8" t="n">
        <v>31.8</v>
      </c>
      <c r="H459" s="8" t="n">
        <v>12.583</v>
      </c>
      <c r="I459" s="8" t="n">
        <v>1</v>
      </c>
      <c r="N459" s="8" t="n">
        <v>-1.25</v>
      </c>
      <c r="R459" s="9" t="str">
        <f aca="false">IF($D459="","",IF($F459&lt;&gt;"","N",IF($J459&lt;&gt;"","C","")))</f>
        <v>N</v>
      </c>
      <c r="S459" s="9" t="str">
        <f aca="false">IF($R459="","",$A459&amp;"|"&amp;$R459&amp;"|"&amp;$D459)</f>
        <v>4|N|2</v>
      </c>
    </row>
    <row r="460" customFormat="false" ht="15" hidden="false" customHeight="false" outlineLevel="0" collapsed="false">
      <c r="A460" s="8" t="n">
        <v>4</v>
      </c>
      <c r="B460" s="8" t="s">
        <v>243</v>
      </c>
      <c r="D460" s="8" t="n">
        <v>3</v>
      </c>
      <c r="E460" s="8" t="n">
        <v>0</v>
      </c>
      <c r="F460" s="8" t="n">
        <v>61</v>
      </c>
      <c r="G460" s="8" t="n">
        <v>35.2</v>
      </c>
      <c r="H460" s="8" t="n">
        <v>1.676</v>
      </c>
      <c r="I460" s="8" t="n">
        <v>0</v>
      </c>
      <c r="N460" s="8" t="n">
        <v>15.781</v>
      </c>
      <c r="R460" s="9" t="str">
        <f aca="false">IF($D460="","",IF($F460&lt;&gt;"","N",IF($J460&lt;&gt;"","C","")))</f>
        <v>N</v>
      </c>
      <c r="S460" s="9" t="str">
        <f aca="false">IF($R460="","",$A460&amp;"|"&amp;$R460&amp;"|"&amp;$D460)</f>
        <v>4|N|3</v>
      </c>
    </row>
    <row r="461" customFormat="false" ht="15" hidden="false" customHeight="false" outlineLevel="0" collapsed="false">
      <c r="A461" s="8" t="n">
        <v>4</v>
      </c>
      <c r="B461" s="8" t="s">
        <v>243</v>
      </c>
      <c r="D461" s="8" t="n">
        <v>4</v>
      </c>
      <c r="E461" s="8" t="n">
        <v>0</v>
      </c>
      <c r="I461" s="8" t="n">
        <v>1</v>
      </c>
      <c r="J461" s="8" t="n">
        <v>4710</v>
      </c>
      <c r="K461" s="8" t="n">
        <v>88.588</v>
      </c>
      <c r="O461" s="8" t="n">
        <v>-25.22</v>
      </c>
      <c r="R461" s="9" t="str">
        <f aca="false">IF($D461="","",IF($F461&lt;&gt;"","N",IF($J461&lt;&gt;"","C","")))</f>
        <v>C</v>
      </c>
      <c r="S461" s="9" t="str">
        <f aca="false">IF($R461="","",$A461&amp;"|"&amp;$R461&amp;"|"&amp;$D461)</f>
        <v>4|C|4</v>
      </c>
    </row>
    <row r="462" customFormat="false" ht="15" hidden="false" customHeight="false" outlineLevel="0" collapsed="false">
      <c r="A462" s="8" t="n">
        <v>4</v>
      </c>
      <c r="B462" s="8" t="s">
        <v>243</v>
      </c>
      <c r="D462" s="8" t="n">
        <v>5</v>
      </c>
      <c r="E462" s="8" t="n">
        <v>0</v>
      </c>
      <c r="I462" s="8" t="n">
        <v>0</v>
      </c>
      <c r="J462" s="8" t="n">
        <v>4672</v>
      </c>
      <c r="K462" s="8" t="n">
        <v>88.654</v>
      </c>
      <c r="O462" s="8" t="n">
        <v>-25.478</v>
      </c>
      <c r="R462" s="9" t="str">
        <f aca="false">IF($D462="","",IF($F462&lt;&gt;"","N",IF($J462&lt;&gt;"","C","")))</f>
        <v>C</v>
      </c>
      <c r="S462" s="9" t="str">
        <f aca="false">IF($R462="","",$A462&amp;"|"&amp;$R462&amp;"|"&amp;$D462)</f>
        <v>4|C|5</v>
      </c>
    </row>
    <row r="463" customFormat="false" ht="15" hidden="false" customHeight="false" outlineLevel="0" collapsed="false">
      <c r="A463" s="8" t="n">
        <v>4</v>
      </c>
      <c r="B463" s="8" t="s">
        <v>243</v>
      </c>
      <c r="D463" s="8" t="n">
        <v>6</v>
      </c>
      <c r="E463" s="8" t="n">
        <v>0</v>
      </c>
      <c r="I463" s="8" t="n">
        <v>0</v>
      </c>
      <c r="J463" s="8" t="n">
        <v>4672</v>
      </c>
      <c r="K463" s="8" t="n">
        <v>88.599</v>
      </c>
      <c r="O463" s="8" t="n">
        <v>-25.573</v>
      </c>
      <c r="R463" s="9" t="str">
        <f aca="false">IF($D463="","",IF($F463&lt;&gt;"","N",IF($J463&lt;&gt;"","C","")))</f>
        <v>C</v>
      </c>
      <c r="S463" s="9" t="str">
        <f aca="false">IF($R463="","",$A463&amp;"|"&amp;$R463&amp;"|"&amp;$D463)</f>
        <v>4|C|6</v>
      </c>
    </row>
    <row r="464" customFormat="false" ht="15" hidden="false" customHeight="false" outlineLevel="0" collapsed="false">
      <c r="A464" s="8" t="n">
        <v>3</v>
      </c>
      <c r="B464" s="8" t="s">
        <v>181</v>
      </c>
      <c r="E464" s="8" t="n">
        <v>0.49</v>
      </c>
      <c r="L464" s="8" t="s">
        <v>53</v>
      </c>
      <c r="M464" s="8" t="s">
        <v>248</v>
      </c>
      <c r="P464" s="8" t="s">
        <v>235</v>
      </c>
      <c r="R464" s="9" t="str">
        <f aca="false">IF($D464="","",IF($F464&lt;&gt;"","N",IF($J464&lt;&gt;"","C","")))</f>
        <v/>
      </c>
      <c r="S464" s="9" t="str">
        <f aca="false">IF($R464="","",$A464&amp;"|"&amp;$R464&amp;"|"&amp;$D464)</f>
        <v/>
      </c>
    </row>
    <row r="465" customFormat="false" ht="15" hidden="false" customHeight="false" outlineLevel="0" collapsed="false">
      <c r="A465" s="8" t="n">
        <v>3</v>
      </c>
      <c r="B465" s="8" t="s">
        <v>181</v>
      </c>
      <c r="E465" s="8" t="n">
        <v>0.49</v>
      </c>
      <c r="L465" s="8" t="s">
        <v>59</v>
      </c>
      <c r="M465" s="8" t="s">
        <v>249</v>
      </c>
      <c r="P465" s="8" t="s">
        <v>250</v>
      </c>
      <c r="R465" s="9" t="str">
        <f aca="false">IF($D465="","",IF($F465&lt;&gt;"","N",IF($J465&lt;&gt;"","C","")))</f>
        <v/>
      </c>
      <c r="S465" s="9" t="str">
        <f aca="false">IF($R465="","",$A465&amp;"|"&amp;$R465&amp;"|"&amp;$D465)</f>
        <v/>
      </c>
    </row>
    <row r="466" customFormat="false" ht="15" hidden="false" customHeight="false" outlineLevel="0" collapsed="false">
      <c r="A466" s="8" t="n">
        <v>3</v>
      </c>
      <c r="B466" s="8" t="s">
        <v>181</v>
      </c>
      <c r="D466" s="8" t="n">
        <v>1</v>
      </c>
      <c r="E466" s="8" t="n">
        <v>0.49</v>
      </c>
      <c r="F466" s="8" t="n">
        <v>648</v>
      </c>
      <c r="G466" s="8" t="n">
        <v>32.8</v>
      </c>
      <c r="H466" s="8" t="n">
        <v>12.574</v>
      </c>
      <c r="I466" s="8" t="n">
        <v>0</v>
      </c>
      <c r="N466" s="8" t="n">
        <v>-1.2</v>
      </c>
      <c r="R466" s="9" t="str">
        <f aca="false">IF($D466="","",IF($F466&lt;&gt;"","N",IF($J466&lt;&gt;"","C","")))</f>
        <v>N</v>
      </c>
      <c r="S466" s="9" t="str">
        <f aca="false">IF($R466="","",$A466&amp;"|"&amp;$R466&amp;"|"&amp;$D466)</f>
        <v>3|N|1</v>
      </c>
    </row>
    <row r="467" customFormat="false" ht="15" hidden="false" customHeight="false" outlineLevel="0" collapsed="false">
      <c r="A467" s="8" t="n">
        <v>3</v>
      </c>
      <c r="B467" s="8" t="s">
        <v>181</v>
      </c>
      <c r="D467" s="8" t="n">
        <v>2</v>
      </c>
      <c r="E467" s="8" t="n">
        <v>0.49</v>
      </c>
      <c r="F467" s="8" t="n">
        <v>653</v>
      </c>
      <c r="G467" s="8" t="n">
        <v>32.7</v>
      </c>
      <c r="H467" s="8" t="n">
        <v>12.578</v>
      </c>
      <c r="I467" s="8" t="n">
        <v>1</v>
      </c>
      <c r="N467" s="8" t="n">
        <v>-1.25</v>
      </c>
      <c r="R467" s="9" t="str">
        <f aca="false">IF($D467="","",IF($F467&lt;&gt;"","N",IF($J467&lt;&gt;"","C","")))</f>
        <v>N</v>
      </c>
      <c r="S467" s="9" t="str">
        <f aca="false">IF($R467="","",$A467&amp;"|"&amp;$R467&amp;"|"&amp;$D467)</f>
        <v>3|N|2</v>
      </c>
    </row>
    <row r="468" customFormat="false" ht="15" hidden="false" customHeight="false" outlineLevel="0" collapsed="false">
      <c r="A468" s="8" t="n">
        <v>3</v>
      </c>
      <c r="B468" s="8" t="s">
        <v>181</v>
      </c>
      <c r="D468" s="8" t="n">
        <v>3</v>
      </c>
      <c r="E468" s="8" t="n">
        <v>0.49</v>
      </c>
      <c r="F468" s="8" t="n">
        <v>1952</v>
      </c>
      <c r="G468" s="8" t="n">
        <v>36.4</v>
      </c>
      <c r="H468" s="8" t="n">
        <v>34.829</v>
      </c>
      <c r="I468" s="8" t="n">
        <v>0</v>
      </c>
      <c r="N468" s="8" t="n">
        <v>-4.515</v>
      </c>
      <c r="R468" s="9" t="str">
        <f aca="false">IF($D468="","",IF($F468&lt;&gt;"","N",IF($J468&lt;&gt;"","C","")))</f>
        <v>N</v>
      </c>
      <c r="S468" s="9" t="str">
        <f aca="false">IF($R468="","",$A468&amp;"|"&amp;$R468&amp;"|"&amp;$D468)</f>
        <v>3|N|3</v>
      </c>
    </row>
    <row r="469" customFormat="false" ht="15" hidden="false" customHeight="false" outlineLevel="0" collapsed="false">
      <c r="A469" s="8" t="n">
        <v>3</v>
      </c>
      <c r="B469" s="8" t="s">
        <v>181</v>
      </c>
      <c r="D469" s="8" t="n">
        <v>4</v>
      </c>
      <c r="E469" s="8" t="n">
        <v>0.49</v>
      </c>
      <c r="I469" s="8" t="n">
        <v>0</v>
      </c>
      <c r="J469" s="8" t="n">
        <v>6715</v>
      </c>
      <c r="K469" s="8" t="n">
        <v>155.895</v>
      </c>
      <c r="O469" s="8" t="n">
        <v>-9.45</v>
      </c>
      <c r="R469" s="9" t="str">
        <f aca="false">IF($D469="","",IF($F469&lt;&gt;"","N",IF($J469&lt;&gt;"","C","")))</f>
        <v>C</v>
      </c>
      <c r="S469" s="9" t="str">
        <f aca="false">IF($R469="","",$A469&amp;"|"&amp;$R469&amp;"|"&amp;$D469)</f>
        <v>3|C|4</v>
      </c>
    </row>
    <row r="470" customFormat="false" ht="15" hidden="false" customHeight="false" outlineLevel="0" collapsed="false">
      <c r="A470" s="8" t="n">
        <v>3</v>
      </c>
      <c r="B470" s="8" t="s">
        <v>181</v>
      </c>
      <c r="D470" s="8" t="n">
        <v>5</v>
      </c>
      <c r="E470" s="8" t="n">
        <v>0.49</v>
      </c>
      <c r="I470" s="8" t="n">
        <v>1</v>
      </c>
      <c r="J470" s="8" t="n">
        <v>4706</v>
      </c>
      <c r="K470" s="8" t="n">
        <v>88.54</v>
      </c>
      <c r="O470" s="8" t="n">
        <v>-25.22</v>
      </c>
      <c r="R470" s="9" t="str">
        <f aca="false">IF($D470="","",IF($F470&lt;&gt;"","N",IF($J470&lt;&gt;"","C","")))</f>
        <v>C</v>
      </c>
      <c r="S470" s="9" t="str">
        <f aca="false">IF($R470="","",$A470&amp;"|"&amp;$R470&amp;"|"&amp;$D470)</f>
        <v>3|C|5</v>
      </c>
    </row>
    <row r="471" customFormat="false" ht="15" hidden="false" customHeight="false" outlineLevel="0" collapsed="false">
      <c r="A471" s="8" t="n">
        <v>3</v>
      </c>
      <c r="B471" s="8" t="s">
        <v>181</v>
      </c>
      <c r="D471" s="8" t="n">
        <v>6</v>
      </c>
      <c r="E471" s="8" t="n">
        <v>0.49</v>
      </c>
      <c r="I471" s="8" t="n">
        <v>0</v>
      </c>
      <c r="J471" s="8" t="n">
        <v>4711</v>
      </c>
      <c r="K471" s="8" t="n">
        <v>88.507</v>
      </c>
      <c r="O471" s="8" t="n">
        <v>-25.401</v>
      </c>
      <c r="R471" s="9" t="str">
        <f aca="false">IF($D471="","",IF($F471&lt;&gt;"","N",IF($J471&lt;&gt;"","C","")))</f>
        <v>C</v>
      </c>
      <c r="S471" s="9" t="str">
        <f aca="false">IF($R471="","",$A471&amp;"|"&amp;$R471&amp;"|"&amp;$D471)</f>
        <v>3|C|6</v>
      </c>
    </row>
    <row r="472" customFormat="false" ht="15" hidden="false" customHeight="false" outlineLevel="0" collapsed="false">
      <c r="A472" s="8" t="n">
        <v>3</v>
      </c>
      <c r="B472" s="8" t="s">
        <v>181</v>
      </c>
      <c r="D472" s="8" t="n">
        <v>7</v>
      </c>
      <c r="E472" s="8" t="n">
        <v>0.49</v>
      </c>
      <c r="I472" s="8" t="n">
        <v>0</v>
      </c>
      <c r="J472" s="8" t="n">
        <v>4719</v>
      </c>
      <c r="K472" s="8" t="n">
        <v>88.595</v>
      </c>
      <c r="O472" s="8" t="n">
        <v>-25.421</v>
      </c>
      <c r="R472" s="9" t="str">
        <f aca="false">IF($D472="","",IF($F472&lt;&gt;"","N",IF($J472&lt;&gt;"","C","")))</f>
        <v>C</v>
      </c>
      <c r="S472" s="9" t="str">
        <f aca="false">IF($R472="","",$A472&amp;"|"&amp;$R472&amp;"|"&amp;$D472)</f>
        <v>3|C|7</v>
      </c>
    </row>
    <row r="473" customFormat="false" ht="15" hidden="false" customHeight="false" outlineLevel="0" collapsed="false">
      <c r="A473" s="8" t="n">
        <v>2</v>
      </c>
      <c r="B473" s="8" t="s">
        <v>181</v>
      </c>
      <c r="E473" s="8" t="n">
        <v>1.131</v>
      </c>
      <c r="L473" s="8" t="s">
        <v>53</v>
      </c>
      <c r="M473" s="8" t="s">
        <v>251</v>
      </c>
      <c r="P473" s="8" t="s">
        <v>252</v>
      </c>
      <c r="R473" s="9" t="str">
        <f aca="false">IF($D473="","",IF($F473&lt;&gt;"","N",IF($J473&lt;&gt;"","C","")))</f>
        <v/>
      </c>
      <c r="S473" s="9" t="str">
        <f aca="false">IF($R473="","",$A473&amp;"|"&amp;$R473&amp;"|"&amp;$D473)</f>
        <v/>
      </c>
    </row>
    <row r="474" customFormat="false" ht="15" hidden="false" customHeight="false" outlineLevel="0" collapsed="false">
      <c r="A474" s="8" t="n">
        <v>2</v>
      </c>
      <c r="B474" s="8" t="s">
        <v>181</v>
      </c>
      <c r="E474" s="8" t="n">
        <v>1.131</v>
      </c>
      <c r="L474" s="8" t="s">
        <v>59</v>
      </c>
      <c r="M474" s="8" t="s">
        <v>253</v>
      </c>
      <c r="P474" s="8" t="s">
        <v>254</v>
      </c>
      <c r="R474" s="9" t="str">
        <f aca="false">IF($D474="","",IF($F474&lt;&gt;"","N",IF($J474&lt;&gt;"","C","")))</f>
        <v/>
      </c>
      <c r="S474" s="9" t="str">
        <f aca="false">IF($R474="","",$A474&amp;"|"&amp;$R474&amp;"|"&amp;$D474)</f>
        <v/>
      </c>
    </row>
    <row r="475" customFormat="false" ht="15" hidden="false" customHeight="false" outlineLevel="0" collapsed="false">
      <c r="A475" s="8" t="n">
        <v>2</v>
      </c>
      <c r="B475" s="8" t="s">
        <v>181</v>
      </c>
      <c r="D475" s="8" t="n">
        <v>1</v>
      </c>
      <c r="E475" s="8" t="n">
        <v>1.131</v>
      </c>
      <c r="F475" s="8" t="n">
        <v>651</v>
      </c>
      <c r="G475" s="8" t="n">
        <v>33.3</v>
      </c>
      <c r="H475" s="8" t="n">
        <v>12.572</v>
      </c>
      <c r="I475" s="8" t="n">
        <v>0</v>
      </c>
      <c r="N475" s="8" t="n">
        <v>-1.139</v>
      </c>
      <c r="R475" s="9" t="str">
        <f aca="false">IF($D475="","",IF($F475&lt;&gt;"","N",IF($J475&lt;&gt;"","C","")))</f>
        <v>N</v>
      </c>
      <c r="S475" s="9" t="str">
        <f aca="false">IF($R475="","",$A475&amp;"|"&amp;$R475&amp;"|"&amp;$D475)</f>
        <v>2|N|1</v>
      </c>
    </row>
    <row r="476" customFormat="false" ht="15" hidden="false" customHeight="false" outlineLevel="0" collapsed="false">
      <c r="A476" s="8" t="n">
        <v>2</v>
      </c>
      <c r="B476" s="8" t="s">
        <v>181</v>
      </c>
      <c r="D476" s="8" t="n">
        <v>2</v>
      </c>
      <c r="E476" s="8" t="n">
        <v>1.131</v>
      </c>
      <c r="F476" s="8" t="n">
        <v>654</v>
      </c>
      <c r="G476" s="8" t="n">
        <v>33.2</v>
      </c>
      <c r="H476" s="8" t="n">
        <v>12.585</v>
      </c>
      <c r="I476" s="8" t="n">
        <v>1</v>
      </c>
      <c r="N476" s="8" t="n">
        <v>-1.25</v>
      </c>
      <c r="R476" s="9" t="str">
        <f aca="false">IF($D476="","",IF($F476&lt;&gt;"","N",IF($J476&lt;&gt;"","C","")))</f>
        <v>N</v>
      </c>
      <c r="S476" s="9" t="str">
        <f aca="false">IF($R476="","",$A476&amp;"|"&amp;$R476&amp;"|"&amp;$D476)</f>
        <v>2|N|2</v>
      </c>
    </row>
    <row r="477" customFormat="false" ht="15" hidden="false" customHeight="false" outlineLevel="0" collapsed="false">
      <c r="A477" s="8" t="n">
        <v>2</v>
      </c>
      <c r="B477" s="8" t="s">
        <v>181</v>
      </c>
      <c r="D477" s="8" t="n">
        <v>3</v>
      </c>
      <c r="E477" s="8" t="n">
        <v>1.131</v>
      </c>
      <c r="F477" s="8" t="n">
        <v>4689</v>
      </c>
      <c r="G477" s="8" t="n">
        <v>37.2</v>
      </c>
      <c r="H477" s="8" t="n">
        <v>79.936</v>
      </c>
      <c r="I477" s="8" t="n">
        <v>0</v>
      </c>
      <c r="N477" s="8" t="n">
        <v>-4.989</v>
      </c>
      <c r="R477" s="9" t="str">
        <f aca="false">IF($D477="","",IF($F477&lt;&gt;"","N",IF($J477&lt;&gt;"","C","")))</f>
        <v>N</v>
      </c>
      <c r="S477" s="9" t="str">
        <f aca="false">IF($R477="","",$A477&amp;"|"&amp;$R477&amp;"|"&amp;$D477)</f>
        <v>2|N|3</v>
      </c>
    </row>
    <row r="478" customFormat="false" ht="15" hidden="false" customHeight="false" outlineLevel="0" collapsed="false">
      <c r="A478" s="8" t="n">
        <v>2</v>
      </c>
      <c r="B478" s="8" t="s">
        <v>181</v>
      </c>
      <c r="D478" s="8" t="n">
        <v>4</v>
      </c>
      <c r="E478" s="8" t="n">
        <v>1.131</v>
      </c>
      <c r="I478" s="8" t="n">
        <v>0</v>
      </c>
      <c r="J478" s="8" t="n">
        <v>14212</v>
      </c>
      <c r="K478" s="8" t="n">
        <v>362.648</v>
      </c>
      <c r="O478" s="8" t="n">
        <v>-9.107</v>
      </c>
      <c r="R478" s="9" t="str">
        <f aca="false">IF($D478="","",IF($F478&lt;&gt;"","N",IF($J478&lt;&gt;"","C","")))</f>
        <v>C</v>
      </c>
      <c r="S478" s="9" t="str">
        <f aca="false">IF($R478="","",$A478&amp;"|"&amp;$R478&amp;"|"&amp;$D478)</f>
        <v>2|C|4</v>
      </c>
    </row>
    <row r="479" customFormat="false" ht="15" hidden="false" customHeight="false" outlineLevel="0" collapsed="false">
      <c r="A479" s="8" t="n">
        <v>2</v>
      </c>
      <c r="B479" s="8" t="s">
        <v>181</v>
      </c>
      <c r="D479" s="8" t="n">
        <v>5</v>
      </c>
      <c r="E479" s="8" t="n">
        <v>1.131</v>
      </c>
      <c r="I479" s="8" t="n">
        <v>1</v>
      </c>
      <c r="J479" s="8" t="n">
        <v>4715</v>
      </c>
      <c r="K479" s="8" t="n">
        <v>88.485</v>
      </c>
      <c r="O479" s="8" t="n">
        <v>-25.22</v>
      </c>
      <c r="R479" s="9" t="str">
        <f aca="false">IF($D479="","",IF($F479&lt;&gt;"","N",IF($J479&lt;&gt;"","C","")))</f>
        <v>C</v>
      </c>
      <c r="S479" s="9" t="str">
        <f aca="false">IF($R479="","",$A479&amp;"|"&amp;$R479&amp;"|"&amp;$D479)</f>
        <v>2|C|5</v>
      </c>
    </row>
    <row r="480" customFormat="false" ht="15" hidden="false" customHeight="false" outlineLevel="0" collapsed="false">
      <c r="A480" s="8" t="n">
        <v>2</v>
      </c>
      <c r="B480" s="8" t="s">
        <v>181</v>
      </c>
      <c r="D480" s="8" t="n">
        <v>6</v>
      </c>
      <c r="E480" s="8" t="n">
        <v>1.131</v>
      </c>
      <c r="I480" s="8" t="n">
        <v>0</v>
      </c>
      <c r="J480" s="8" t="n">
        <v>4733</v>
      </c>
      <c r="K480" s="8" t="n">
        <v>88.757</v>
      </c>
      <c r="O480" s="8" t="n">
        <v>-25.353</v>
      </c>
      <c r="R480" s="9" t="str">
        <f aca="false">IF($D480="","",IF($F480&lt;&gt;"","N",IF($J480&lt;&gt;"","C","")))</f>
        <v>C</v>
      </c>
      <c r="S480" s="9" t="str">
        <f aca="false">IF($R480="","",$A480&amp;"|"&amp;$R480&amp;"|"&amp;$D480)</f>
        <v>2|C|6</v>
      </c>
    </row>
    <row r="481" customFormat="false" ht="15" hidden="false" customHeight="false" outlineLevel="0" collapsed="false">
      <c r="A481" s="8" t="n">
        <v>2</v>
      </c>
      <c r="B481" s="8" t="s">
        <v>181</v>
      </c>
      <c r="D481" s="8" t="n">
        <v>7</v>
      </c>
      <c r="E481" s="8" t="n">
        <v>1.131</v>
      </c>
      <c r="I481" s="8" t="n">
        <v>0</v>
      </c>
      <c r="J481" s="8" t="n">
        <v>4692</v>
      </c>
      <c r="K481" s="8" t="n">
        <v>88.545</v>
      </c>
      <c r="O481" s="8" t="n">
        <v>-25.43</v>
      </c>
      <c r="R481" s="9" t="str">
        <f aca="false">IF($D481="","",IF($F481&lt;&gt;"","N",IF($J481&lt;&gt;"","C","")))</f>
        <v>C</v>
      </c>
      <c r="S481" s="9" t="str">
        <f aca="false">IF($R481="","",$A481&amp;"|"&amp;$R481&amp;"|"&amp;$D481)</f>
        <v>2|C|7</v>
      </c>
    </row>
    <row r="482" customFormat="false" ht="15" hidden="false" customHeight="false" outlineLevel="0" collapsed="false">
      <c r="A482" s="8" t="n">
        <v>1</v>
      </c>
      <c r="B482" s="8" t="s">
        <v>255</v>
      </c>
      <c r="E482" s="8" t="n">
        <v>0</v>
      </c>
      <c r="L482" s="8" t="s">
        <v>53</v>
      </c>
      <c r="M482" s="8" t="s">
        <v>256</v>
      </c>
      <c r="P482" s="8" t="s">
        <v>257</v>
      </c>
      <c r="R482" s="9" t="str">
        <f aca="false">IF($D482="","",IF($F482&lt;&gt;"","N",IF($J482&lt;&gt;"","C","")))</f>
        <v/>
      </c>
      <c r="S482" s="9" t="str">
        <f aca="false">IF($R482="","",$A482&amp;"|"&amp;$R482&amp;"|"&amp;$D482)</f>
        <v/>
      </c>
    </row>
    <row r="483" customFormat="false" ht="15" hidden="false" customHeight="false" outlineLevel="0" collapsed="false">
      <c r="A483" s="8" t="n">
        <v>1</v>
      </c>
      <c r="B483" s="8" t="s">
        <v>255</v>
      </c>
      <c r="D483" s="8" t="n">
        <v>1</v>
      </c>
      <c r="E483" s="8" t="n">
        <v>0</v>
      </c>
      <c r="F483" s="8" t="n">
        <v>651</v>
      </c>
      <c r="G483" s="8" t="n">
        <v>34.3</v>
      </c>
      <c r="H483" s="8" t="n">
        <v>12.585</v>
      </c>
      <c r="I483" s="8" t="n">
        <v>0</v>
      </c>
      <c r="N483" s="8" t="n">
        <v>-1.217</v>
      </c>
      <c r="R483" s="9" t="str">
        <f aca="false">IF($D483="","",IF($F483&lt;&gt;"","N",IF($J483&lt;&gt;"","C","")))</f>
        <v>N</v>
      </c>
      <c r="S483" s="9" t="str">
        <f aca="false">IF($R483="","",$A483&amp;"|"&amp;$R483&amp;"|"&amp;$D483)</f>
        <v>1|N|1</v>
      </c>
    </row>
    <row r="484" customFormat="false" ht="15" hidden="false" customHeight="false" outlineLevel="0" collapsed="false">
      <c r="A484" s="8" t="n">
        <v>1</v>
      </c>
      <c r="B484" s="8" t="s">
        <v>255</v>
      </c>
      <c r="D484" s="8" t="n">
        <v>2</v>
      </c>
      <c r="E484" s="8" t="n">
        <v>0</v>
      </c>
      <c r="F484" s="8" t="n">
        <v>655</v>
      </c>
      <c r="G484" s="8" t="n">
        <v>34.2</v>
      </c>
      <c r="H484" s="8" t="n">
        <v>12.597</v>
      </c>
      <c r="I484" s="8" t="n">
        <v>1</v>
      </c>
      <c r="N484" s="8" t="n">
        <v>-1.25</v>
      </c>
      <c r="R484" s="9" t="str">
        <f aca="false">IF($D484="","",IF($F484&lt;&gt;"","N",IF($J484&lt;&gt;"","C","")))</f>
        <v>N</v>
      </c>
      <c r="S484" s="9" t="str">
        <f aca="false">IF($R484="","",$A484&amp;"|"&amp;$R484&amp;"|"&amp;$D484)</f>
        <v>1|N|2</v>
      </c>
    </row>
    <row r="485" customFormat="false" ht="15" hidden="false" customHeight="false" outlineLevel="0" collapsed="false">
      <c r="A485" s="8" t="n">
        <v>1</v>
      </c>
      <c r="B485" s="8" t="s">
        <v>255</v>
      </c>
      <c r="D485" s="8" t="n">
        <v>3</v>
      </c>
      <c r="E485" s="8" t="n">
        <v>0</v>
      </c>
      <c r="F485" s="8" t="n">
        <v>217</v>
      </c>
      <c r="G485" s="8" t="n">
        <v>38.6</v>
      </c>
      <c r="H485" s="8" t="n">
        <v>6.018</v>
      </c>
      <c r="I485" s="8" t="n">
        <v>0</v>
      </c>
      <c r="N485" s="8" t="n">
        <v>3.728</v>
      </c>
      <c r="R485" s="9" t="str">
        <f aca="false">IF($D485="","",IF($F485&lt;&gt;"","N",IF($J485&lt;&gt;"","C","")))</f>
        <v>N</v>
      </c>
      <c r="S485" s="9" t="str">
        <f aca="false">IF($R485="","",$A485&amp;"|"&amp;$R485&amp;"|"&amp;$D485)</f>
        <v>1|N|3</v>
      </c>
    </row>
    <row r="486" customFormat="false" ht="15" hidden="false" customHeight="false" outlineLevel="0" collapsed="false">
      <c r="A486" s="8" t="n">
        <v>1</v>
      </c>
      <c r="B486" s="8" t="s">
        <v>255</v>
      </c>
      <c r="D486" s="8" t="n">
        <v>4</v>
      </c>
      <c r="E486" s="8" t="n">
        <v>0</v>
      </c>
      <c r="I486" s="8" t="n">
        <v>1</v>
      </c>
      <c r="J486" s="8" t="n">
        <v>4705</v>
      </c>
      <c r="K486" s="8" t="n">
        <v>88.098</v>
      </c>
      <c r="O486" s="8" t="n">
        <v>-25.22</v>
      </c>
      <c r="R486" s="9" t="str">
        <f aca="false">IF($D486="","",IF($F486&lt;&gt;"","N",IF($J486&lt;&gt;"","C","")))</f>
        <v>C</v>
      </c>
      <c r="S486" s="9" t="str">
        <f aca="false">IF($R486="","",$A486&amp;"|"&amp;$R486&amp;"|"&amp;$D486)</f>
        <v>1|C|4</v>
      </c>
    </row>
    <row r="487" customFormat="false" ht="15" hidden="false" customHeight="false" outlineLevel="0" collapsed="false">
      <c r="A487" s="8" t="n">
        <v>1</v>
      </c>
      <c r="B487" s="8" t="s">
        <v>255</v>
      </c>
      <c r="D487" s="8" t="n">
        <v>5</v>
      </c>
      <c r="E487" s="8" t="n">
        <v>0</v>
      </c>
      <c r="I487" s="8" t="n">
        <v>0</v>
      </c>
      <c r="J487" s="8" t="n">
        <v>4677</v>
      </c>
      <c r="K487" s="8" t="n">
        <v>88.349</v>
      </c>
      <c r="O487" s="8" t="n">
        <v>-25.736</v>
      </c>
      <c r="R487" s="9" t="str">
        <f aca="false">IF($D487="","",IF($F487&lt;&gt;"","N",IF($J487&lt;&gt;"","C","")))</f>
        <v>C</v>
      </c>
      <c r="S487" s="9" t="str">
        <f aca="false">IF($R487="","",$A487&amp;"|"&amp;$R487&amp;"|"&amp;$D487)</f>
        <v>1|C|5</v>
      </c>
    </row>
    <row r="488" customFormat="false" ht="15" hidden="false" customHeight="false" outlineLevel="0" collapsed="false">
      <c r="A488" s="8" t="n">
        <v>1</v>
      </c>
      <c r="B488" s="8" t="s">
        <v>255</v>
      </c>
      <c r="D488" s="8" t="n">
        <v>6</v>
      </c>
      <c r="E488" s="8" t="n">
        <v>0</v>
      </c>
      <c r="I488" s="8" t="n">
        <v>0</v>
      </c>
      <c r="J488" s="8" t="n">
        <v>4677</v>
      </c>
      <c r="K488" s="8" t="n">
        <v>88.576</v>
      </c>
      <c r="O488" s="8" t="n">
        <v>-25.918</v>
      </c>
      <c r="R488" s="9" t="str">
        <f aca="false">IF($D488="","",IF($F488&lt;&gt;"","N",IF($J488&lt;&gt;"","C","")))</f>
        <v>C</v>
      </c>
      <c r="S488" s="9" t="str">
        <f aca="false">IF($R488="","",$A488&amp;"|"&amp;$R488&amp;"|"&amp;$D488)</f>
        <v>1|C|6</v>
      </c>
    </row>
    <row r="489" customFormat="false" ht="15" hidden="false" customHeight="false" outlineLevel="0" collapsed="false">
      <c r="R489" s="9" t="str">
        <f aca="false">IF($D489="","",IF($F489&lt;&gt;"","N",IF($J489&lt;&gt;"","C","")))</f>
        <v/>
      </c>
      <c r="S489" s="9" t="str">
        <f aca="false">IF($R489="","",$A489&amp;"|"&amp;$R489&amp;"|"&amp;$D489)</f>
        <v/>
      </c>
    </row>
    <row r="490" customFormat="false" ht="15" hidden="false" customHeight="false" outlineLevel="0" collapsed="false">
      <c r="R490" s="9" t="str">
        <f aca="false">IF($D490="","",IF($F490&lt;&gt;"","N",IF($J490&lt;&gt;"","C","")))</f>
        <v/>
      </c>
      <c r="S490" s="9" t="str">
        <f aca="false">IF($R490="","",$A490&amp;"|"&amp;$R490&amp;"|"&amp;$D490)</f>
        <v/>
      </c>
    </row>
    <row r="491" customFormat="false" ht="15" hidden="false" customHeight="false" outlineLevel="0" collapsed="false">
      <c r="R491" s="9" t="str">
        <f aca="false">IF($D491="","",IF($F491&lt;&gt;"","N",IF($J491&lt;&gt;"","C","")))</f>
        <v/>
      </c>
      <c r="S491" s="9" t="str">
        <f aca="false">IF($R491="","",$A491&amp;"|"&amp;$R491&amp;"|"&amp;$D491)</f>
        <v/>
      </c>
    </row>
    <row r="492" customFormat="false" ht="15" hidden="false" customHeight="false" outlineLevel="0" collapsed="false">
      <c r="R492" s="9" t="str">
        <f aca="false">IF($D492="","",IF($F492&lt;&gt;"","N",IF($J492&lt;&gt;"","C","")))</f>
        <v/>
      </c>
      <c r="S492" s="9" t="str">
        <f aca="false">IF($R492="","",$A492&amp;"|"&amp;$R492&amp;"|"&amp;$D492)</f>
        <v/>
      </c>
    </row>
    <row r="493" customFormat="false" ht="15" hidden="false" customHeight="false" outlineLevel="0" collapsed="false">
      <c r="R493" s="9" t="str">
        <f aca="false">IF($D493="","",IF($F493&lt;&gt;"","N",IF($J493&lt;&gt;"","C","")))</f>
        <v/>
      </c>
      <c r="S493" s="9" t="str">
        <f aca="false">IF($R493="","",$A493&amp;"|"&amp;$R493&amp;"|"&amp;$D493)</f>
        <v/>
      </c>
    </row>
    <row r="494" customFormat="false" ht="15" hidden="false" customHeight="false" outlineLevel="0" collapsed="false">
      <c r="R494" s="9" t="str">
        <f aca="false">IF($D494="","",IF($F494&lt;&gt;"","N",IF($J494&lt;&gt;"","C","")))</f>
        <v/>
      </c>
      <c r="S494" s="9" t="str">
        <f aca="false">IF($R494="","",$A494&amp;"|"&amp;$R494&amp;"|"&amp;$D494)</f>
        <v/>
      </c>
    </row>
    <row r="495" customFormat="false" ht="15" hidden="false" customHeight="false" outlineLevel="0" collapsed="false">
      <c r="R495" s="9" t="str">
        <f aca="false">IF($D495="","",IF($F495&lt;&gt;"","N",IF($J495&lt;&gt;"","C","")))</f>
        <v/>
      </c>
      <c r="S495" s="9" t="str">
        <f aca="false">IF($R495="","",$A495&amp;"|"&amp;$R495&amp;"|"&amp;$D495)</f>
        <v/>
      </c>
    </row>
    <row r="496" customFormat="false" ht="15" hidden="false" customHeight="false" outlineLevel="0" collapsed="false">
      <c r="R496" s="9" t="str">
        <f aca="false">IF($D496="","",IF($F496&lt;&gt;"","N",IF($J496&lt;&gt;"","C","")))</f>
        <v/>
      </c>
      <c r="S496" s="9" t="str">
        <f aca="false">IF($R496="","",$A496&amp;"|"&amp;$R496&amp;"|"&amp;$D496)</f>
        <v/>
      </c>
    </row>
    <row r="497" customFormat="false" ht="15" hidden="false" customHeight="false" outlineLevel="0" collapsed="false">
      <c r="R497" s="9" t="str">
        <f aca="false">IF($D497="","",IF($F497&lt;&gt;"","N",IF($J497&lt;&gt;"","C","")))</f>
        <v/>
      </c>
      <c r="S497" s="9" t="str">
        <f aca="false">IF($R497="","",$A497&amp;"|"&amp;$R497&amp;"|"&amp;$D497)</f>
        <v/>
      </c>
    </row>
    <row r="498" customFormat="false" ht="15" hidden="false" customHeight="false" outlineLevel="0" collapsed="false">
      <c r="R498" s="9" t="str">
        <f aca="false">IF($D498="","",IF($F498&lt;&gt;"","N",IF($J498&lt;&gt;"","C","")))</f>
        <v/>
      </c>
      <c r="S498" s="9" t="str">
        <f aca="false">IF($R498="","",$A498&amp;"|"&amp;$R498&amp;"|"&amp;$D498)</f>
        <v/>
      </c>
    </row>
    <row r="499" customFormat="false" ht="15" hidden="false" customHeight="false" outlineLevel="0" collapsed="false">
      <c r="R499" s="9" t="str">
        <f aca="false">IF($D499="","",IF($F499&lt;&gt;"","N",IF($J499&lt;&gt;"","C","")))</f>
        <v/>
      </c>
      <c r="S499" s="9" t="str">
        <f aca="false">IF($R499="","",$A499&amp;"|"&amp;$R499&amp;"|"&amp;$D499)</f>
        <v/>
      </c>
    </row>
    <row r="500" customFormat="false" ht="15" hidden="false" customHeight="false" outlineLevel="0" collapsed="false">
      <c r="R500" s="9" t="str">
        <f aca="false">IF($D500="","",IF($F500&lt;&gt;"","N",IF($J500&lt;&gt;"","C","")))</f>
        <v/>
      </c>
      <c r="S500" s="9" t="str">
        <f aca="false">IF($R500="","",$A500&amp;"|"&amp;$R500&amp;"|"&amp;$D500)</f>
        <v/>
      </c>
    </row>
    <row r="501" customFormat="false" ht="15" hidden="false" customHeight="false" outlineLevel="0" collapsed="false">
      <c r="R501" s="9" t="str">
        <f aca="false">IF($D501="","",IF($F501&lt;&gt;"","N",IF($J501&lt;&gt;"","C","")))</f>
        <v/>
      </c>
      <c r="S501" s="9" t="str">
        <f aca="false">IF($R501="","",$A501&amp;"|"&amp;$R501&amp;"|"&amp;$D501)</f>
        <v/>
      </c>
    </row>
    <row r="502" customFormat="false" ht="15" hidden="false" customHeight="false" outlineLevel="0" collapsed="false">
      <c r="R502" s="9" t="str">
        <f aca="false">IF($D502="","",IF($F502&lt;&gt;"","N",IF($J502&lt;&gt;"","C","")))</f>
        <v/>
      </c>
      <c r="S502" s="9" t="str">
        <f aca="false">IF($R502="","",$A502&amp;"|"&amp;$R502&amp;"|"&amp;$D502)</f>
        <v/>
      </c>
    </row>
    <row r="503" customFormat="false" ht="15" hidden="false" customHeight="false" outlineLevel="0" collapsed="false">
      <c r="R503" s="9" t="str">
        <f aca="false">IF($D503="","",IF($F503&lt;&gt;"","N",IF($J503&lt;&gt;"","C","")))</f>
        <v/>
      </c>
      <c r="S503" s="9" t="str">
        <f aca="false">IF($R503="","",$A503&amp;"|"&amp;$R503&amp;"|"&amp;$D503)</f>
        <v/>
      </c>
    </row>
    <row r="504" customFormat="false" ht="15" hidden="false" customHeight="false" outlineLevel="0" collapsed="false">
      <c r="R504" s="9" t="str">
        <f aca="false">IF($D504="","",IF($F504&lt;&gt;"","N",IF($J504&lt;&gt;"","C","")))</f>
        <v/>
      </c>
      <c r="S504" s="9" t="str">
        <f aca="false">IF($R504="","",$A504&amp;"|"&amp;$R504&amp;"|"&amp;$D504)</f>
        <v/>
      </c>
    </row>
    <row r="505" customFormat="false" ht="15" hidden="false" customHeight="false" outlineLevel="0" collapsed="false">
      <c r="R505" s="9" t="str">
        <f aca="false">IF($D505="","",IF($F505&lt;&gt;"","N",IF($J505&lt;&gt;"","C","")))</f>
        <v/>
      </c>
      <c r="S505" s="9" t="str">
        <f aca="false">IF($R505="","",$A505&amp;"|"&amp;$R505&amp;"|"&amp;$D505)</f>
        <v/>
      </c>
    </row>
    <row r="506" customFormat="false" ht="15" hidden="false" customHeight="false" outlineLevel="0" collapsed="false">
      <c r="R506" s="9" t="str">
        <f aca="false">IF($D506="","",IF($F506&lt;&gt;"","N",IF($J506&lt;&gt;"","C","")))</f>
        <v/>
      </c>
      <c r="S506" s="9" t="str">
        <f aca="false">IF($R506="","",$A506&amp;"|"&amp;$R506&amp;"|"&amp;$D506)</f>
        <v/>
      </c>
    </row>
    <row r="507" customFormat="false" ht="15" hidden="false" customHeight="false" outlineLevel="0" collapsed="false">
      <c r="R507" s="9" t="str">
        <f aca="false">IF($D507="","",IF($F507&lt;&gt;"","N",IF($J507&lt;&gt;"","C","")))</f>
        <v/>
      </c>
      <c r="S507" s="9" t="str">
        <f aca="false">IF($R507="","",$A507&amp;"|"&amp;$R507&amp;"|"&amp;$D507)</f>
        <v/>
      </c>
    </row>
    <row r="508" customFormat="false" ht="15" hidden="false" customHeight="false" outlineLevel="0" collapsed="false">
      <c r="R508" s="9" t="str">
        <f aca="false">IF($D508="","",IF($F508&lt;&gt;"","N",IF($J508&lt;&gt;"","C","")))</f>
        <v/>
      </c>
      <c r="S508" s="9" t="str">
        <f aca="false">IF($R508="","",$A508&amp;"|"&amp;$R508&amp;"|"&amp;$D508)</f>
        <v/>
      </c>
    </row>
    <row r="509" customFormat="false" ht="15" hidden="false" customHeight="false" outlineLevel="0" collapsed="false">
      <c r="R509" s="9" t="str">
        <f aca="false">IF($D509="","",IF($F509&lt;&gt;"","N",IF($J509&lt;&gt;"","C","")))</f>
        <v/>
      </c>
      <c r="S509" s="9" t="str">
        <f aca="false">IF($R509="","",$A509&amp;"|"&amp;$R509&amp;"|"&amp;$D509)</f>
        <v/>
      </c>
    </row>
    <row r="510" customFormat="false" ht="15" hidden="false" customHeight="false" outlineLevel="0" collapsed="false">
      <c r="R510" s="9" t="str">
        <f aca="false">IF($D510="","",IF($F510&lt;&gt;"","N",IF($J510&lt;&gt;"","C","")))</f>
        <v/>
      </c>
      <c r="S510" s="9" t="str">
        <f aca="false">IF($R510="","",$A510&amp;"|"&amp;$R510&amp;"|"&amp;$D510)</f>
        <v/>
      </c>
    </row>
    <row r="511" customFormat="false" ht="15" hidden="false" customHeight="false" outlineLevel="0" collapsed="false">
      <c r="R511" s="9" t="str">
        <f aca="false">IF($D511="","",IF($F511&lt;&gt;"","N",IF($J511&lt;&gt;"","C","")))</f>
        <v/>
      </c>
      <c r="S511" s="9" t="str">
        <f aca="false">IF($R511="","",$A511&amp;"|"&amp;$R511&amp;"|"&amp;$D511)</f>
        <v/>
      </c>
    </row>
    <row r="512" customFormat="false" ht="15" hidden="false" customHeight="false" outlineLevel="0" collapsed="false">
      <c r="R512" s="9" t="str">
        <f aca="false">IF($D512="","",IF($F512&lt;&gt;"","N",IF($J512&lt;&gt;"","C","")))</f>
        <v/>
      </c>
      <c r="S512" s="9" t="str">
        <f aca="false">IF($R512="","",$A512&amp;"|"&amp;$R512&amp;"|"&amp;$D512)</f>
        <v/>
      </c>
    </row>
    <row r="513" customFormat="false" ht="15" hidden="false" customHeight="false" outlineLevel="0" collapsed="false">
      <c r="R513" s="9" t="str">
        <f aca="false">IF($D513="","",IF($F513&lt;&gt;"","N",IF($J513&lt;&gt;"","C","")))</f>
        <v/>
      </c>
      <c r="S513" s="9" t="str">
        <f aca="false">IF($R513="","",$A513&amp;"|"&amp;$R513&amp;"|"&amp;$D513)</f>
        <v/>
      </c>
    </row>
    <row r="514" customFormat="false" ht="15" hidden="false" customHeight="false" outlineLevel="0" collapsed="false">
      <c r="R514" s="9" t="str">
        <f aca="false">IF($D514="","",IF($F514&lt;&gt;"","N",IF($J514&lt;&gt;"","C","")))</f>
        <v/>
      </c>
      <c r="S514" s="9" t="str">
        <f aca="false">IF($R514="","",$A514&amp;"|"&amp;$R514&amp;"|"&amp;$D514)</f>
        <v/>
      </c>
    </row>
    <row r="515" customFormat="false" ht="15" hidden="false" customHeight="false" outlineLevel="0" collapsed="false">
      <c r="R515" s="9" t="str">
        <f aca="false">IF($D515="","",IF($F515&lt;&gt;"","N",IF($J515&lt;&gt;"","C","")))</f>
        <v/>
      </c>
      <c r="S515" s="9" t="str">
        <f aca="false">IF($R515="","",$A515&amp;"|"&amp;$R515&amp;"|"&amp;$D515)</f>
        <v/>
      </c>
    </row>
    <row r="516" customFormat="false" ht="15" hidden="false" customHeight="false" outlineLevel="0" collapsed="false">
      <c r="R516" s="9" t="str">
        <f aca="false">IF($D516="","",IF($F516&lt;&gt;"","N",IF($J516&lt;&gt;"","C","")))</f>
        <v/>
      </c>
      <c r="S516" s="9" t="str">
        <f aca="false">IF($R516="","",$A516&amp;"|"&amp;$R516&amp;"|"&amp;$D516)</f>
        <v/>
      </c>
    </row>
    <row r="517" customFormat="false" ht="15" hidden="false" customHeight="false" outlineLevel="0" collapsed="false">
      <c r="R517" s="9" t="str">
        <f aca="false">IF($D517="","",IF($F517&lt;&gt;"","N",IF($J517&lt;&gt;"","C","")))</f>
        <v/>
      </c>
      <c r="S517" s="9" t="str">
        <f aca="false">IF($R517="","",$A517&amp;"|"&amp;$R517&amp;"|"&amp;$D517)</f>
        <v/>
      </c>
    </row>
    <row r="518" customFormat="false" ht="15" hidden="false" customHeight="false" outlineLevel="0" collapsed="false">
      <c r="R518" s="9" t="str">
        <f aca="false">IF($D518="","",IF($F518&lt;&gt;"","N",IF($J518&lt;&gt;"","C","")))</f>
        <v/>
      </c>
      <c r="S518" s="9" t="str">
        <f aca="false">IF($R518="","",$A518&amp;"|"&amp;$R518&amp;"|"&amp;$D518)</f>
        <v/>
      </c>
    </row>
    <row r="519" customFormat="false" ht="15" hidden="false" customHeight="false" outlineLevel="0" collapsed="false">
      <c r="R519" s="9" t="str">
        <f aca="false">IF($D519="","",IF($F519&lt;&gt;"","N",IF($J519&lt;&gt;"","C","")))</f>
        <v/>
      </c>
      <c r="S519" s="9" t="str">
        <f aca="false">IF($R519="","",$A519&amp;"|"&amp;$R519&amp;"|"&amp;$D519)</f>
        <v/>
      </c>
    </row>
    <row r="520" customFormat="false" ht="15" hidden="false" customHeight="false" outlineLevel="0" collapsed="false">
      <c r="R520" s="9" t="str">
        <f aca="false">IF($D520="","",IF($F520&lt;&gt;"","N",IF($J520&lt;&gt;"","C","")))</f>
        <v/>
      </c>
      <c r="S520" s="9" t="str">
        <f aca="false">IF($R520="","",$A520&amp;"|"&amp;$R520&amp;"|"&amp;$D520)</f>
        <v/>
      </c>
    </row>
    <row r="521" customFormat="false" ht="15" hidden="false" customHeight="false" outlineLevel="0" collapsed="false">
      <c r="R521" s="9" t="str">
        <f aca="false">IF($D521="","",IF($F521&lt;&gt;"","N",IF($J521&lt;&gt;"","C","")))</f>
        <v/>
      </c>
      <c r="S521" s="9" t="str">
        <f aca="false">IF($R521="","",$A521&amp;"|"&amp;$R521&amp;"|"&amp;$D521)</f>
        <v/>
      </c>
    </row>
    <row r="522" customFormat="false" ht="15" hidden="false" customHeight="false" outlineLevel="0" collapsed="false">
      <c r="R522" s="9" t="str">
        <f aca="false">IF($D522="","",IF($F522&lt;&gt;"","N",IF($J522&lt;&gt;"","C","")))</f>
        <v/>
      </c>
      <c r="S522" s="9" t="str">
        <f aca="false">IF($R522="","",$A522&amp;"|"&amp;$R522&amp;"|"&amp;$D522)</f>
        <v/>
      </c>
    </row>
    <row r="523" customFormat="false" ht="15" hidden="false" customHeight="false" outlineLevel="0" collapsed="false">
      <c r="R523" s="9" t="str">
        <f aca="false">IF($D523="","",IF($F523&lt;&gt;"","N",IF($J523&lt;&gt;"","C","")))</f>
        <v/>
      </c>
      <c r="S523" s="9" t="str">
        <f aca="false">IF($R523="","",$A523&amp;"|"&amp;$R523&amp;"|"&amp;$D523)</f>
        <v/>
      </c>
    </row>
    <row r="524" customFormat="false" ht="15" hidden="false" customHeight="false" outlineLevel="0" collapsed="false">
      <c r="R524" s="9" t="str">
        <f aca="false">IF($D524="","",IF($F524&lt;&gt;"","N",IF($J524&lt;&gt;"","C","")))</f>
        <v/>
      </c>
      <c r="S524" s="9" t="str">
        <f aca="false">IF($R524="","",$A524&amp;"|"&amp;$R524&amp;"|"&amp;$D524)</f>
        <v/>
      </c>
    </row>
    <row r="525" customFormat="false" ht="15" hidden="false" customHeight="false" outlineLevel="0" collapsed="false">
      <c r="R525" s="9" t="str">
        <f aca="false">IF($D525="","",IF($F525&lt;&gt;"","N",IF($J525&lt;&gt;"","C","")))</f>
        <v/>
      </c>
      <c r="S525" s="9" t="str">
        <f aca="false">IF($R525="","",$A525&amp;"|"&amp;$R525&amp;"|"&amp;$D525)</f>
        <v/>
      </c>
    </row>
    <row r="526" customFormat="false" ht="15" hidden="false" customHeight="false" outlineLevel="0" collapsed="false">
      <c r="R526" s="9" t="str">
        <f aca="false">IF($D526="","",IF($F526&lt;&gt;"","N",IF($J526&lt;&gt;"","C","")))</f>
        <v/>
      </c>
      <c r="S526" s="9" t="str">
        <f aca="false">IF($R526="","",$A526&amp;"|"&amp;$R526&amp;"|"&amp;$D526)</f>
        <v/>
      </c>
    </row>
    <row r="527" customFormat="false" ht="15" hidden="false" customHeight="false" outlineLevel="0" collapsed="false">
      <c r="R527" s="9" t="str">
        <f aca="false">IF($D527="","",IF($F527&lt;&gt;"","N",IF($J527&lt;&gt;"","C","")))</f>
        <v/>
      </c>
      <c r="S527" s="9" t="str">
        <f aca="false">IF($R527="","",$A527&amp;"|"&amp;$R527&amp;"|"&amp;$D527)</f>
        <v/>
      </c>
    </row>
    <row r="528" customFormat="false" ht="15" hidden="false" customHeight="false" outlineLevel="0" collapsed="false">
      <c r="R528" s="9" t="str">
        <f aca="false">IF($D528="","",IF($F528&lt;&gt;"","N",IF($J528&lt;&gt;"","C","")))</f>
        <v/>
      </c>
      <c r="S528" s="9" t="str">
        <f aca="false">IF($R528="","",$A528&amp;"|"&amp;$R528&amp;"|"&amp;$D528)</f>
        <v/>
      </c>
    </row>
    <row r="529" customFormat="false" ht="15" hidden="false" customHeight="false" outlineLevel="0" collapsed="false">
      <c r="R529" s="9" t="str">
        <f aca="false">IF($D529="","",IF($F529&lt;&gt;"","N",IF($J529&lt;&gt;"","C","")))</f>
        <v/>
      </c>
      <c r="S529" s="9" t="str">
        <f aca="false">IF($R529="","",$A529&amp;"|"&amp;$R529&amp;"|"&amp;$D529)</f>
        <v/>
      </c>
    </row>
    <row r="530" customFormat="false" ht="15" hidden="false" customHeight="false" outlineLevel="0" collapsed="false">
      <c r="R530" s="9" t="str">
        <f aca="false">IF($D530="","",IF($F530&lt;&gt;"","N",IF($J530&lt;&gt;"","C","")))</f>
        <v/>
      </c>
      <c r="S530" s="9" t="str">
        <f aca="false">IF($R530="","",$A530&amp;"|"&amp;$R530&amp;"|"&amp;$D530)</f>
        <v/>
      </c>
    </row>
    <row r="531" customFormat="false" ht="15" hidden="false" customHeight="false" outlineLevel="0" collapsed="false">
      <c r="R531" s="9" t="str">
        <f aca="false">IF($D531="","",IF($F531&lt;&gt;"","N",IF($J531&lt;&gt;"","C","")))</f>
        <v/>
      </c>
      <c r="S531" s="9" t="str">
        <f aca="false">IF($R531="","",$A531&amp;"|"&amp;$R531&amp;"|"&amp;$D531)</f>
        <v/>
      </c>
    </row>
    <row r="532" customFormat="false" ht="15" hidden="false" customHeight="false" outlineLevel="0" collapsed="false">
      <c r="R532" s="9" t="str">
        <f aca="false">IF($D532="","",IF($F532&lt;&gt;"","N",IF($J532&lt;&gt;"","C","")))</f>
        <v/>
      </c>
      <c r="S532" s="9" t="str">
        <f aca="false">IF($R532="","",$A532&amp;"|"&amp;$R532&amp;"|"&amp;$D532)</f>
        <v/>
      </c>
    </row>
    <row r="533" customFormat="false" ht="15" hidden="false" customHeight="false" outlineLevel="0" collapsed="false">
      <c r="R533" s="9" t="str">
        <f aca="false">IF($D533="","",IF($F533&lt;&gt;"","N",IF($J533&lt;&gt;"","C","")))</f>
        <v/>
      </c>
      <c r="S533" s="9" t="str">
        <f aca="false">IF($R533="","",$A533&amp;"|"&amp;$R533&amp;"|"&amp;$D533)</f>
        <v/>
      </c>
    </row>
    <row r="534" customFormat="false" ht="15" hidden="false" customHeight="false" outlineLevel="0" collapsed="false">
      <c r="R534" s="9" t="str">
        <f aca="false">IF($D534="","",IF($F534&lt;&gt;"","N",IF($J534&lt;&gt;"","C","")))</f>
        <v/>
      </c>
      <c r="S534" s="9" t="str">
        <f aca="false">IF($R534="","",$A534&amp;"|"&amp;$R534&amp;"|"&amp;$D534)</f>
        <v/>
      </c>
    </row>
    <row r="535" customFormat="false" ht="15" hidden="false" customHeight="false" outlineLevel="0" collapsed="false">
      <c r="R535" s="9" t="str">
        <f aca="false">IF($D535="","",IF($F535&lt;&gt;"","N",IF($J535&lt;&gt;"","C","")))</f>
        <v/>
      </c>
      <c r="S535" s="9" t="str">
        <f aca="false">IF($R535="","",$A535&amp;"|"&amp;$R535&amp;"|"&amp;$D535)</f>
        <v/>
      </c>
    </row>
    <row r="536" customFormat="false" ht="15" hidden="false" customHeight="false" outlineLevel="0" collapsed="false">
      <c r="R536" s="9" t="str">
        <f aca="false">IF($D536="","",IF($F536&lt;&gt;"","N",IF($J536&lt;&gt;"","C","")))</f>
        <v/>
      </c>
      <c r="S536" s="9" t="str">
        <f aca="false">IF($R536="","",$A536&amp;"|"&amp;$R536&amp;"|"&amp;$D536)</f>
        <v/>
      </c>
    </row>
    <row r="537" customFormat="false" ht="15" hidden="false" customHeight="false" outlineLevel="0" collapsed="false">
      <c r="R537" s="9" t="str">
        <f aca="false">IF($D537="","",IF($F537&lt;&gt;"","N",IF($J537&lt;&gt;"","C","")))</f>
        <v/>
      </c>
      <c r="S537" s="9" t="str">
        <f aca="false">IF($R537="","",$A537&amp;"|"&amp;$R537&amp;"|"&amp;$D537)</f>
        <v/>
      </c>
    </row>
    <row r="538" customFormat="false" ht="15" hidden="false" customHeight="false" outlineLevel="0" collapsed="false">
      <c r="R538" s="9" t="str">
        <f aca="false">IF($D538="","",IF($F538&lt;&gt;"","N",IF($J538&lt;&gt;"","C","")))</f>
        <v/>
      </c>
      <c r="S538" s="9" t="str">
        <f aca="false">IF($R538="","",$A538&amp;"|"&amp;$R538&amp;"|"&amp;$D538)</f>
        <v/>
      </c>
    </row>
    <row r="539" customFormat="false" ht="15" hidden="false" customHeight="false" outlineLevel="0" collapsed="false">
      <c r="R539" s="9" t="str">
        <f aca="false">IF($D539="","",IF($F539&lt;&gt;"","N",IF($J539&lt;&gt;"","C","")))</f>
        <v/>
      </c>
      <c r="S539" s="9" t="str">
        <f aca="false">IF($R539="","",$A539&amp;"|"&amp;$R539&amp;"|"&amp;$D539)</f>
        <v/>
      </c>
    </row>
    <row r="540" customFormat="false" ht="15" hidden="false" customHeight="false" outlineLevel="0" collapsed="false">
      <c r="R540" s="9" t="str">
        <f aca="false">IF($D540="","",IF($F540&lt;&gt;"","N",IF($J540&lt;&gt;"","C","")))</f>
        <v/>
      </c>
      <c r="S540" s="9" t="str">
        <f aca="false">IF($R540="","",$A540&amp;"|"&amp;$R540&amp;"|"&amp;$D540)</f>
        <v/>
      </c>
    </row>
    <row r="541" customFormat="false" ht="15" hidden="false" customHeight="false" outlineLevel="0" collapsed="false">
      <c r="R541" s="9" t="str">
        <f aca="false">IF($D541="","",IF($F541&lt;&gt;"","N",IF($J541&lt;&gt;"","C","")))</f>
        <v/>
      </c>
      <c r="S541" s="9" t="str">
        <f aca="false">IF($R541="","",$A541&amp;"|"&amp;$R541&amp;"|"&amp;$D541)</f>
        <v/>
      </c>
    </row>
    <row r="542" customFormat="false" ht="15" hidden="false" customHeight="false" outlineLevel="0" collapsed="false">
      <c r="R542" s="9" t="str">
        <f aca="false">IF($D542="","",IF($F542&lt;&gt;"","N",IF($J542&lt;&gt;"","C","")))</f>
        <v/>
      </c>
      <c r="S542" s="9" t="str">
        <f aca="false">IF($R542="","",$A542&amp;"|"&amp;$R542&amp;"|"&amp;$D542)</f>
        <v/>
      </c>
    </row>
    <row r="543" customFormat="false" ht="15" hidden="false" customHeight="false" outlineLevel="0" collapsed="false">
      <c r="R543" s="9" t="str">
        <f aca="false">IF($D543="","",IF($F543&lt;&gt;"","N",IF($J543&lt;&gt;"","C","")))</f>
        <v/>
      </c>
      <c r="S543" s="9" t="str">
        <f aca="false">IF($R543="","",$A543&amp;"|"&amp;$R543&amp;"|"&amp;$D543)</f>
        <v/>
      </c>
    </row>
    <row r="544" customFormat="false" ht="15" hidden="false" customHeight="false" outlineLevel="0" collapsed="false">
      <c r="R544" s="9" t="str">
        <f aca="false">IF($D544="","",IF($F544&lt;&gt;"","N",IF($J544&lt;&gt;"","C","")))</f>
        <v/>
      </c>
      <c r="S544" s="9" t="str">
        <f aca="false">IF($R544="","",$A544&amp;"|"&amp;$R544&amp;"|"&amp;$D544)</f>
        <v/>
      </c>
    </row>
    <row r="545" customFormat="false" ht="15" hidden="false" customHeight="false" outlineLevel="0" collapsed="false">
      <c r="R545" s="9" t="str">
        <f aca="false">IF($D545="","",IF($F545&lt;&gt;"","N",IF($J545&lt;&gt;"","C","")))</f>
        <v/>
      </c>
      <c r="S545" s="9" t="str">
        <f aca="false">IF($R545="","",$A545&amp;"|"&amp;$R545&amp;"|"&amp;$D545)</f>
        <v/>
      </c>
    </row>
    <row r="546" customFormat="false" ht="15" hidden="false" customHeight="false" outlineLevel="0" collapsed="false">
      <c r="R546" s="9" t="str">
        <f aca="false">IF($D546="","",IF($F546&lt;&gt;"","N",IF($J546&lt;&gt;"","C","")))</f>
        <v/>
      </c>
      <c r="S546" s="9" t="str">
        <f aca="false">IF($R546="","",$A546&amp;"|"&amp;$R546&amp;"|"&amp;$D546)</f>
        <v/>
      </c>
    </row>
    <row r="547" customFormat="false" ht="15" hidden="false" customHeight="false" outlineLevel="0" collapsed="false">
      <c r="R547" s="9" t="str">
        <f aca="false">IF($D547="","",IF($F547&lt;&gt;"","N",IF($J547&lt;&gt;"","C","")))</f>
        <v/>
      </c>
      <c r="S547" s="9" t="str">
        <f aca="false">IF($R547="","",$A547&amp;"|"&amp;$R547&amp;"|"&amp;$D547)</f>
        <v/>
      </c>
    </row>
    <row r="548" customFormat="false" ht="15" hidden="false" customHeight="false" outlineLevel="0" collapsed="false">
      <c r="R548" s="9" t="str">
        <f aca="false">IF($D548="","",IF($F548&lt;&gt;"","N",IF($J548&lt;&gt;"","C","")))</f>
        <v/>
      </c>
      <c r="S548" s="9" t="str">
        <f aca="false">IF($R548="","",$A548&amp;"|"&amp;$R548&amp;"|"&amp;$D548)</f>
        <v/>
      </c>
    </row>
    <row r="549" customFormat="false" ht="15" hidden="false" customHeight="false" outlineLevel="0" collapsed="false">
      <c r="R549" s="9" t="str">
        <f aca="false">IF($D549="","",IF($F549&lt;&gt;"","N",IF($J549&lt;&gt;"","C","")))</f>
        <v/>
      </c>
      <c r="S549" s="9" t="str">
        <f aca="false">IF($R549="","",$A549&amp;"|"&amp;$R549&amp;"|"&amp;$D549)</f>
        <v/>
      </c>
    </row>
    <row r="550" customFormat="false" ht="15" hidden="false" customHeight="false" outlineLevel="0" collapsed="false">
      <c r="R550" s="9" t="str">
        <f aca="false">IF($D550="","",IF($F550&lt;&gt;"","N",IF($J550&lt;&gt;"","C","")))</f>
        <v/>
      </c>
      <c r="S550" s="9" t="str">
        <f aca="false">IF($R550="","",$A550&amp;"|"&amp;$R550&amp;"|"&amp;$D550)</f>
        <v/>
      </c>
    </row>
    <row r="551" customFormat="false" ht="15" hidden="false" customHeight="false" outlineLevel="0" collapsed="false">
      <c r="R551" s="9" t="str">
        <f aca="false">IF($D551="","",IF($F551&lt;&gt;"","N",IF($J551&lt;&gt;"","C","")))</f>
        <v/>
      </c>
      <c r="S551" s="9" t="str">
        <f aca="false">IF($R551="","",$A551&amp;"|"&amp;$R551&amp;"|"&amp;$D551)</f>
        <v/>
      </c>
    </row>
    <row r="552" customFormat="false" ht="15" hidden="false" customHeight="false" outlineLevel="0" collapsed="false">
      <c r="R552" s="9" t="str">
        <f aca="false">IF($D552="","",IF($F552&lt;&gt;"","N",IF($J552&lt;&gt;"","C","")))</f>
        <v/>
      </c>
      <c r="S552" s="9" t="str">
        <f aca="false">IF($R552="","",$A552&amp;"|"&amp;$R552&amp;"|"&amp;$D552)</f>
        <v/>
      </c>
    </row>
    <row r="553" customFormat="false" ht="15" hidden="false" customHeight="false" outlineLevel="0" collapsed="false">
      <c r="R553" s="9" t="str">
        <f aca="false">IF($D553="","",IF($F553&lt;&gt;"","N",IF($J553&lt;&gt;"","C","")))</f>
        <v/>
      </c>
      <c r="S553" s="9" t="str">
        <f aca="false">IF($R553="","",$A553&amp;"|"&amp;$R553&amp;"|"&amp;$D553)</f>
        <v/>
      </c>
    </row>
    <row r="554" customFormat="false" ht="15" hidden="false" customHeight="false" outlineLevel="0" collapsed="false">
      <c r="R554" s="9" t="str">
        <f aca="false">IF($D554="","",IF($F554&lt;&gt;"","N",IF($J554&lt;&gt;"","C","")))</f>
        <v/>
      </c>
      <c r="S554" s="9" t="str">
        <f aca="false">IF($R554="","",$A554&amp;"|"&amp;$R554&amp;"|"&amp;$D554)</f>
        <v/>
      </c>
    </row>
    <row r="555" customFormat="false" ht="15" hidden="false" customHeight="false" outlineLevel="0" collapsed="false">
      <c r="R555" s="9" t="str">
        <f aca="false">IF($D555="","",IF($F555&lt;&gt;"","N",IF($J555&lt;&gt;"","C","")))</f>
        <v/>
      </c>
      <c r="S555" s="9" t="str">
        <f aca="false">IF($R555="","",$A555&amp;"|"&amp;$R555&amp;"|"&amp;$D555)</f>
        <v/>
      </c>
    </row>
    <row r="556" customFormat="false" ht="15" hidden="false" customHeight="false" outlineLevel="0" collapsed="false">
      <c r="R556" s="9" t="str">
        <f aca="false">IF($D556="","",IF($F556&lt;&gt;"","N",IF($J556&lt;&gt;"","C","")))</f>
        <v/>
      </c>
      <c r="S556" s="9" t="str">
        <f aca="false">IF($R556="","",$A556&amp;"|"&amp;$R556&amp;"|"&amp;$D556)</f>
        <v/>
      </c>
    </row>
    <row r="557" customFormat="false" ht="15" hidden="false" customHeight="false" outlineLevel="0" collapsed="false">
      <c r="R557" s="9" t="str">
        <f aca="false">IF($D557="","",IF($F557&lt;&gt;"","N",IF($J557&lt;&gt;"","C","")))</f>
        <v/>
      </c>
      <c r="S557" s="9" t="str">
        <f aca="false">IF($R557="","",$A557&amp;"|"&amp;$R557&amp;"|"&amp;$D557)</f>
        <v/>
      </c>
    </row>
    <row r="558" customFormat="false" ht="15" hidden="false" customHeight="false" outlineLevel="0" collapsed="false">
      <c r="R558" s="9" t="str">
        <f aca="false">IF($D558="","",IF($F558&lt;&gt;"","N",IF($J558&lt;&gt;"","C","")))</f>
        <v/>
      </c>
      <c r="S558" s="9" t="str">
        <f aca="false">IF($R558="","",$A558&amp;"|"&amp;$R558&amp;"|"&amp;$D558)</f>
        <v/>
      </c>
    </row>
    <row r="559" customFormat="false" ht="15" hidden="false" customHeight="false" outlineLevel="0" collapsed="false">
      <c r="R559" s="9" t="str">
        <f aca="false">IF($D559="","",IF($F559&lt;&gt;"","N",IF($J559&lt;&gt;"","C","")))</f>
        <v/>
      </c>
      <c r="S559" s="9" t="str">
        <f aca="false">IF($R559="","",$A559&amp;"|"&amp;$R559&amp;"|"&amp;$D559)</f>
        <v/>
      </c>
    </row>
    <row r="560" customFormat="false" ht="15" hidden="false" customHeight="false" outlineLevel="0" collapsed="false">
      <c r="R560" s="9" t="str">
        <f aca="false">IF($D560="","",IF($F560&lt;&gt;"","N",IF($J560&lt;&gt;"","C","")))</f>
        <v/>
      </c>
      <c r="S560" s="9" t="str">
        <f aca="false">IF($R560="","",$A560&amp;"|"&amp;$R560&amp;"|"&amp;$D560)</f>
        <v/>
      </c>
    </row>
    <row r="561" customFormat="false" ht="15" hidden="false" customHeight="false" outlineLevel="0" collapsed="false">
      <c r="R561" s="9" t="str">
        <f aca="false">IF($D561="","",IF($F561&lt;&gt;"","N",IF($J561&lt;&gt;"","C","")))</f>
        <v/>
      </c>
      <c r="S561" s="9" t="str">
        <f aca="false">IF($R561="","",$A561&amp;"|"&amp;$R561&amp;"|"&amp;$D561)</f>
        <v/>
      </c>
    </row>
    <row r="562" customFormat="false" ht="15" hidden="false" customHeight="false" outlineLevel="0" collapsed="false">
      <c r="R562" s="9" t="str">
        <f aca="false">IF($D562="","",IF($F562&lt;&gt;"","N",IF($J562&lt;&gt;"","C","")))</f>
        <v/>
      </c>
      <c r="S562" s="9" t="str">
        <f aca="false">IF($R562="","",$A562&amp;"|"&amp;$R562&amp;"|"&amp;$D562)</f>
        <v/>
      </c>
    </row>
    <row r="563" customFormat="false" ht="15" hidden="false" customHeight="false" outlineLevel="0" collapsed="false">
      <c r="R563" s="9" t="str">
        <f aca="false">IF($D563="","",IF($F563&lt;&gt;"","N",IF($J563&lt;&gt;"","C","")))</f>
        <v/>
      </c>
      <c r="S563" s="9" t="str">
        <f aca="false">IF($R563="","",$A563&amp;"|"&amp;$R563&amp;"|"&amp;$D563)</f>
        <v/>
      </c>
    </row>
    <row r="564" customFormat="false" ht="15" hidden="false" customHeight="false" outlineLevel="0" collapsed="false">
      <c r="R564" s="9" t="str">
        <f aca="false">IF($D564="","",IF($F564&lt;&gt;"","N",IF($J564&lt;&gt;"","C","")))</f>
        <v/>
      </c>
      <c r="S564" s="9" t="str">
        <f aca="false">IF($R564="","",$A564&amp;"|"&amp;$R564&amp;"|"&amp;$D564)</f>
        <v/>
      </c>
    </row>
    <row r="565" customFormat="false" ht="15" hidden="false" customHeight="false" outlineLevel="0" collapsed="false">
      <c r="R565" s="9" t="str">
        <f aca="false">IF($D565="","",IF($F565&lt;&gt;"","N",IF($J565&lt;&gt;"","C","")))</f>
        <v/>
      </c>
      <c r="S565" s="9" t="str">
        <f aca="false">IF($R565="","",$A565&amp;"|"&amp;$R565&amp;"|"&amp;$D565)</f>
        <v/>
      </c>
    </row>
    <row r="566" customFormat="false" ht="15" hidden="false" customHeight="false" outlineLevel="0" collapsed="false">
      <c r="R566" s="9" t="str">
        <f aca="false">IF($D566="","",IF($F566&lt;&gt;"","N",IF($J566&lt;&gt;"","C","")))</f>
        <v/>
      </c>
      <c r="S566" s="9" t="str">
        <f aca="false">IF($R566="","",$A566&amp;"|"&amp;$R566&amp;"|"&amp;$D566)</f>
        <v/>
      </c>
    </row>
    <row r="567" customFormat="false" ht="15" hidden="false" customHeight="false" outlineLevel="0" collapsed="false">
      <c r="R567" s="9" t="str">
        <f aca="false">IF($D567="","",IF($F567&lt;&gt;"","N",IF($J567&lt;&gt;"","C","")))</f>
        <v/>
      </c>
      <c r="S567" s="9" t="str">
        <f aca="false">IF($R567="","",$A567&amp;"|"&amp;$R567&amp;"|"&amp;$D567)</f>
        <v/>
      </c>
    </row>
    <row r="568" customFormat="false" ht="15" hidden="false" customHeight="false" outlineLevel="0" collapsed="false">
      <c r="R568" s="9" t="str">
        <f aca="false">IF($D568="","",IF($F568&lt;&gt;"","N",IF($J568&lt;&gt;"","C","")))</f>
        <v/>
      </c>
      <c r="S568" s="9" t="str">
        <f aca="false">IF($R568="","",$A568&amp;"|"&amp;$R568&amp;"|"&amp;$D568)</f>
        <v/>
      </c>
    </row>
    <row r="569" customFormat="false" ht="15" hidden="false" customHeight="false" outlineLevel="0" collapsed="false">
      <c r="R569" s="9" t="str">
        <f aca="false">IF($D569="","",IF($F569&lt;&gt;"","N",IF($J569&lt;&gt;"","C","")))</f>
        <v/>
      </c>
      <c r="S569" s="9" t="str">
        <f aca="false">IF($R569="","",$A569&amp;"|"&amp;$R569&amp;"|"&amp;$D569)</f>
        <v/>
      </c>
    </row>
    <row r="570" customFormat="false" ht="15" hidden="false" customHeight="false" outlineLevel="0" collapsed="false">
      <c r="R570" s="9" t="str">
        <f aca="false">IF($D570="","",IF($F570&lt;&gt;"","N",IF($J570&lt;&gt;"","C","")))</f>
        <v/>
      </c>
      <c r="S570" s="9" t="str">
        <f aca="false">IF($R570="","",$A570&amp;"|"&amp;$R570&amp;"|"&amp;$D570)</f>
        <v/>
      </c>
    </row>
    <row r="571" customFormat="false" ht="15" hidden="false" customHeight="false" outlineLevel="0" collapsed="false">
      <c r="R571" s="9" t="str">
        <f aca="false">IF($D571="","",IF($F571&lt;&gt;"","N",IF($J571&lt;&gt;"","C","")))</f>
        <v/>
      </c>
      <c r="S571" s="9" t="str">
        <f aca="false">IF($R571="","",$A571&amp;"|"&amp;$R571&amp;"|"&amp;$D571)</f>
        <v/>
      </c>
    </row>
    <row r="572" customFormat="false" ht="15" hidden="false" customHeight="false" outlineLevel="0" collapsed="false">
      <c r="R572" s="9" t="str">
        <f aca="false">IF($D572="","",IF($F572&lt;&gt;"","N",IF($J572&lt;&gt;"","C","")))</f>
        <v/>
      </c>
      <c r="S572" s="9" t="str">
        <f aca="false">IF($R572="","",$A572&amp;"|"&amp;$R572&amp;"|"&amp;$D572)</f>
        <v/>
      </c>
    </row>
    <row r="573" customFormat="false" ht="15" hidden="false" customHeight="false" outlineLevel="0" collapsed="false">
      <c r="R573" s="9" t="str">
        <f aca="false">IF($D573="","",IF($F573&lt;&gt;"","N",IF($J573&lt;&gt;"","C","")))</f>
        <v/>
      </c>
      <c r="S573" s="9" t="str">
        <f aca="false">IF($R573="","",$A573&amp;"|"&amp;$R573&amp;"|"&amp;$D573)</f>
        <v/>
      </c>
    </row>
    <row r="574" customFormat="false" ht="15" hidden="false" customHeight="false" outlineLevel="0" collapsed="false">
      <c r="R574" s="9" t="str">
        <f aca="false">IF($D574="","",IF($F574&lt;&gt;"","N",IF($J574&lt;&gt;"","C","")))</f>
        <v/>
      </c>
      <c r="S574" s="9" t="str">
        <f aca="false">IF($R574="","",$A574&amp;"|"&amp;$R574&amp;"|"&amp;$D574)</f>
        <v/>
      </c>
    </row>
    <row r="575" customFormat="false" ht="15" hidden="false" customHeight="false" outlineLevel="0" collapsed="false">
      <c r="R575" s="9" t="str">
        <f aca="false">IF($D575="","",IF($F575&lt;&gt;"","N",IF($J575&lt;&gt;"","C","")))</f>
        <v/>
      </c>
      <c r="S575" s="9" t="str">
        <f aca="false">IF($R575="","",$A575&amp;"|"&amp;$R575&amp;"|"&amp;$D575)</f>
        <v/>
      </c>
    </row>
    <row r="576" customFormat="false" ht="15" hidden="false" customHeight="false" outlineLevel="0" collapsed="false">
      <c r="R576" s="9" t="str">
        <f aca="false">IF($D576="","",IF($F576&lt;&gt;"","N",IF($J576&lt;&gt;"","C","")))</f>
        <v/>
      </c>
      <c r="S576" s="9" t="str">
        <f aca="false">IF($R576="","",$A576&amp;"|"&amp;$R576&amp;"|"&amp;$D576)</f>
        <v/>
      </c>
    </row>
    <row r="577" customFormat="false" ht="15" hidden="false" customHeight="false" outlineLevel="0" collapsed="false">
      <c r="R577" s="9" t="str">
        <f aca="false">IF($D577="","",IF($F577&lt;&gt;"","N",IF($J577&lt;&gt;"","C","")))</f>
        <v/>
      </c>
      <c r="S577" s="9" t="str">
        <f aca="false">IF($R577="","",$A577&amp;"|"&amp;$R577&amp;"|"&amp;$D577)</f>
        <v/>
      </c>
    </row>
    <row r="578" customFormat="false" ht="15" hidden="false" customHeight="false" outlineLevel="0" collapsed="false">
      <c r="R578" s="9" t="str">
        <f aca="false">IF($D578="","",IF($F578&lt;&gt;"","N",IF($J578&lt;&gt;"","C","")))</f>
        <v/>
      </c>
      <c r="S578" s="9" t="str">
        <f aca="false">IF($R578="","",$A578&amp;"|"&amp;$R578&amp;"|"&amp;$D578)</f>
        <v/>
      </c>
    </row>
    <row r="579" customFormat="false" ht="15" hidden="false" customHeight="false" outlineLevel="0" collapsed="false">
      <c r="R579" s="9" t="str">
        <f aca="false">IF($D579="","",IF($F579&lt;&gt;"","N",IF($J579&lt;&gt;"","C","")))</f>
        <v/>
      </c>
      <c r="S579" s="9" t="str">
        <f aca="false">IF($R579="","",$A579&amp;"|"&amp;$R579&amp;"|"&amp;$D579)</f>
        <v/>
      </c>
    </row>
    <row r="580" customFormat="false" ht="15" hidden="false" customHeight="false" outlineLevel="0" collapsed="false">
      <c r="R580" s="9" t="str">
        <f aca="false">IF($D580="","",IF($F580&lt;&gt;"","N",IF($J580&lt;&gt;"","C","")))</f>
        <v/>
      </c>
      <c r="S580" s="9" t="str">
        <f aca="false">IF($R580="","",$A580&amp;"|"&amp;$R580&amp;"|"&amp;$D580)</f>
        <v/>
      </c>
    </row>
    <row r="581" customFormat="false" ht="15" hidden="false" customHeight="false" outlineLevel="0" collapsed="false">
      <c r="R581" s="9" t="str">
        <f aca="false">IF($D581="","",IF($F581&lt;&gt;"","N",IF($J581&lt;&gt;"","C","")))</f>
        <v/>
      </c>
      <c r="S581" s="9" t="str">
        <f aca="false">IF($R581="","",$A581&amp;"|"&amp;$R581&amp;"|"&amp;$D581)</f>
        <v/>
      </c>
    </row>
    <row r="582" customFormat="false" ht="15" hidden="false" customHeight="false" outlineLevel="0" collapsed="false">
      <c r="R582" s="9" t="str">
        <f aca="false">IF($D582="","",IF($F582&lt;&gt;"","N",IF($J582&lt;&gt;"","C","")))</f>
        <v/>
      </c>
      <c r="S582" s="9" t="str">
        <f aca="false">IF($R582="","",$A582&amp;"|"&amp;$R582&amp;"|"&amp;$D582)</f>
        <v/>
      </c>
    </row>
    <row r="583" customFormat="false" ht="15" hidden="false" customHeight="false" outlineLevel="0" collapsed="false">
      <c r="R583" s="9" t="str">
        <f aca="false">IF($D583="","",IF($F583&lt;&gt;"","N",IF($J583&lt;&gt;"","C","")))</f>
        <v/>
      </c>
      <c r="S583" s="9" t="str">
        <f aca="false">IF($R583="","",$A583&amp;"|"&amp;$R583&amp;"|"&amp;$D583)</f>
        <v/>
      </c>
    </row>
    <row r="584" customFormat="false" ht="15" hidden="false" customHeight="false" outlineLevel="0" collapsed="false">
      <c r="R584" s="9" t="str">
        <f aca="false">IF($D584="","",IF($F584&lt;&gt;"","N",IF($J584&lt;&gt;"","C","")))</f>
        <v/>
      </c>
      <c r="S584" s="9" t="str">
        <f aca="false">IF($R584="","",$A584&amp;"|"&amp;$R584&amp;"|"&amp;$D584)</f>
        <v/>
      </c>
    </row>
    <row r="585" customFormat="false" ht="15" hidden="false" customHeight="false" outlineLevel="0" collapsed="false">
      <c r="R585" s="9" t="str">
        <f aca="false">IF($D585="","",IF($F585&lt;&gt;"","N",IF($J585&lt;&gt;"","C","")))</f>
        <v/>
      </c>
      <c r="S585" s="9" t="str">
        <f aca="false">IF($R585="","",$A585&amp;"|"&amp;$R585&amp;"|"&amp;$D585)</f>
        <v/>
      </c>
    </row>
    <row r="586" customFormat="false" ht="15" hidden="false" customHeight="false" outlineLevel="0" collapsed="false">
      <c r="R586" s="9" t="str">
        <f aca="false">IF($D586="","",IF($F586&lt;&gt;"","N",IF($J586&lt;&gt;"","C","")))</f>
        <v/>
      </c>
      <c r="S586" s="9" t="str">
        <f aca="false">IF($R586="","",$A586&amp;"|"&amp;$R586&amp;"|"&amp;$D586)</f>
        <v/>
      </c>
    </row>
    <row r="587" customFormat="false" ht="15" hidden="false" customHeight="false" outlineLevel="0" collapsed="false">
      <c r="R587" s="9" t="str">
        <f aca="false">IF($D587="","",IF($F587&lt;&gt;"","N",IF($J587&lt;&gt;"","C","")))</f>
        <v/>
      </c>
      <c r="S587" s="9" t="str">
        <f aca="false">IF($R587="","",$A587&amp;"|"&amp;$R587&amp;"|"&amp;$D587)</f>
        <v/>
      </c>
    </row>
    <row r="588" customFormat="false" ht="15" hidden="false" customHeight="false" outlineLevel="0" collapsed="false">
      <c r="R588" s="9" t="str">
        <f aca="false">IF($D588="","",IF($F588&lt;&gt;"","N",IF($J588&lt;&gt;"","C","")))</f>
        <v/>
      </c>
      <c r="S588" s="9" t="str">
        <f aca="false">IF($R588="","",$A588&amp;"|"&amp;$R588&amp;"|"&amp;$D588)</f>
        <v/>
      </c>
    </row>
    <row r="589" customFormat="false" ht="15" hidden="false" customHeight="false" outlineLevel="0" collapsed="false">
      <c r="R589" s="9" t="str">
        <f aca="false">IF($D589="","",IF($F589&lt;&gt;"","N",IF($J589&lt;&gt;"","C","")))</f>
        <v/>
      </c>
      <c r="S589" s="9" t="str">
        <f aca="false">IF($R589="","",$A589&amp;"|"&amp;$R589&amp;"|"&amp;$D589)</f>
        <v/>
      </c>
    </row>
    <row r="590" customFormat="false" ht="15" hidden="false" customHeight="false" outlineLevel="0" collapsed="false">
      <c r="R590" s="9" t="str">
        <f aca="false">IF($D590="","",IF($F590&lt;&gt;"","N",IF($J590&lt;&gt;"","C","")))</f>
        <v/>
      </c>
      <c r="S590" s="9" t="str">
        <f aca="false">IF($R590="","",$A590&amp;"|"&amp;$R590&amp;"|"&amp;$D590)</f>
        <v/>
      </c>
    </row>
    <row r="591" customFormat="false" ht="15" hidden="false" customHeight="false" outlineLevel="0" collapsed="false">
      <c r="R591" s="9" t="str">
        <f aca="false">IF($D591="","",IF($F591&lt;&gt;"","N",IF($J591&lt;&gt;"","C","")))</f>
        <v/>
      </c>
      <c r="S591" s="9" t="str">
        <f aca="false">IF($R591="","",$A591&amp;"|"&amp;$R591&amp;"|"&amp;$D591)</f>
        <v/>
      </c>
    </row>
    <row r="592" customFormat="false" ht="15" hidden="false" customHeight="false" outlineLevel="0" collapsed="false">
      <c r="R592" s="9" t="str">
        <f aca="false">IF($D592="","",IF($F592&lt;&gt;"","N",IF($J592&lt;&gt;"","C","")))</f>
        <v/>
      </c>
      <c r="S592" s="9" t="str">
        <f aca="false">IF($R592="","",$A592&amp;"|"&amp;$R592&amp;"|"&amp;$D592)</f>
        <v/>
      </c>
    </row>
    <row r="593" customFormat="false" ht="15" hidden="false" customHeight="false" outlineLevel="0" collapsed="false">
      <c r="R593" s="9" t="str">
        <f aca="false">IF($D593="","",IF($F593&lt;&gt;"","N",IF($J593&lt;&gt;"","C","")))</f>
        <v/>
      </c>
      <c r="S593" s="9" t="str">
        <f aca="false">IF($R593="","",$A593&amp;"|"&amp;$R593&amp;"|"&amp;$D593)</f>
        <v/>
      </c>
    </row>
    <row r="594" customFormat="false" ht="15" hidden="false" customHeight="false" outlineLevel="0" collapsed="false">
      <c r="R594" s="9" t="str">
        <f aca="false">IF($D594="","",IF($F594&lt;&gt;"","N",IF($J594&lt;&gt;"","C","")))</f>
        <v/>
      </c>
      <c r="S594" s="9" t="str">
        <f aca="false">IF($R594="","",$A594&amp;"|"&amp;$R594&amp;"|"&amp;$D594)</f>
        <v/>
      </c>
    </row>
    <row r="595" customFormat="false" ht="15" hidden="false" customHeight="false" outlineLevel="0" collapsed="false">
      <c r="R595" s="9" t="str">
        <f aca="false">IF($D595="","",IF($F595&lt;&gt;"","N",IF($J595&lt;&gt;"","C","")))</f>
        <v/>
      </c>
      <c r="S595" s="9" t="str">
        <f aca="false">IF($R595="","",$A595&amp;"|"&amp;$R595&amp;"|"&amp;$D595)</f>
        <v/>
      </c>
    </row>
    <row r="596" customFormat="false" ht="15" hidden="false" customHeight="false" outlineLevel="0" collapsed="false">
      <c r="R596" s="9" t="str">
        <f aca="false">IF($D596="","",IF($F596&lt;&gt;"","N",IF($J596&lt;&gt;"","C","")))</f>
        <v/>
      </c>
      <c r="S596" s="9" t="str">
        <f aca="false">IF($R596="","",$A596&amp;"|"&amp;$R596&amp;"|"&amp;$D596)</f>
        <v/>
      </c>
    </row>
    <row r="597" customFormat="false" ht="15" hidden="false" customHeight="false" outlineLevel="0" collapsed="false">
      <c r="R597" s="9" t="str">
        <f aca="false">IF($D597="","",IF($F597&lt;&gt;"","N",IF($J597&lt;&gt;"","C","")))</f>
        <v/>
      </c>
      <c r="S597" s="9" t="str">
        <f aca="false">IF($R597="","",$A597&amp;"|"&amp;$R597&amp;"|"&amp;$D597)</f>
        <v/>
      </c>
    </row>
    <row r="598" customFormat="false" ht="15" hidden="false" customHeight="false" outlineLevel="0" collapsed="false">
      <c r="R598" s="9" t="str">
        <f aca="false">IF($D598="","",IF($F598&lt;&gt;"","N",IF($J598&lt;&gt;"","C","")))</f>
        <v/>
      </c>
      <c r="S598" s="9" t="str">
        <f aca="false">IF($R598="","",$A598&amp;"|"&amp;$R598&amp;"|"&amp;$D598)</f>
        <v/>
      </c>
    </row>
    <row r="599" customFormat="false" ht="15" hidden="false" customHeight="false" outlineLevel="0" collapsed="false">
      <c r="R599" s="9" t="str">
        <f aca="false">IF($D599="","",IF($F599&lt;&gt;"","N",IF($J599&lt;&gt;"","C","")))</f>
        <v/>
      </c>
      <c r="S599" s="9" t="str">
        <f aca="false">IF($R599="","",$A599&amp;"|"&amp;$R599&amp;"|"&amp;$D599)</f>
        <v/>
      </c>
    </row>
    <row r="600" customFormat="false" ht="15" hidden="false" customHeight="false" outlineLevel="0" collapsed="false">
      <c r="R600" s="9" t="str">
        <f aca="false">IF($D600="","",IF($F600&lt;&gt;"","N",IF($J600&lt;&gt;"","C","")))</f>
        <v/>
      </c>
      <c r="S600" s="9" t="str">
        <f aca="false">IF($R600="","",$A600&amp;"|"&amp;$R600&amp;"|"&amp;$D600)</f>
        <v/>
      </c>
    </row>
    <row r="601" customFormat="false" ht="15" hidden="false" customHeight="false" outlineLevel="0" collapsed="false">
      <c r="R601" s="9" t="str">
        <f aca="false">IF($D601="","",IF($F601&lt;&gt;"","N",IF($J601&lt;&gt;"","C","")))</f>
        <v/>
      </c>
      <c r="S601" s="9" t="str">
        <f aca="false">IF($R601="","",$A601&amp;"|"&amp;$R601&amp;"|"&amp;$D601)</f>
        <v/>
      </c>
    </row>
    <row r="602" customFormat="false" ht="15" hidden="false" customHeight="false" outlineLevel="0" collapsed="false">
      <c r="R602" s="9" t="str">
        <f aca="false">IF($D602="","",IF($F602&lt;&gt;"","N",IF($J602&lt;&gt;"","C","")))</f>
        <v/>
      </c>
      <c r="S602" s="9" t="str">
        <f aca="false">IF($R602="","",$A602&amp;"|"&amp;$R602&amp;"|"&amp;$D602)</f>
        <v/>
      </c>
    </row>
    <row r="603" customFormat="false" ht="15" hidden="false" customHeight="false" outlineLevel="0" collapsed="false">
      <c r="R603" s="9" t="str">
        <f aca="false">IF($D603="","",IF($F603&lt;&gt;"","N",IF($J603&lt;&gt;"","C","")))</f>
        <v/>
      </c>
      <c r="S603" s="9" t="str">
        <f aca="false">IF($R603="","",$A603&amp;"|"&amp;$R603&amp;"|"&amp;$D603)</f>
        <v/>
      </c>
    </row>
    <row r="604" customFormat="false" ht="15" hidden="false" customHeight="false" outlineLevel="0" collapsed="false">
      <c r="R604" s="9" t="str">
        <f aca="false">IF($D604="","",IF($F604&lt;&gt;"","N",IF($J604&lt;&gt;"","C","")))</f>
        <v/>
      </c>
      <c r="S604" s="9" t="str">
        <f aca="false">IF($R604="","",$A604&amp;"|"&amp;$R604&amp;"|"&amp;$D604)</f>
        <v/>
      </c>
    </row>
    <row r="605" customFormat="false" ht="15" hidden="false" customHeight="false" outlineLevel="0" collapsed="false">
      <c r="R605" s="9" t="str">
        <f aca="false">IF($D605="","",IF($F605&lt;&gt;"","N",IF($J605&lt;&gt;"","C","")))</f>
        <v/>
      </c>
      <c r="S605" s="9" t="str">
        <f aca="false">IF($R605="","",$A605&amp;"|"&amp;$R605&amp;"|"&amp;$D605)</f>
        <v/>
      </c>
    </row>
    <row r="606" customFormat="false" ht="15" hidden="false" customHeight="false" outlineLevel="0" collapsed="false">
      <c r="R606" s="9" t="str">
        <f aca="false">IF($D606="","",IF($F606&lt;&gt;"","N",IF($J606&lt;&gt;"","C","")))</f>
        <v/>
      </c>
      <c r="S606" s="9" t="str">
        <f aca="false">IF($R606="","",$A606&amp;"|"&amp;$R606&amp;"|"&amp;$D606)</f>
        <v/>
      </c>
    </row>
    <row r="607" customFormat="false" ht="15" hidden="false" customHeight="false" outlineLevel="0" collapsed="false">
      <c r="R607" s="9" t="str">
        <f aca="false">IF($D607="","",IF($F607&lt;&gt;"","N",IF($J607&lt;&gt;"","C","")))</f>
        <v/>
      </c>
      <c r="S607" s="9" t="str">
        <f aca="false">IF($R607="","",$A607&amp;"|"&amp;$R607&amp;"|"&amp;$D607)</f>
        <v/>
      </c>
    </row>
    <row r="608" customFormat="false" ht="15" hidden="false" customHeight="false" outlineLevel="0" collapsed="false">
      <c r="R608" s="9" t="str">
        <f aca="false">IF($D608="","",IF($F608&lt;&gt;"","N",IF($J608&lt;&gt;"","C","")))</f>
        <v/>
      </c>
      <c r="S608" s="9" t="str">
        <f aca="false">IF($R608="","",$A608&amp;"|"&amp;$R608&amp;"|"&amp;$D608)</f>
        <v/>
      </c>
    </row>
    <row r="609" customFormat="false" ht="15" hidden="false" customHeight="false" outlineLevel="0" collapsed="false">
      <c r="R609" s="9" t="str">
        <f aca="false">IF($D609="","",IF($F609&lt;&gt;"","N",IF($J609&lt;&gt;"","C","")))</f>
        <v/>
      </c>
      <c r="S609" s="9" t="str">
        <f aca="false">IF($R609="","",$A609&amp;"|"&amp;$R609&amp;"|"&amp;$D609)</f>
        <v/>
      </c>
    </row>
    <row r="610" customFormat="false" ht="15" hidden="false" customHeight="false" outlineLevel="0" collapsed="false">
      <c r="R610" s="9" t="str">
        <f aca="false">IF($D610="","",IF($F610&lt;&gt;"","N",IF($J610&lt;&gt;"","C","")))</f>
        <v/>
      </c>
      <c r="S610" s="9" t="str">
        <f aca="false">IF($R610="","",$A610&amp;"|"&amp;$R610&amp;"|"&amp;$D610)</f>
        <v/>
      </c>
    </row>
    <row r="611" customFormat="false" ht="15" hidden="false" customHeight="false" outlineLevel="0" collapsed="false">
      <c r="R611" s="9" t="str">
        <f aca="false">IF($D611="","",IF($F611&lt;&gt;"","N",IF($J611&lt;&gt;"","C","")))</f>
        <v/>
      </c>
      <c r="S611" s="9" t="str">
        <f aca="false">IF($R611="","",$A611&amp;"|"&amp;$R611&amp;"|"&amp;$D611)</f>
        <v/>
      </c>
    </row>
    <row r="612" customFormat="false" ht="15" hidden="false" customHeight="false" outlineLevel="0" collapsed="false">
      <c r="R612" s="9" t="str">
        <f aca="false">IF($D612="","",IF($F612&lt;&gt;"","N",IF($J612&lt;&gt;"","C","")))</f>
        <v/>
      </c>
      <c r="S612" s="9" t="str">
        <f aca="false">IF($R612="","",$A612&amp;"|"&amp;$R612&amp;"|"&amp;$D612)</f>
        <v/>
      </c>
    </row>
    <row r="613" customFormat="false" ht="15" hidden="false" customHeight="false" outlineLevel="0" collapsed="false">
      <c r="R613" s="9" t="str">
        <f aca="false">IF($D613="","",IF($F613&lt;&gt;"","N",IF($J613&lt;&gt;"","C","")))</f>
        <v/>
      </c>
      <c r="S613" s="9" t="str">
        <f aca="false">IF($R613="","",$A613&amp;"|"&amp;$R613&amp;"|"&amp;$D613)</f>
        <v/>
      </c>
    </row>
    <row r="614" customFormat="false" ht="15" hidden="false" customHeight="false" outlineLevel="0" collapsed="false">
      <c r="R614" s="9" t="str">
        <f aca="false">IF($D614="","",IF($F614&lt;&gt;"","N",IF($J614&lt;&gt;"","C","")))</f>
        <v/>
      </c>
      <c r="S614" s="9" t="str">
        <f aca="false">IF($R614="","",$A614&amp;"|"&amp;$R614&amp;"|"&amp;$D614)</f>
        <v/>
      </c>
    </row>
    <row r="615" customFormat="false" ht="15" hidden="false" customHeight="false" outlineLevel="0" collapsed="false">
      <c r="R615" s="9" t="str">
        <f aca="false">IF($D615="","",IF($F615&lt;&gt;"","N",IF($J615&lt;&gt;"","C","")))</f>
        <v/>
      </c>
      <c r="S615" s="9" t="str">
        <f aca="false">IF($R615="","",$A615&amp;"|"&amp;$R615&amp;"|"&amp;$D615)</f>
        <v/>
      </c>
    </row>
    <row r="616" customFormat="false" ht="15" hidden="false" customHeight="false" outlineLevel="0" collapsed="false">
      <c r="R616" s="9" t="str">
        <f aca="false">IF($D616="","",IF($F616&lt;&gt;"","N",IF($J616&lt;&gt;"","C","")))</f>
        <v/>
      </c>
      <c r="S616" s="9" t="str">
        <f aca="false">IF($R616="","",$A616&amp;"|"&amp;$R616&amp;"|"&amp;$D616)</f>
        <v/>
      </c>
    </row>
    <row r="617" customFormat="false" ht="15" hidden="false" customHeight="false" outlineLevel="0" collapsed="false">
      <c r="R617" s="9" t="str">
        <f aca="false">IF($D617="","",IF($F617&lt;&gt;"","N",IF($J617&lt;&gt;"","C","")))</f>
        <v/>
      </c>
      <c r="S617" s="9" t="str">
        <f aca="false">IF($R617="","",$A617&amp;"|"&amp;$R617&amp;"|"&amp;$D617)</f>
        <v/>
      </c>
    </row>
    <row r="618" customFormat="false" ht="15" hidden="false" customHeight="false" outlineLevel="0" collapsed="false">
      <c r="R618" s="9" t="str">
        <f aca="false">IF($D618="","",IF($F618&lt;&gt;"","N",IF($J618&lt;&gt;"","C","")))</f>
        <v/>
      </c>
      <c r="S618" s="9" t="str">
        <f aca="false">IF($R618="","",$A618&amp;"|"&amp;$R618&amp;"|"&amp;$D618)</f>
        <v/>
      </c>
    </row>
    <row r="619" customFormat="false" ht="15" hidden="false" customHeight="false" outlineLevel="0" collapsed="false">
      <c r="R619" s="9" t="str">
        <f aca="false">IF($D619="","",IF($F619&lt;&gt;"","N",IF($J619&lt;&gt;"","C","")))</f>
        <v/>
      </c>
      <c r="S619" s="9" t="str">
        <f aca="false">IF($R619="","",$A619&amp;"|"&amp;$R619&amp;"|"&amp;$D619)</f>
        <v/>
      </c>
    </row>
    <row r="620" customFormat="false" ht="15" hidden="false" customHeight="false" outlineLevel="0" collapsed="false">
      <c r="R620" s="9" t="str">
        <f aca="false">IF($D620="","",IF($F620&lt;&gt;"","N",IF($J620&lt;&gt;"","C","")))</f>
        <v/>
      </c>
      <c r="S620" s="9" t="str">
        <f aca="false">IF($R620="","",$A620&amp;"|"&amp;$R620&amp;"|"&amp;$D620)</f>
        <v/>
      </c>
    </row>
    <row r="621" customFormat="false" ht="15" hidden="false" customHeight="false" outlineLevel="0" collapsed="false">
      <c r="R621" s="9" t="str">
        <f aca="false">IF($D621="","",IF($F621&lt;&gt;"","N",IF($J621&lt;&gt;"","C","")))</f>
        <v/>
      </c>
      <c r="S621" s="9" t="str">
        <f aca="false">IF($R621="","",$A621&amp;"|"&amp;$R621&amp;"|"&amp;$D621)</f>
        <v/>
      </c>
    </row>
    <row r="622" customFormat="false" ht="15" hidden="false" customHeight="false" outlineLevel="0" collapsed="false">
      <c r="R622" s="9" t="str">
        <f aca="false">IF($D622="","",IF($F622&lt;&gt;"","N",IF($J622&lt;&gt;"","C","")))</f>
        <v/>
      </c>
      <c r="S622" s="9" t="str">
        <f aca="false">IF($R622="","",$A622&amp;"|"&amp;$R622&amp;"|"&amp;$D622)</f>
        <v/>
      </c>
    </row>
    <row r="623" customFormat="false" ht="15" hidden="false" customHeight="false" outlineLevel="0" collapsed="false">
      <c r="R623" s="9" t="str">
        <f aca="false">IF($D623="","",IF($F623&lt;&gt;"","N",IF($J623&lt;&gt;"","C","")))</f>
        <v/>
      </c>
      <c r="S623" s="9" t="str">
        <f aca="false">IF($R623="","",$A623&amp;"|"&amp;$R623&amp;"|"&amp;$D623)</f>
        <v/>
      </c>
    </row>
    <row r="624" customFormat="false" ht="15" hidden="false" customHeight="false" outlineLevel="0" collapsed="false">
      <c r="R624" s="9" t="str">
        <f aca="false">IF($D624="","",IF($F624&lt;&gt;"","N",IF($J624&lt;&gt;"","C","")))</f>
        <v/>
      </c>
      <c r="S624" s="9" t="str">
        <f aca="false">IF($R624="","",$A624&amp;"|"&amp;$R624&amp;"|"&amp;$D624)</f>
        <v/>
      </c>
    </row>
    <row r="625" customFormat="false" ht="15" hidden="false" customHeight="false" outlineLevel="0" collapsed="false">
      <c r="R625" s="9" t="str">
        <f aca="false">IF($D625="","",IF($F625&lt;&gt;"","N",IF($J625&lt;&gt;"","C","")))</f>
        <v/>
      </c>
      <c r="S625" s="9" t="str">
        <f aca="false">IF($R625="","",$A625&amp;"|"&amp;$R625&amp;"|"&amp;$D625)</f>
        <v/>
      </c>
    </row>
    <row r="626" customFormat="false" ht="15" hidden="false" customHeight="false" outlineLevel="0" collapsed="false">
      <c r="R626" s="9" t="str">
        <f aca="false">IF($D626="","",IF($F626&lt;&gt;"","N",IF($J626&lt;&gt;"","C","")))</f>
        <v/>
      </c>
      <c r="S626" s="9" t="str">
        <f aca="false">IF($R626="","",$A626&amp;"|"&amp;$R626&amp;"|"&amp;$D626)</f>
        <v/>
      </c>
    </row>
    <row r="627" customFormat="false" ht="15" hidden="false" customHeight="false" outlineLevel="0" collapsed="false">
      <c r="R627" s="9" t="str">
        <f aca="false">IF($D627="","",IF($F627&lt;&gt;"","N",IF($J627&lt;&gt;"","C","")))</f>
        <v/>
      </c>
      <c r="S627" s="9" t="str">
        <f aca="false">IF($R627="","",$A627&amp;"|"&amp;$R627&amp;"|"&amp;$D627)</f>
        <v/>
      </c>
    </row>
    <row r="628" customFormat="false" ht="15" hidden="false" customHeight="false" outlineLevel="0" collapsed="false">
      <c r="R628" s="9" t="str">
        <f aca="false">IF($D628="","",IF($F628&lt;&gt;"","N",IF($J628&lt;&gt;"","C","")))</f>
        <v/>
      </c>
      <c r="S628" s="9" t="str">
        <f aca="false">IF($R628="","",$A628&amp;"|"&amp;$R628&amp;"|"&amp;$D628)</f>
        <v/>
      </c>
    </row>
    <row r="629" customFormat="false" ht="15" hidden="false" customHeight="false" outlineLevel="0" collapsed="false">
      <c r="R629" s="9" t="str">
        <f aca="false">IF($D629="","",IF($F629&lt;&gt;"","N",IF($J629&lt;&gt;"","C","")))</f>
        <v/>
      </c>
      <c r="S629" s="9" t="str">
        <f aca="false">IF($R629="","",$A629&amp;"|"&amp;$R629&amp;"|"&amp;$D629)</f>
        <v/>
      </c>
    </row>
    <row r="630" customFormat="false" ht="15" hidden="false" customHeight="false" outlineLevel="0" collapsed="false">
      <c r="R630" s="9" t="str">
        <f aca="false">IF($D630="","",IF($F630&lt;&gt;"","N",IF($J630&lt;&gt;"","C","")))</f>
        <v/>
      </c>
      <c r="S630" s="9" t="str">
        <f aca="false">IF($R630="","",$A630&amp;"|"&amp;$R630&amp;"|"&amp;$D630)</f>
        <v/>
      </c>
    </row>
    <row r="631" customFormat="false" ht="15" hidden="false" customHeight="false" outlineLevel="0" collapsed="false">
      <c r="R631" s="9" t="str">
        <f aca="false">IF($D631="","",IF($F631&lt;&gt;"","N",IF($J631&lt;&gt;"","C","")))</f>
        <v/>
      </c>
      <c r="S631" s="9" t="str">
        <f aca="false">IF($R631="","",$A631&amp;"|"&amp;$R631&amp;"|"&amp;$D631)</f>
        <v/>
      </c>
    </row>
    <row r="632" customFormat="false" ht="15" hidden="false" customHeight="false" outlineLevel="0" collapsed="false">
      <c r="R632" s="9" t="str">
        <f aca="false">IF($D632="","",IF($F632&lt;&gt;"","N",IF($J632&lt;&gt;"","C","")))</f>
        <v/>
      </c>
      <c r="S632" s="9" t="str">
        <f aca="false">IF($R632="","",$A632&amp;"|"&amp;$R632&amp;"|"&amp;$D632)</f>
        <v/>
      </c>
    </row>
    <row r="633" customFormat="false" ht="15" hidden="false" customHeight="false" outlineLevel="0" collapsed="false">
      <c r="R633" s="9" t="str">
        <f aca="false">IF($D633="","",IF($F633&lt;&gt;"","N",IF($J633&lt;&gt;"","C","")))</f>
        <v/>
      </c>
      <c r="S633" s="9" t="str">
        <f aca="false">IF($R633="","",$A633&amp;"|"&amp;$R633&amp;"|"&amp;$D633)</f>
        <v/>
      </c>
    </row>
    <row r="634" customFormat="false" ht="15" hidden="false" customHeight="false" outlineLevel="0" collapsed="false">
      <c r="R634" s="9" t="str">
        <f aca="false">IF($D634="","",IF($F634&lt;&gt;"","N",IF($J634&lt;&gt;"","C","")))</f>
        <v/>
      </c>
      <c r="S634" s="9" t="str">
        <f aca="false">IF($R634="","",$A634&amp;"|"&amp;$R634&amp;"|"&amp;$D634)</f>
        <v/>
      </c>
    </row>
    <row r="635" customFormat="false" ht="15" hidden="false" customHeight="false" outlineLevel="0" collapsed="false">
      <c r="R635" s="9" t="str">
        <f aca="false">IF($D635="","",IF($F635&lt;&gt;"","N",IF($J635&lt;&gt;"","C","")))</f>
        <v/>
      </c>
      <c r="S635" s="9" t="str">
        <f aca="false">IF($R635="","",$A635&amp;"|"&amp;$R635&amp;"|"&amp;$D635)</f>
        <v/>
      </c>
    </row>
    <row r="636" customFormat="false" ht="15" hidden="false" customHeight="false" outlineLevel="0" collapsed="false">
      <c r="R636" s="9" t="str">
        <f aca="false">IF($D636="","",IF($F636&lt;&gt;"","N",IF($J636&lt;&gt;"","C","")))</f>
        <v/>
      </c>
      <c r="S636" s="9" t="str">
        <f aca="false">IF($R636="","",$A636&amp;"|"&amp;$R636&amp;"|"&amp;$D636)</f>
        <v/>
      </c>
    </row>
    <row r="637" customFormat="false" ht="15" hidden="false" customHeight="false" outlineLevel="0" collapsed="false">
      <c r="R637" s="9" t="str">
        <f aca="false">IF($D637="","",IF($F637&lt;&gt;"","N",IF($J637&lt;&gt;"","C","")))</f>
        <v/>
      </c>
      <c r="S637" s="9" t="str">
        <f aca="false">IF($R637="","",$A637&amp;"|"&amp;$R637&amp;"|"&amp;$D637)</f>
        <v/>
      </c>
    </row>
    <row r="638" customFormat="false" ht="15" hidden="false" customHeight="false" outlineLevel="0" collapsed="false">
      <c r="R638" s="9" t="str">
        <f aca="false">IF($D638="","",IF($F638&lt;&gt;"","N",IF($J638&lt;&gt;"","C","")))</f>
        <v/>
      </c>
      <c r="S638" s="9" t="str">
        <f aca="false">IF($R638="","",$A638&amp;"|"&amp;$R638&amp;"|"&amp;$D638)</f>
        <v/>
      </c>
    </row>
    <row r="639" customFormat="false" ht="15" hidden="false" customHeight="false" outlineLevel="0" collapsed="false">
      <c r="R639" s="9" t="str">
        <f aca="false">IF($D639="","",IF($F639&lt;&gt;"","N",IF($J639&lt;&gt;"","C","")))</f>
        <v/>
      </c>
      <c r="S639" s="9" t="str">
        <f aca="false">IF($R639="","",$A639&amp;"|"&amp;$R639&amp;"|"&amp;$D639)</f>
        <v/>
      </c>
    </row>
    <row r="640" customFormat="false" ht="15" hidden="false" customHeight="false" outlineLevel="0" collapsed="false">
      <c r="R640" s="9" t="str">
        <f aca="false">IF($D640="","",IF($F640&lt;&gt;"","N",IF($J640&lt;&gt;"","C","")))</f>
        <v/>
      </c>
      <c r="S640" s="9" t="str">
        <f aca="false">IF($R640="","",$A640&amp;"|"&amp;$R640&amp;"|"&amp;$D640)</f>
        <v/>
      </c>
    </row>
    <row r="641" customFormat="false" ht="15" hidden="false" customHeight="false" outlineLevel="0" collapsed="false">
      <c r="R641" s="9" t="str">
        <f aca="false">IF($D641="","",IF($F641&lt;&gt;"","N",IF($J641&lt;&gt;"","C","")))</f>
        <v/>
      </c>
      <c r="S641" s="9" t="str">
        <f aca="false">IF($R641="","",$A641&amp;"|"&amp;$R641&amp;"|"&amp;$D641)</f>
        <v/>
      </c>
    </row>
    <row r="642" customFormat="false" ht="15" hidden="false" customHeight="false" outlineLevel="0" collapsed="false">
      <c r="R642" s="9" t="str">
        <f aca="false">IF($D642="","",IF($F642&lt;&gt;"","N",IF($J642&lt;&gt;"","C","")))</f>
        <v/>
      </c>
      <c r="S642" s="9" t="str">
        <f aca="false">IF($R642="","",$A642&amp;"|"&amp;$R642&amp;"|"&amp;$D642)</f>
        <v/>
      </c>
    </row>
    <row r="643" customFormat="false" ht="15" hidden="false" customHeight="false" outlineLevel="0" collapsed="false">
      <c r="R643" s="9" t="str">
        <f aca="false">IF($D643="","",IF($F643&lt;&gt;"","N",IF($J643&lt;&gt;"","C","")))</f>
        <v/>
      </c>
      <c r="S643" s="9" t="str">
        <f aca="false">IF($R643="","",$A643&amp;"|"&amp;$R643&amp;"|"&amp;$D643)</f>
        <v/>
      </c>
    </row>
    <row r="644" customFormat="false" ht="15" hidden="false" customHeight="false" outlineLevel="0" collapsed="false">
      <c r="R644" s="9" t="str">
        <f aca="false">IF($D644="","",IF($F644&lt;&gt;"","N",IF($J644&lt;&gt;"","C","")))</f>
        <v/>
      </c>
      <c r="S644" s="9" t="str">
        <f aca="false">IF($R644="","",$A644&amp;"|"&amp;$R644&amp;"|"&amp;$D644)</f>
        <v/>
      </c>
    </row>
    <row r="645" customFormat="false" ht="15" hidden="false" customHeight="false" outlineLevel="0" collapsed="false">
      <c r="R645" s="9" t="str">
        <f aca="false">IF($D645="","",IF($F645&lt;&gt;"","N",IF($J645&lt;&gt;"","C","")))</f>
        <v/>
      </c>
      <c r="S645" s="9" t="str">
        <f aca="false">IF($R645="","",$A645&amp;"|"&amp;$R645&amp;"|"&amp;$D645)</f>
        <v/>
      </c>
    </row>
    <row r="646" customFormat="false" ht="15" hidden="false" customHeight="false" outlineLevel="0" collapsed="false">
      <c r="R646" s="9" t="str">
        <f aca="false">IF($D646="","",IF($F646&lt;&gt;"","N",IF($J646&lt;&gt;"","C","")))</f>
        <v/>
      </c>
      <c r="S646" s="9" t="str">
        <f aca="false">IF($R646="","",$A646&amp;"|"&amp;$R646&amp;"|"&amp;$D646)</f>
        <v/>
      </c>
    </row>
    <row r="647" customFormat="false" ht="15" hidden="false" customHeight="false" outlineLevel="0" collapsed="false">
      <c r="R647" s="9" t="str">
        <f aca="false">IF($D647="","",IF($F647&lt;&gt;"","N",IF($J647&lt;&gt;"","C","")))</f>
        <v/>
      </c>
      <c r="S647" s="9" t="str">
        <f aca="false">IF($R647="","",$A647&amp;"|"&amp;$R647&amp;"|"&amp;$D647)</f>
        <v/>
      </c>
    </row>
    <row r="648" customFormat="false" ht="15" hidden="false" customHeight="false" outlineLevel="0" collapsed="false">
      <c r="R648" s="9" t="str">
        <f aca="false">IF($D648="","",IF($F648&lt;&gt;"","N",IF($J648&lt;&gt;"","C","")))</f>
        <v/>
      </c>
      <c r="S648" s="9" t="str">
        <f aca="false">IF($R648="","",$A648&amp;"|"&amp;$R648&amp;"|"&amp;$D648)</f>
        <v/>
      </c>
    </row>
    <row r="649" customFormat="false" ht="15" hidden="false" customHeight="false" outlineLevel="0" collapsed="false">
      <c r="R649" s="9" t="str">
        <f aca="false">IF($D649="","",IF($F649&lt;&gt;"","N",IF($J649&lt;&gt;"","C","")))</f>
        <v/>
      </c>
      <c r="S649" s="9" t="str">
        <f aca="false">IF($R649="","",$A649&amp;"|"&amp;$R649&amp;"|"&amp;$D649)</f>
        <v/>
      </c>
    </row>
    <row r="650" customFormat="false" ht="15" hidden="false" customHeight="false" outlineLevel="0" collapsed="false">
      <c r="R650" s="9" t="str">
        <f aca="false">IF($D650="","",IF($F650&lt;&gt;"","N",IF($J650&lt;&gt;"","C","")))</f>
        <v/>
      </c>
      <c r="S650" s="9" t="str">
        <f aca="false">IF($R650="","",$A650&amp;"|"&amp;$R650&amp;"|"&amp;$D650)</f>
        <v/>
      </c>
    </row>
    <row r="651" customFormat="false" ht="15" hidden="false" customHeight="false" outlineLevel="0" collapsed="false">
      <c r="R651" s="9" t="str">
        <f aca="false">IF($D651="","",IF($F651&lt;&gt;"","N",IF($J651&lt;&gt;"","C","")))</f>
        <v/>
      </c>
      <c r="S651" s="9" t="str">
        <f aca="false">IF($R651="","",$A651&amp;"|"&amp;$R651&amp;"|"&amp;$D651)</f>
        <v/>
      </c>
    </row>
    <row r="652" customFormat="false" ht="15" hidden="false" customHeight="false" outlineLevel="0" collapsed="false">
      <c r="R652" s="9" t="str">
        <f aca="false">IF($D652="","",IF($F652&lt;&gt;"","N",IF($J652&lt;&gt;"","C","")))</f>
        <v/>
      </c>
      <c r="S652" s="9" t="str">
        <f aca="false">IF($R652="","",$A652&amp;"|"&amp;$R652&amp;"|"&amp;$D652)</f>
        <v/>
      </c>
    </row>
    <row r="653" customFormat="false" ht="15" hidden="false" customHeight="false" outlineLevel="0" collapsed="false">
      <c r="R653" s="9" t="str">
        <f aca="false">IF($D653="","",IF($F653&lt;&gt;"","N",IF($J653&lt;&gt;"","C","")))</f>
        <v/>
      </c>
      <c r="S653" s="9" t="str">
        <f aca="false">IF($R653="","",$A653&amp;"|"&amp;$R653&amp;"|"&amp;$D653)</f>
        <v/>
      </c>
    </row>
    <row r="654" customFormat="false" ht="15" hidden="false" customHeight="false" outlineLevel="0" collapsed="false">
      <c r="R654" s="9" t="str">
        <f aca="false">IF($D654="","",IF($F654&lt;&gt;"","N",IF($J654&lt;&gt;"","C","")))</f>
        <v/>
      </c>
      <c r="S654" s="9" t="str">
        <f aca="false">IF($R654="","",$A654&amp;"|"&amp;$R654&amp;"|"&amp;$D654)</f>
        <v/>
      </c>
    </row>
    <row r="655" customFormat="false" ht="15" hidden="false" customHeight="false" outlineLevel="0" collapsed="false">
      <c r="R655" s="9" t="str">
        <f aca="false">IF($D655="","",IF($F655&lt;&gt;"","N",IF($J655&lt;&gt;"","C","")))</f>
        <v/>
      </c>
      <c r="S655" s="9" t="str">
        <f aca="false">IF($R655="","",$A655&amp;"|"&amp;$R655&amp;"|"&amp;$D655)</f>
        <v/>
      </c>
    </row>
    <row r="656" customFormat="false" ht="15" hidden="false" customHeight="false" outlineLevel="0" collapsed="false">
      <c r="R656" s="9" t="str">
        <f aca="false">IF($D656="","",IF($F656&lt;&gt;"","N",IF($J656&lt;&gt;"","C","")))</f>
        <v/>
      </c>
      <c r="S656" s="9" t="str">
        <f aca="false">IF($R656="","",$A656&amp;"|"&amp;$R656&amp;"|"&amp;$D656)</f>
        <v/>
      </c>
    </row>
    <row r="657" customFormat="false" ht="15" hidden="false" customHeight="false" outlineLevel="0" collapsed="false">
      <c r="R657" s="9" t="str">
        <f aca="false">IF($D657="","",IF($F657&lt;&gt;"","N",IF($J657&lt;&gt;"","C","")))</f>
        <v/>
      </c>
      <c r="S657" s="9" t="str">
        <f aca="false">IF($R657="","",$A657&amp;"|"&amp;$R657&amp;"|"&amp;$D657)</f>
        <v/>
      </c>
    </row>
    <row r="658" customFormat="false" ht="15" hidden="false" customHeight="false" outlineLevel="0" collapsed="false">
      <c r="R658" s="9" t="str">
        <f aca="false">IF($D658="","",IF($F658&lt;&gt;"","N",IF($J658&lt;&gt;"","C","")))</f>
        <v/>
      </c>
      <c r="S658" s="9" t="str">
        <f aca="false">IF($R658="","",$A658&amp;"|"&amp;$R658&amp;"|"&amp;$D658)</f>
        <v/>
      </c>
    </row>
    <row r="659" customFormat="false" ht="15" hidden="false" customHeight="false" outlineLevel="0" collapsed="false">
      <c r="R659" s="9" t="str">
        <f aca="false">IF($D659="","",IF($F659&lt;&gt;"","N",IF($J659&lt;&gt;"","C","")))</f>
        <v/>
      </c>
      <c r="S659" s="9" t="str">
        <f aca="false">IF($R659="","",$A659&amp;"|"&amp;$R659&amp;"|"&amp;$D659)</f>
        <v/>
      </c>
    </row>
    <row r="660" customFormat="false" ht="15" hidden="false" customHeight="false" outlineLevel="0" collapsed="false">
      <c r="R660" s="9" t="str">
        <f aca="false">IF($D660="","",IF($F660&lt;&gt;"","N",IF($J660&lt;&gt;"","C","")))</f>
        <v/>
      </c>
      <c r="S660" s="9" t="str">
        <f aca="false">IF($R660="","",$A660&amp;"|"&amp;$R660&amp;"|"&amp;$D660)</f>
        <v/>
      </c>
    </row>
    <row r="661" customFormat="false" ht="15" hidden="false" customHeight="false" outlineLevel="0" collapsed="false">
      <c r="R661" s="9" t="str">
        <f aca="false">IF($D661="","",IF($F661&lt;&gt;"","N",IF($J661&lt;&gt;"","C","")))</f>
        <v/>
      </c>
      <c r="S661" s="9" t="str">
        <f aca="false">IF($R661="","",$A661&amp;"|"&amp;$R661&amp;"|"&amp;$D661)</f>
        <v/>
      </c>
    </row>
    <row r="662" customFormat="false" ht="15" hidden="false" customHeight="false" outlineLevel="0" collapsed="false">
      <c r="R662" s="9" t="str">
        <f aca="false">IF($D662="","",IF($F662&lt;&gt;"","N",IF($J662&lt;&gt;"","C","")))</f>
        <v/>
      </c>
      <c r="S662" s="9" t="str">
        <f aca="false">IF($R662="","",$A662&amp;"|"&amp;$R662&amp;"|"&amp;$D662)</f>
        <v/>
      </c>
    </row>
    <row r="663" customFormat="false" ht="15" hidden="false" customHeight="false" outlineLevel="0" collapsed="false">
      <c r="R663" s="9" t="str">
        <f aca="false">IF($D663="","",IF($F663&lt;&gt;"","N",IF($J663&lt;&gt;"","C","")))</f>
        <v/>
      </c>
      <c r="S663" s="9" t="str">
        <f aca="false">IF($R663="","",$A663&amp;"|"&amp;$R663&amp;"|"&amp;$D663)</f>
        <v/>
      </c>
    </row>
    <row r="664" customFormat="false" ht="15" hidden="false" customHeight="false" outlineLevel="0" collapsed="false">
      <c r="R664" s="9" t="str">
        <f aca="false">IF($D664="","",IF($F664&lt;&gt;"","N",IF($J664&lt;&gt;"","C","")))</f>
        <v/>
      </c>
      <c r="S664" s="9" t="str">
        <f aca="false">IF($R664="","",$A664&amp;"|"&amp;$R664&amp;"|"&amp;$D664)</f>
        <v/>
      </c>
    </row>
    <row r="665" customFormat="false" ht="15" hidden="false" customHeight="false" outlineLevel="0" collapsed="false">
      <c r="R665" s="9" t="str">
        <f aca="false">IF($D665="","",IF($F665&lt;&gt;"","N",IF($J665&lt;&gt;"","C","")))</f>
        <v/>
      </c>
      <c r="S665" s="9" t="str">
        <f aca="false">IF($R665="","",$A665&amp;"|"&amp;$R665&amp;"|"&amp;$D665)</f>
        <v/>
      </c>
    </row>
    <row r="666" customFormat="false" ht="15" hidden="false" customHeight="false" outlineLevel="0" collapsed="false">
      <c r="R666" s="9" t="str">
        <f aca="false">IF($D666="","",IF($F666&lt;&gt;"","N",IF($J666&lt;&gt;"","C","")))</f>
        <v/>
      </c>
      <c r="S666" s="9" t="str">
        <f aca="false">IF($R666="","",$A666&amp;"|"&amp;$R666&amp;"|"&amp;$D666)</f>
        <v/>
      </c>
    </row>
    <row r="667" customFormat="false" ht="15" hidden="false" customHeight="false" outlineLevel="0" collapsed="false">
      <c r="R667" s="9" t="str">
        <f aca="false">IF($D667="","",IF($F667&lt;&gt;"","N",IF($J667&lt;&gt;"","C","")))</f>
        <v/>
      </c>
      <c r="S667" s="9" t="str">
        <f aca="false">IF($R667="","",$A667&amp;"|"&amp;$R667&amp;"|"&amp;$D667)</f>
        <v/>
      </c>
    </row>
    <row r="668" customFormat="false" ht="15" hidden="false" customHeight="false" outlineLevel="0" collapsed="false">
      <c r="R668" s="9" t="str">
        <f aca="false">IF($D668="","",IF($F668&lt;&gt;"","N",IF($J668&lt;&gt;"","C","")))</f>
        <v/>
      </c>
      <c r="S668" s="9" t="str">
        <f aca="false">IF($R668="","",$A668&amp;"|"&amp;$R668&amp;"|"&amp;$D668)</f>
        <v/>
      </c>
    </row>
    <row r="669" customFormat="false" ht="15" hidden="false" customHeight="false" outlineLevel="0" collapsed="false">
      <c r="R669" s="9" t="str">
        <f aca="false">IF($D669="","",IF($F669&lt;&gt;"","N",IF($J669&lt;&gt;"","C","")))</f>
        <v/>
      </c>
      <c r="S669" s="9" t="str">
        <f aca="false">IF($R669="","",$A669&amp;"|"&amp;$R669&amp;"|"&amp;$D669)</f>
        <v/>
      </c>
    </row>
    <row r="670" customFormat="false" ht="15" hidden="false" customHeight="false" outlineLevel="0" collapsed="false">
      <c r="R670" s="9" t="str">
        <f aca="false">IF($D670="","",IF($F670&lt;&gt;"","N",IF($J670&lt;&gt;"","C","")))</f>
        <v/>
      </c>
      <c r="S670" s="9" t="str">
        <f aca="false">IF($R670="","",$A670&amp;"|"&amp;$R670&amp;"|"&amp;$D670)</f>
        <v/>
      </c>
    </row>
    <row r="671" customFormat="false" ht="15" hidden="false" customHeight="false" outlineLevel="0" collapsed="false">
      <c r="R671" s="9" t="str">
        <f aca="false">IF($D671="","",IF($F671&lt;&gt;"","N",IF($J671&lt;&gt;"","C","")))</f>
        <v/>
      </c>
      <c r="S671" s="9" t="str">
        <f aca="false">IF($R671="","",$A671&amp;"|"&amp;$R671&amp;"|"&amp;$D671)</f>
        <v/>
      </c>
    </row>
    <row r="672" customFormat="false" ht="15" hidden="false" customHeight="false" outlineLevel="0" collapsed="false">
      <c r="R672" s="9" t="str">
        <f aca="false">IF($D672="","",IF($F672&lt;&gt;"","N",IF($J672&lt;&gt;"","C","")))</f>
        <v/>
      </c>
      <c r="S672" s="9" t="str">
        <f aca="false">IF($R672="","",$A672&amp;"|"&amp;$R672&amp;"|"&amp;$D672)</f>
        <v/>
      </c>
    </row>
    <row r="673" customFormat="false" ht="15" hidden="false" customHeight="false" outlineLevel="0" collapsed="false">
      <c r="R673" s="9" t="str">
        <f aca="false">IF($D673="","",IF($F673&lt;&gt;"","N",IF($J673&lt;&gt;"","C","")))</f>
        <v/>
      </c>
      <c r="S673" s="9" t="str">
        <f aca="false">IF($R673="","",$A673&amp;"|"&amp;$R673&amp;"|"&amp;$D673)</f>
        <v/>
      </c>
    </row>
    <row r="674" customFormat="false" ht="15" hidden="false" customHeight="false" outlineLevel="0" collapsed="false">
      <c r="R674" s="9" t="str">
        <f aca="false">IF($D674="","",IF($F674&lt;&gt;"","N",IF($J674&lt;&gt;"","C","")))</f>
        <v/>
      </c>
      <c r="S674" s="9" t="str">
        <f aca="false">IF($R674="","",$A674&amp;"|"&amp;$R674&amp;"|"&amp;$D674)</f>
        <v/>
      </c>
    </row>
    <row r="675" customFormat="false" ht="15" hidden="false" customHeight="false" outlineLevel="0" collapsed="false">
      <c r="R675" s="9" t="str">
        <f aca="false">IF($D675="","",IF($F675&lt;&gt;"","N",IF($J675&lt;&gt;"","C","")))</f>
        <v/>
      </c>
      <c r="S675" s="9" t="str">
        <f aca="false">IF($R675="","",$A675&amp;"|"&amp;$R675&amp;"|"&amp;$D675)</f>
        <v/>
      </c>
    </row>
    <row r="676" customFormat="false" ht="15" hidden="false" customHeight="false" outlineLevel="0" collapsed="false">
      <c r="R676" s="9" t="str">
        <f aca="false">IF($D676="","",IF($F676&lt;&gt;"","N",IF($J676&lt;&gt;"","C","")))</f>
        <v/>
      </c>
      <c r="S676" s="9" t="str">
        <f aca="false">IF($R676="","",$A676&amp;"|"&amp;$R676&amp;"|"&amp;$D676)</f>
        <v/>
      </c>
    </row>
    <row r="677" customFormat="false" ht="15" hidden="false" customHeight="false" outlineLevel="0" collapsed="false">
      <c r="R677" s="9" t="str">
        <f aca="false">IF($D677="","",IF($F677&lt;&gt;"","N",IF($J677&lt;&gt;"","C","")))</f>
        <v/>
      </c>
      <c r="S677" s="9" t="str">
        <f aca="false">IF($R677="","",$A677&amp;"|"&amp;$R677&amp;"|"&amp;$D677)</f>
        <v/>
      </c>
    </row>
    <row r="678" customFormat="false" ht="15" hidden="false" customHeight="false" outlineLevel="0" collapsed="false">
      <c r="R678" s="9" t="str">
        <f aca="false">IF($D678="","",IF($F678&lt;&gt;"","N",IF($J678&lt;&gt;"","C","")))</f>
        <v/>
      </c>
      <c r="S678" s="9" t="str">
        <f aca="false">IF($R678="","",$A678&amp;"|"&amp;$R678&amp;"|"&amp;$D678)</f>
        <v/>
      </c>
    </row>
    <row r="679" customFormat="false" ht="15" hidden="false" customHeight="false" outlineLevel="0" collapsed="false">
      <c r="R679" s="9" t="str">
        <f aca="false">IF($D679="","",IF($F679&lt;&gt;"","N",IF($J679&lt;&gt;"","C","")))</f>
        <v/>
      </c>
      <c r="S679" s="9" t="str">
        <f aca="false">IF($R679="","",$A679&amp;"|"&amp;$R679&amp;"|"&amp;$D679)</f>
        <v/>
      </c>
    </row>
    <row r="680" customFormat="false" ht="15" hidden="false" customHeight="false" outlineLevel="0" collapsed="false">
      <c r="R680" s="9" t="str">
        <f aca="false">IF($D680="","",IF($F680&lt;&gt;"","N",IF($J680&lt;&gt;"","C","")))</f>
        <v/>
      </c>
      <c r="S680" s="9" t="str">
        <f aca="false">IF($R680="","",$A680&amp;"|"&amp;$R680&amp;"|"&amp;$D680)</f>
        <v/>
      </c>
    </row>
    <row r="681" customFormat="false" ht="15" hidden="false" customHeight="false" outlineLevel="0" collapsed="false">
      <c r="R681" s="9" t="str">
        <f aca="false">IF($D681="","",IF($F681&lt;&gt;"","N",IF($J681&lt;&gt;"","C","")))</f>
        <v/>
      </c>
      <c r="S681" s="9" t="str">
        <f aca="false">IF($R681="","",$A681&amp;"|"&amp;$R681&amp;"|"&amp;$D681)</f>
        <v/>
      </c>
    </row>
    <row r="682" customFormat="false" ht="15" hidden="false" customHeight="false" outlineLevel="0" collapsed="false">
      <c r="R682" s="9" t="str">
        <f aca="false">IF($D682="","",IF($F682&lt;&gt;"","N",IF($J682&lt;&gt;"","C","")))</f>
        <v/>
      </c>
      <c r="S682" s="9" t="str">
        <f aca="false">IF($R682="","",$A682&amp;"|"&amp;$R682&amp;"|"&amp;$D682)</f>
        <v/>
      </c>
    </row>
    <row r="683" customFormat="false" ht="15" hidden="false" customHeight="false" outlineLevel="0" collapsed="false">
      <c r="R683" s="9" t="str">
        <f aca="false">IF($D683="","",IF($F683&lt;&gt;"","N",IF($J683&lt;&gt;"","C","")))</f>
        <v/>
      </c>
      <c r="S683" s="9" t="str">
        <f aca="false">IF($R683="","",$A683&amp;"|"&amp;$R683&amp;"|"&amp;$D683)</f>
        <v/>
      </c>
    </row>
    <row r="684" customFormat="false" ht="15" hidden="false" customHeight="false" outlineLevel="0" collapsed="false">
      <c r="R684" s="9" t="str">
        <f aca="false">IF($D684="","",IF($F684&lt;&gt;"","N",IF($J684&lt;&gt;"","C","")))</f>
        <v/>
      </c>
      <c r="S684" s="9" t="str">
        <f aca="false">IF($R684="","",$A684&amp;"|"&amp;$R684&amp;"|"&amp;$D684)</f>
        <v/>
      </c>
    </row>
    <row r="685" customFormat="false" ht="15" hidden="false" customHeight="false" outlineLevel="0" collapsed="false">
      <c r="R685" s="9" t="str">
        <f aca="false">IF($D685="","",IF($F685&lt;&gt;"","N",IF($J685&lt;&gt;"","C","")))</f>
        <v/>
      </c>
      <c r="S685" s="9" t="str">
        <f aca="false">IF($R685="","",$A685&amp;"|"&amp;$R685&amp;"|"&amp;$D685)</f>
        <v/>
      </c>
    </row>
    <row r="686" customFormat="false" ht="15" hidden="false" customHeight="false" outlineLevel="0" collapsed="false">
      <c r="R686" s="9" t="str">
        <f aca="false">IF($D686="","",IF($F686&lt;&gt;"","N",IF($J686&lt;&gt;"","C","")))</f>
        <v/>
      </c>
      <c r="S686" s="9" t="str">
        <f aca="false">IF($R686="","",$A686&amp;"|"&amp;$R686&amp;"|"&amp;$D686)</f>
        <v/>
      </c>
    </row>
    <row r="687" customFormat="false" ht="15" hidden="false" customHeight="false" outlineLevel="0" collapsed="false">
      <c r="R687" s="9" t="str">
        <f aca="false">IF($D687="","",IF($F687&lt;&gt;"","N",IF($J687&lt;&gt;"","C","")))</f>
        <v/>
      </c>
      <c r="S687" s="9" t="str">
        <f aca="false">IF($R687="","",$A687&amp;"|"&amp;$R687&amp;"|"&amp;$D687)</f>
        <v/>
      </c>
    </row>
    <row r="688" customFormat="false" ht="15" hidden="false" customHeight="false" outlineLevel="0" collapsed="false">
      <c r="R688" s="9" t="str">
        <f aca="false">IF($D688="","",IF($F688&lt;&gt;"","N",IF($J688&lt;&gt;"","C","")))</f>
        <v/>
      </c>
      <c r="S688" s="9" t="str">
        <f aca="false">IF($R688="","",$A688&amp;"|"&amp;$R688&amp;"|"&amp;$D688)</f>
        <v/>
      </c>
    </row>
    <row r="689" customFormat="false" ht="15" hidden="false" customHeight="false" outlineLevel="0" collapsed="false">
      <c r="R689" s="9" t="str">
        <f aca="false">IF($D689="","",IF($F689&lt;&gt;"","N",IF($J689&lt;&gt;"","C","")))</f>
        <v/>
      </c>
      <c r="S689" s="9" t="str">
        <f aca="false">IF($R689="","",$A689&amp;"|"&amp;$R689&amp;"|"&amp;$D689)</f>
        <v/>
      </c>
    </row>
    <row r="690" customFormat="false" ht="15" hidden="false" customHeight="false" outlineLevel="0" collapsed="false">
      <c r="R690" s="9" t="str">
        <f aca="false">IF($D690="","",IF($F690&lt;&gt;"","N",IF($J690&lt;&gt;"","C","")))</f>
        <v/>
      </c>
      <c r="S690" s="9" t="str">
        <f aca="false">IF($R690="","",$A690&amp;"|"&amp;$R690&amp;"|"&amp;$D690)</f>
        <v/>
      </c>
    </row>
    <row r="691" customFormat="false" ht="15" hidden="false" customHeight="false" outlineLevel="0" collapsed="false">
      <c r="R691" s="9" t="str">
        <f aca="false">IF($D691="","",IF($F691&lt;&gt;"","N",IF($J691&lt;&gt;"","C","")))</f>
        <v/>
      </c>
      <c r="S691" s="9" t="str">
        <f aca="false">IF($R691="","",$A691&amp;"|"&amp;$R691&amp;"|"&amp;$D691)</f>
        <v/>
      </c>
    </row>
    <row r="692" customFormat="false" ht="15" hidden="false" customHeight="false" outlineLevel="0" collapsed="false">
      <c r="R692" s="9" t="str">
        <f aca="false">IF($D692="","",IF($F692&lt;&gt;"","N",IF($J692&lt;&gt;"","C","")))</f>
        <v/>
      </c>
      <c r="S692" s="9" t="str">
        <f aca="false">IF($R692="","",$A692&amp;"|"&amp;$R692&amp;"|"&amp;$D692)</f>
        <v/>
      </c>
    </row>
    <row r="693" customFormat="false" ht="15" hidden="false" customHeight="false" outlineLevel="0" collapsed="false">
      <c r="R693" s="9" t="str">
        <f aca="false">IF($D693="","",IF($F693&lt;&gt;"","N",IF($J693&lt;&gt;"","C","")))</f>
        <v/>
      </c>
      <c r="S693" s="9" t="str">
        <f aca="false">IF($R693="","",$A693&amp;"|"&amp;$R693&amp;"|"&amp;$D693)</f>
        <v/>
      </c>
    </row>
    <row r="694" customFormat="false" ht="15" hidden="false" customHeight="false" outlineLevel="0" collapsed="false">
      <c r="R694" s="9" t="str">
        <f aca="false">IF($D694="","",IF($F694&lt;&gt;"","N",IF($J694&lt;&gt;"","C","")))</f>
        <v/>
      </c>
      <c r="S694" s="9" t="str">
        <f aca="false">IF($R694="","",$A694&amp;"|"&amp;$R694&amp;"|"&amp;$D694)</f>
        <v/>
      </c>
    </row>
    <row r="695" customFormat="false" ht="15" hidden="false" customHeight="false" outlineLevel="0" collapsed="false">
      <c r="R695" s="9" t="str">
        <f aca="false">IF($D695="","",IF($F695&lt;&gt;"","N",IF($J695&lt;&gt;"","C","")))</f>
        <v/>
      </c>
      <c r="S695" s="9" t="str">
        <f aca="false">IF($R695="","",$A695&amp;"|"&amp;$R695&amp;"|"&amp;$D695)</f>
        <v/>
      </c>
    </row>
    <row r="696" customFormat="false" ht="15" hidden="false" customHeight="false" outlineLevel="0" collapsed="false">
      <c r="R696" s="9" t="str">
        <f aca="false">IF($D696="","",IF($F696&lt;&gt;"","N",IF($J696&lt;&gt;"","C","")))</f>
        <v/>
      </c>
      <c r="S696" s="9" t="str">
        <f aca="false">IF($R696="","",$A696&amp;"|"&amp;$R696&amp;"|"&amp;$D696)</f>
        <v/>
      </c>
    </row>
    <row r="697" customFormat="false" ht="15" hidden="false" customHeight="false" outlineLevel="0" collapsed="false">
      <c r="R697" s="9" t="str">
        <f aca="false">IF($D697="","",IF($F697&lt;&gt;"","N",IF($J697&lt;&gt;"","C","")))</f>
        <v/>
      </c>
      <c r="S697" s="9" t="str">
        <f aca="false">IF($R697="","",$A697&amp;"|"&amp;$R697&amp;"|"&amp;$D697)</f>
        <v/>
      </c>
    </row>
    <row r="698" customFormat="false" ht="15" hidden="false" customHeight="false" outlineLevel="0" collapsed="false">
      <c r="R698" s="9" t="str">
        <f aca="false">IF($D698="","",IF($F698&lt;&gt;"","N",IF($J698&lt;&gt;"","C","")))</f>
        <v/>
      </c>
      <c r="S698" s="9" t="str">
        <f aca="false">IF($R698="","",$A698&amp;"|"&amp;$R698&amp;"|"&amp;$D698)</f>
        <v/>
      </c>
    </row>
    <row r="699" customFormat="false" ht="15" hidden="false" customHeight="false" outlineLevel="0" collapsed="false">
      <c r="R699" s="9" t="str">
        <f aca="false">IF($D699="","",IF($F699&lt;&gt;"","N",IF($J699&lt;&gt;"","C","")))</f>
        <v/>
      </c>
      <c r="S699" s="9" t="str">
        <f aca="false">IF($R699="","",$A699&amp;"|"&amp;$R699&amp;"|"&amp;$D699)</f>
        <v/>
      </c>
    </row>
    <row r="700" customFormat="false" ht="15" hidden="false" customHeight="false" outlineLevel="0" collapsed="false">
      <c r="R700" s="9" t="str">
        <f aca="false">IF($D700="","",IF($F700&lt;&gt;"","N",IF($J700&lt;&gt;"","C","")))</f>
        <v/>
      </c>
      <c r="S700" s="9" t="str">
        <f aca="false">IF($R700="","",$A700&amp;"|"&amp;$R700&amp;"|"&amp;$D700)</f>
        <v/>
      </c>
    </row>
    <row r="701" customFormat="false" ht="15" hidden="false" customHeight="false" outlineLevel="0" collapsed="false">
      <c r="R701" s="9" t="str">
        <f aca="false">IF($D701="","",IF($F701&lt;&gt;"","N",IF($J701&lt;&gt;"","C","")))</f>
        <v/>
      </c>
      <c r="S701" s="9" t="str">
        <f aca="false">IF($R701="","",$A701&amp;"|"&amp;$R701&amp;"|"&amp;$D701)</f>
        <v/>
      </c>
    </row>
    <row r="702" customFormat="false" ht="15" hidden="false" customHeight="false" outlineLevel="0" collapsed="false">
      <c r="R702" s="9" t="str">
        <f aca="false">IF($D702="","",IF($F702&lt;&gt;"","N",IF($J702&lt;&gt;"","C","")))</f>
        <v/>
      </c>
      <c r="S702" s="9" t="str">
        <f aca="false">IF($R702="","",$A702&amp;"|"&amp;$R702&amp;"|"&amp;$D702)</f>
        <v/>
      </c>
    </row>
    <row r="703" customFormat="false" ht="15" hidden="false" customHeight="false" outlineLevel="0" collapsed="false">
      <c r="R703" s="9" t="str">
        <f aca="false">IF($D703="","",IF($F703&lt;&gt;"","N",IF($J703&lt;&gt;"","C","")))</f>
        <v/>
      </c>
      <c r="S703" s="9" t="str">
        <f aca="false">IF($R703="","",$A703&amp;"|"&amp;$R703&amp;"|"&amp;$D703)</f>
        <v/>
      </c>
    </row>
    <row r="704" customFormat="false" ht="15" hidden="false" customHeight="false" outlineLevel="0" collapsed="false">
      <c r="R704" s="9" t="str">
        <f aca="false">IF($D704="","",IF($F704&lt;&gt;"","N",IF($J704&lt;&gt;"","C","")))</f>
        <v/>
      </c>
      <c r="S704" s="9" t="str">
        <f aca="false">IF($R704="","",$A704&amp;"|"&amp;$R704&amp;"|"&amp;$D704)</f>
        <v/>
      </c>
    </row>
    <row r="705" customFormat="false" ht="15" hidden="false" customHeight="false" outlineLevel="0" collapsed="false">
      <c r="R705" s="9" t="str">
        <f aca="false">IF($D705="","",IF($F705&lt;&gt;"","N",IF($J705&lt;&gt;"","C","")))</f>
        <v/>
      </c>
      <c r="S705" s="9" t="str">
        <f aca="false">IF($R705="","",$A705&amp;"|"&amp;$R705&amp;"|"&amp;$D705)</f>
        <v/>
      </c>
    </row>
    <row r="706" customFormat="false" ht="15" hidden="false" customHeight="false" outlineLevel="0" collapsed="false">
      <c r="R706" s="9" t="str">
        <f aca="false">IF($D706="","",IF($F706&lt;&gt;"","N",IF($J706&lt;&gt;"","C","")))</f>
        <v/>
      </c>
      <c r="S706" s="9" t="str">
        <f aca="false">IF($R706="","",$A706&amp;"|"&amp;$R706&amp;"|"&amp;$D706)</f>
        <v/>
      </c>
    </row>
    <row r="707" customFormat="false" ht="15" hidden="false" customHeight="false" outlineLevel="0" collapsed="false">
      <c r="R707" s="9" t="str">
        <f aca="false">IF($D707="","",IF($F707&lt;&gt;"","N",IF($J707&lt;&gt;"","C","")))</f>
        <v/>
      </c>
      <c r="S707" s="9" t="str">
        <f aca="false">IF($R707="","",$A707&amp;"|"&amp;$R707&amp;"|"&amp;$D707)</f>
        <v/>
      </c>
    </row>
    <row r="708" customFormat="false" ht="15" hidden="false" customHeight="false" outlineLevel="0" collapsed="false">
      <c r="R708" s="9" t="str">
        <f aca="false">IF($D708="","",IF($F708&lt;&gt;"","N",IF($J708&lt;&gt;"","C","")))</f>
        <v/>
      </c>
      <c r="S708" s="9" t="str">
        <f aca="false">IF($R708="","",$A708&amp;"|"&amp;$R708&amp;"|"&amp;$D708)</f>
        <v/>
      </c>
    </row>
    <row r="709" customFormat="false" ht="15" hidden="false" customHeight="false" outlineLevel="0" collapsed="false">
      <c r="R709" s="9" t="str">
        <f aca="false">IF($D709="","",IF($F709&lt;&gt;"","N",IF($J709&lt;&gt;"","C","")))</f>
        <v/>
      </c>
      <c r="S709" s="9" t="str">
        <f aca="false">IF($R709="","",$A709&amp;"|"&amp;$R709&amp;"|"&amp;$D709)</f>
        <v/>
      </c>
    </row>
    <row r="710" customFormat="false" ht="15" hidden="false" customHeight="false" outlineLevel="0" collapsed="false">
      <c r="R710" s="9" t="str">
        <f aca="false">IF($D710="","",IF($F710&lt;&gt;"","N",IF($J710&lt;&gt;"","C","")))</f>
        <v/>
      </c>
      <c r="S710" s="9" t="str">
        <f aca="false">IF($R710="","",$A710&amp;"|"&amp;$R710&amp;"|"&amp;$D710)</f>
        <v/>
      </c>
    </row>
    <row r="711" customFormat="false" ht="15" hidden="false" customHeight="false" outlineLevel="0" collapsed="false">
      <c r="R711" s="9" t="str">
        <f aca="false">IF($D711="","",IF($F711&lt;&gt;"","N",IF($J711&lt;&gt;"","C","")))</f>
        <v/>
      </c>
      <c r="S711" s="9" t="str">
        <f aca="false">IF($R711="","",$A711&amp;"|"&amp;$R711&amp;"|"&amp;$D711)</f>
        <v/>
      </c>
    </row>
    <row r="712" customFormat="false" ht="15" hidden="false" customHeight="false" outlineLevel="0" collapsed="false">
      <c r="R712" s="9" t="str">
        <f aca="false">IF($D712="","",IF($F712&lt;&gt;"","N",IF($J712&lt;&gt;"","C","")))</f>
        <v/>
      </c>
      <c r="S712" s="9" t="str">
        <f aca="false">IF($R712="","",$A712&amp;"|"&amp;$R712&amp;"|"&amp;$D712)</f>
        <v/>
      </c>
    </row>
    <row r="713" customFormat="false" ht="15" hidden="false" customHeight="false" outlineLevel="0" collapsed="false">
      <c r="R713" s="9" t="str">
        <f aca="false">IF($D713="","",IF($F713&lt;&gt;"","N",IF($J713&lt;&gt;"","C","")))</f>
        <v/>
      </c>
      <c r="S713" s="9" t="str">
        <f aca="false">IF($R713="","",$A713&amp;"|"&amp;$R713&amp;"|"&amp;$D713)</f>
        <v/>
      </c>
    </row>
    <row r="714" customFormat="false" ht="15" hidden="false" customHeight="false" outlineLevel="0" collapsed="false">
      <c r="R714" s="9" t="str">
        <f aca="false">IF($D714="","",IF($F714&lt;&gt;"","N",IF($J714&lt;&gt;"","C","")))</f>
        <v/>
      </c>
      <c r="S714" s="9" t="str">
        <f aca="false">IF($R714="","",$A714&amp;"|"&amp;$R714&amp;"|"&amp;$D714)</f>
        <v/>
      </c>
    </row>
    <row r="715" customFormat="false" ht="15" hidden="false" customHeight="false" outlineLevel="0" collapsed="false">
      <c r="R715" s="9" t="str">
        <f aca="false">IF($D715="","",IF($F715&lt;&gt;"","N",IF($J715&lt;&gt;"","C","")))</f>
        <v/>
      </c>
      <c r="S715" s="9" t="str">
        <f aca="false">IF($R715="","",$A715&amp;"|"&amp;$R715&amp;"|"&amp;$D715)</f>
        <v/>
      </c>
    </row>
    <row r="716" customFormat="false" ht="15" hidden="false" customHeight="false" outlineLevel="0" collapsed="false">
      <c r="R716" s="9" t="str">
        <f aca="false">IF($D716="","",IF($F716&lt;&gt;"","N",IF($J716&lt;&gt;"","C","")))</f>
        <v/>
      </c>
      <c r="S716" s="9" t="str">
        <f aca="false">IF($R716="","",$A716&amp;"|"&amp;$R716&amp;"|"&amp;$D716)</f>
        <v/>
      </c>
    </row>
    <row r="717" customFormat="false" ht="15" hidden="false" customHeight="false" outlineLevel="0" collapsed="false">
      <c r="R717" s="9" t="str">
        <f aca="false">IF($D717="","",IF($F717&lt;&gt;"","N",IF($J717&lt;&gt;"","C","")))</f>
        <v/>
      </c>
      <c r="S717" s="9" t="str">
        <f aca="false">IF($R717="","",$A717&amp;"|"&amp;$R717&amp;"|"&amp;$D717)</f>
        <v/>
      </c>
    </row>
    <row r="718" customFormat="false" ht="15" hidden="false" customHeight="false" outlineLevel="0" collapsed="false">
      <c r="R718" s="9" t="str">
        <f aca="false">IF($D718="","",IF($F718&lt;&gt;"","N",IF($J718&lt;&gt;"","C","")))</f>
        <v/>
      </c>
      <c r="S718" s="9" t="str">
        <f aca="false">IF($R718="","",$A718&amp;"|"&amp;$R718&amp;"|"&amp;$D718)</f>
        <v/>
      </c>
    </row>
    <row r="719" customFormat="false" ht="15" hidden="false" customHeight="false" outlineLevel="0" collapsed="false">
      <c r="R719" s="9" t="str">
        <f aca="false">IF($D719="","",IF($F719&lt;&gt;"","N",IF($J719&lt;&gt;"","C","")))</f>
        <v/>
      </c>
      <c r="S719" s="9" t="str">
        <f aca="false">IF($R719="","",$A719&amp;"|"&amp;$R719&amp;"|"&amp;$D719)</f>
        <v/>
      </c>
    </row>
    <row r="720" customFormat="false" ht="15" hidden="false" customHeight="false" outlineLevel="0" collapsed="false">
      <c r="R720" s="9" t="str">
        <f aca="false">IF($D720="","",IF($F720&lt;&gt;"","N",IF($J720&lt;&gt;"","C","")))</f>
        <v/>
      </c>
      <c r="S720" s="9" t="str">
        <f aca="false">IF($R720="","",$A720&amp;"|"&amp;$R720&amp;"|"&amp;$D720)</f>
        <v/>
      </c>
    </row>
    <row r="721" customFormat="false" ht="15" hidden="false" customHeight="false" outlineLevel="0" collapsed="false">
      <c r="R721" s="9" t="str">
        <f aca="false">IF($D721="","",IF($F721&lt;&gt;"","N",IF($J721&lt;&gt;"","C","")))</f>
        <v/>
      </c>
      <c r="S721" s="9" t="str">
        <f aca="false">IF($R721="","",$A721&amp;"|"&amp;$R721&amp;"|"&amp;$D721)</f>
        <v/>
      </c>
    </row>
    <row r="722" customFormat="false" ht="15" hidden="false" customHeight="false" outlineLevel="0" collapsed="false">
      <c r="R722" s="9" t="str">
        <f aca="false">IF($D722="","",IF($F722&lt;&gt;"","N",IF($J722&lt;&gt;"","C","")))</f>
        <v/>
      </c>
      <c r="S722" s="9" t="str">
        <f aca="false">IF($R722="","",$A722&amp;"|"&amp;$R722&amp;"|"&amp;$D722)</f>
        <v/>
      </c>
    </row>
    <row r="723" customFormat="false" ht="15" hidden="false" customHeight="false" outlineLevel="0" collapsed="false">
      <c r="R723" s="9" t="str">
        <f aca="false">IF($D723="","",IF($F723&lt;&gt;"","N",IF($J723&lt;&gt;"","C","")))</f>
        <v/>
      </c>
      <c r="S723" s="9" t="str">
        <f aca="false">IF($R723="","",$A723&amp;"|"&amp;$R723&amp;"|"&amp;$D723)</f>
        <v/>
      </c>
    </row>
    <row r="724" customFormat="false" ht="15" hidden="false" customHeight="false" outlineLevel="0" collapsed="false">
      <c r="R724" s="9" t="str">
        <f aca="false">IF($D724="","",IF($F724&lt;&gt;"","N",IF($J724&lt;&gt;"","C","")))</f>
        <v/>
      </c>
      <c r="S724" s="9" t="str">
        <f aca="false">IF($R724="","",$A724&amp;"|"&amp;$R724&amp;"|"&amp;$D724)</f>
        <v/>
      </c>
    </row>
    <row r="725" customFormat="false" ht="15" hidden="false" customHeight="false" outlineLevel="0" collapsed="false">
      <c r="R725" s="9" t="str">
        <f aca="false">IF($D725="","",IF($F725&lt;&gt;"","N",IF($J725&lt;&gt;"","C","")))</f>
        <v/>
      </c>
      <c r="S725" s="9" t="str">
        <f aca="false">IF($R725="","",$A725&amp;"|"&amp;$R725&amp;"|"&amp;$D725)</f>
        <v/>
      </c>
    </row>
    <row r="726" customFormat="false" ht="15" hidden="false" customHeight="false" outlineLevel="0" collapsed="false">
      <c r="R726" s="9" t="str">
        <f aca="false">IF($D726="","",IF($F726&lt;&gt;"","N",IF($J726&lt;&gt;"","C","")))</f>
        <v/>
      </c>
      <c r="S726" s="9" t="str">
        <f aca="false">IF($R726="","",$A726&amp;"|"&amp;$R726&amp;"|"&amp;$D726)</f>
        <v/>
      </c>
    </row>
    <row r="727" customFormat="false" ht="15" hidden="false" customHeight="false" outlineLevel="0" collapsed="false">
      <c r="R727" s="9" t="str">
        <f aca="false">IF($D727="","",IF($F727&lt;&gt;"","N",IF($J727&lt;&gt;"","C","")))</f>
        <v/>
      </c>
      <c r="S727" s="9" t="str">
        <f aca="false">IF($R727="","",$A727&amp;"|"&amp;$R727&amp;"|"&amp;$D727)</f>
        <v/>
      </c>
    </row>
    <row r="728" customFormat="false" ht="15" hidden="false" customHeight="false" outlineLevel="0" collapsed="false">
      <c r="R728" s="9" t="str">
        <f aca="false">IF($D728="","",IF($F728&lt;&gt;"","N",IF($J728&lt;&gt;"","C","")))</f>
        <v/>
      </c>
      <c r="S728" s="9" t="str">
        <f aca="false">IF($R728="","",$A728&amp;"|"&amp;$R728&amp;"|"&amp;$D728)</f>
        <v/>
      </c>
    </row>
    <row r="729" customFormat="false" ht="15" hidden="false" customHeight="false" outlineLevel="0" collapsed="false">
      <c r="R729" s="9" t="str">
        <f aca="false">IF($D729="","",IF($F729&lt;&gt;"","N",IF($J729&lt;&gt;"","C","")))</f>
        <v/>
      </c>
      <c r="S729" s="9" t="str">
        <f aca="false">IF($R729="","",$A729&amp;"|"&amp;$R729&amp;"|"&amp;$D729)</f>
        <v/>
      </c>
    </row>
    <row r="730" customFormat="false" ht="15" hidden="false" customHeight="false" outlineLevel="0" collapsed="false">
      <c r="R730" s="9" t="str">
        <f aca="false">IF($D730="","",IF($F730&lt;&gt;"","N",IF($J730&lt;&gt;"","C","")))</f>
        <v/>
      </c>
      <c r="S730" s="9" t="str">
        <f aca="false">IF($R730="","",$A730&amp;"|"&amp;$R730&amp;"|"&amp;$D730)</f>
        <v/>
      </c>
    </row>
    <row r="731" customFormat="false" ht="15" hidden="false" customHeight="false" outlineLevel="0" collapsed="false">
      <c r="R731" s="9" t="str">
        <f aca="false">IF($D731="","",IF($F731&lt;&gt;"","N",IF($J731&lt;&gt;"","C","")))</f>
        <v/>
      </c>
      <c r="S731" s="9" t="str">
        <f aca="false">IF($R731="","",$A731&amp;"|"&amp;$R731&amp;"|"&amp;$D731)</f>
        <v/>
      </c>
    </row>
    <row r="732" customFormat="false" ht="15" hidden="false" customHeight="false" outlineLevel="0" collapsed="false">
      <c r="R732" s="9" t="str">
        <f aca="false">IF($D732="","",IF($F732&lt;&gt;"","N",IF($J732&lt;&gt;"","C","")))</f>
        <v/>
      </c>
      <c r="S732" s="9" t="str">
        <f aca="false">IF($R732="","",$A732&amp;"|"&amp;$R732&amp;"|"&amp;$D732)</f>
        <v/>
      </c>
    </row>
    <row r="733" customFormat="false" ht="15" hidden="false" customHeight="false" outlineLevel="0" collapsed="false">
      <c r="R733" s="9" t="str">
        <f aca="false">IF($D733="","",IF($F733&lt;&gt;"","N",IF($J733&lt;&gt;"","C","")))</f>
        <v/>
      </c>
      <c r="S733" s="9" t="str">
        <f aca="false">IF($R733="","",$A733&amp;"|"&amp;$R733&amp;"|"&amp;$D733)</f>
        <v/>
      </c>
    </row>
    <row r="734" customFormat="false" ht="15" hidden="false" customHeight="false" outlineLevel="0" collapsed="false">
      <c r="R734" s="9" t="str">
        <f aca="false">IF($D734="","",IF($F734&lt;&gt;"","N",IF($J734&lt;&gt;"","C","")))</f>
        <v/>
      </c>
      <c r="S734" s="9" t="str">
        <f aca="false">IF($R734="","",$A734&amp;"|"&amp;$R734&amp;"|"&amp;$D734)</f>
        <v/>
      </c>
    </row>
    <row r="735" customFormat="false" ht="15" hidden="false" customHeight="false" outlineLevel="0" collapsed="false">
      <c r="R735" s="9" t="str">
        <f aca="false">IF($D735="","",IF($F735&lt;&gt;"","N",IF($J735&lt;&gt;"","C","")))</f>
        <v/>
      </c>
      <c r="S735" s="9" t="str">
        <f aca="false">IF($R735="","",$A735&amp;"|"&amp;$R735&amp;"|"&amp;$D735)</f>
        <v/>
      </c>
    </row>
    <row r="736" customFormat="false" ht="15" hidden="false" customHeight="false" outlineLevel="0" collapsed="false">
      <c r="R736" s="9" t="str">
        <f aca="false">IF($D736="","",IF($F736&lt;&gt;"","N",IF($J736&lt;&gt;"","C","")))</f>
        <v/>
      </c>
      <c r="S736" s="9" t="str">
        <f aca="false">IF($R736="","",$A736&amp;"|"&amp;$R736&amp;"|"&amp;$D736)</f>
        <v/>
      </c>
    </row>
    <row r="737" customFormat="false" ht="15" hidden="false" customHeight="false" outlineLevel="0" collapsed="false">
      <c r="R737" s="9" t="str">
        <f aca="false">IF($D737="","",IF($F737&lt;&gt;"","N",IF($J737&lt;&gt;"","C","")))</f>
        <v/>
      </c>
      <c r="S737" s="9" t="str">
        <f aca="false">IF($R737="","",$A737&amp;"|"&amp;$R737&amp;"|"&amp;$D737)</f>
        <v/>
      </c>
    </row>
    <row r="738" customFormat="false" ht="15" hidden="false" customHeight="false" outlineLevel="0" collapsed="false">
      <c r="R738" s="9" t="str">
        <f aca="false">IF($D738="","",IF($F738&lt;&gt;"","N",IF($J738&lt;&gt;"","C","")))</f>
        <v/>
      </c>
      <c r="S738" s="9" t="str">
        <f aca="false">IF($R738="","",$A738&amp;"|"&amp;$R738&amp;"|"&amp;$D738)</f>
        <v/>
      </c>
    </row>
    <row r="739" customFormat="false" ht="15" hidden="false" customHeight="false" outlineLevel="0" collapsed="false">
      <c r="R739" s="9" t="str">
        <f aca="false">IF($D739="","",IF($F739&lt;&gt;"","N",IF($J739&lt;&gt;"","C","")))</f>
        <v/>
      </c>
      <c r="S739" s="9" t="str">
        <f aca="false">IF($R739="","",$A739&amp;"|"&amp;$R739&amp;"|"&amp;$D739)</f>
        <v/>
      </c>
    </row>
    <row r="740" customFormat="false" ht="15" hidden="false" customHeight="false" outlineLevel="0" collapsed="false">
      <c r="R740" s="9" t="str">
        <f aca="false">IF($D740="","",IF($F740&lt;&gt;"","N",IF($J740&lt;&gt;"","C","")))</f>
        <v/>
      </c>
      <c r="S740" s="9" t="str">
        <f aca="false">IF($R740="","",$A740&amp;"|"&amp;$R740&amp;"|"&amp;$D740)</f>
        <v/>
      </c>
    </row>
    <row r="741" customFormat="false" ht="15" hidden="false" customHeight="false" outlineLevel="0" collapsed="false">
      <c r="R741" s="9" t="str">
        <f aca="false">IF($D741="","",IF($F741&lt;&gt;"","N",IF($J741&lt;&gt;"","C","")))</f>
        <v/>
      </c>
      <c r="S741" s="9" t="str">
        <f aca="false">IF($R741="","",$A741&amp;"|"&amp;$R741&amp;"|"&amp;$D741)</f>
        <v/>
      </c>
    </row>
    <row r="742" customFormat="false" ht="15" hidden="false" customHeight="false" outlineLevel="0" collapsed="false">
      <c r="R742" s="9" t="str">
        <f aca="false">IF($D742="","",IF($F742&lt;&gt;"","N",IF($J742&lt;&gt;"","C","")))</f>
        <v/>
      </c>
      <c r="S742" s="9" t="str">
        <f aca="false">IF($R742="","",$A742&amp;"|"&amp;$R742&amp;"|"&amp;$D742)</f>
        <v/>
      </c>
    </row>
    <row r="743" customFormat="false" ht="15" hidden="false" customHeight="false" outlineLevel="0" collapsed="false">
      <c r="R743" s="9" t="str">
        <f aca="false">IF($D743="","",IF($F743&lt;&gt;"","N",IF($J743&lt;&gt;"","C","")))</f>
        <v/>
      </c>
      <c r="S743" s="9" t="str">
        <f aca="false">IF($R743="","",$A743&amp;"|"&amp;$R743&amp;"|"&amp;$D743)</f>
        <v/>
      </c>
    </row>
    <row r="744" customFormat="false" ht="15" hidden="false" customHeight="false" outlineLevel="0" collapsed="false">
      <c r="R744" s="9" t="str">
        <f aca="false">IF($D744="","",IF($F744&lt;&gt;"","N",IF($J744&lt;&gt;"","C","")))</f>
        <v/>
      </c>
      <c r="S744" s="9" t="str">
        <f aca="false">IF($R744="","",$A744&amp;"|"&amp;$R744&amp;"|"&amp;$D744)</f>
        <v/>
      </c>
    </row>
    <row r="745" customFormat="false" ht="15" hidden="false" customHeight="false" outlineLevel="0" collapsed="false">
      <c r="R745" s="9" t="str">
        <f aca="false">IF($D745="","",IF($F745&lt;&gt;"","N",IF($J745&lt;&gt;"","C","")))</f>
        <v/>
      </c>
      <c r="S745" s="9" t="str">
        <f aca="false">IF($R745="","",$A745&amp;"|"&amp;$R745&amp;"|"&amp;$D745)</f>
        <v/>
      </c>
    </row>
    <row r="746" customFormat="false" ht="15" hidden="false" customHeight="false" outlineLevel="0" collapsed="false">
      <c r="R746" s="9" t="str">
        <f aca="false">IF($D746="","",IF($F746&lt;&gt;"","N",IF($J746&lt;&gt;"","C","")))</f>
        <v/>
      </c>
      <c r="S746" s="9" t="str">
        <f aca="false">IF($R746="","",$A746&amp;"|"&amp;$R746&amp;"|"&amp;$D746)</f>
        <v/>
      </c>
    </row>
    <row r="747" customFormat="false" ht="15" hidden="false" customHeight="false" outlineLevel="0" collapsed="false">
      <c r="R747" s="9" t="str">
        <f aca="false">IF($D747="","",IF($F747&lt;&gt;"","N",IF($J747&lt;&gt;"","C","")))</f>
        <v/>
      </c>
      <c r="S747" s="9" t="str">
        <f aca="false">IF($R747="","",$A747&amp;"|"&amp;$R747&amp;"|"&amp;$D747)</f>
        <v/>
      </c>
    </row>
    <row r="748" customFormat="false" ht="15" hidden="false" customHeight="false" outlineLevel="0" collapsed="false">
      <c r="R748" s="9" t="str">
        <f aca="false">IF($D748="","",IF($F748&lt;&gt;"","N",IF($J748&lt;&gt;"","C","")))</f>
        <v/>
      </c>
      <c r="S748" s="9" t="str">
        <f aca="false">IF($R748="","",$A748&amp;"|"&amp;$R748&amp;"|"&amp;$D748)</f>
        <v/>
      </c>
    </row>
    <row r="749" customFormat="false" ht="15" hidden="false" customHeight="false" outlineLevel="0" collapsed="false">
      <c r="R749" s="9" t="str">
        <f aca="false">IF($D749="","",IF($F749&lt;&gt;"","N",IF($J749&lt;&gt;"","C","")))</f>
        <v/>
      </c>
      <c r="S749" s="9" t="str">
        <f aca="false">IF($R749="","",$A749&amp;"|"&amp;$R749&amp;"|"&amp;$D749)</f>
        <v/>
      </c>
    </row>
    <row r="750" customFormat="false" ht="15" hidden="false" customHeight="false" outlineLevel="0" collapsed="false">
      <c r="R750" s="9" t="str">
        <f aca="false">IF($D750="","",IF($F750&lt;&gt;"","N",IF($J750&lt;&gt;"","C","")))</f>
        <v/>
      </c>
      <c r="S750" s="9" t="str">
        <f aca="false">IF($R750="","",$A750&amp;"|"&amp;$R750&amp;"|"&amp;$D750)</f>
        <v/>
      </c>
    </row>
    <row r="751" customFormat="false" ht="15" hidden="false" customHeight="false" outlineLevel="0" collapsed="false">
      <c r="R751" s="9" t="str">
        <f aca="false">IF($D751="","",IF($F751&lt;&gt;"","N",IF($J751&lt;&gt;"","C","")))</f>
        <v/>
      </c>
      <c r="S751" s="9" t="str">
        <f aca="false">IF($R751="","",$A751&amp;"|"&amp;$R751&amp;"|"&amp;$D751)</f>
        <v/>
      </c>
    </row>
    <row r="752" customFormat="false" ht="15" hidden="false" customHeight="false" outlineLevel="0" collapsed="false">
      <c r="R752" s="9" t="str">
        <f aca="false">IF($D752="","",IF($F752&lt;&gt;"","N",IF($J752&lt;&gt;"","C","")))</f>
        <v/>
      </c>
      <c r="S752" s="9" t="str">
        <f aca="false">IF($R752="","",$A752&amp;"|"&amp;$R752&amp;"|"&amp;$D752)</f>
        <v/>
      </c>
    </row>
    <row r="753" customFormat="false" ht="15" hidden="false" customHeight="false" outlineLevel="0" collapsed="false">
      <c r="R753" s="9" t="str">
        <f aca="false">IF($D753="","",IF($F753&lt;&gt;"","N",IF($J753&lt;&gt;"","C","")))</f>
        <v/>
      </c>
      <c r="S753" s="9" t="str">
        <f aca="false">IF($R753="","",$A753&amp;"|"&amp;$R753&amp;"|"&amp;$D753)</f>
        <v/>
      </c>
    </row>
    <row r="754" customFormat="false" ht="15" hidden="false" customHeight="false" outlineLevel="0" collapsed="false">
      <c r="R754" s="9" t="str">
        <f aca="false">IF($D754="","",IF($F754&lt;&gt;"","N",IF($J754&lt;&gt;"","C","")))</f>
        <v/>
      </c>
      <c r="S754" s="9" t="str">
        <f aca="false">IF($R754="","",$A754&amp;"|"&amp;$R754&amp;"|"&amp;$D754)</f>
        <v/>
      </c>
    </row>
    <row r="755" customFormat="false" ht="15" hidden="false" customHeight="false" outlineLevel="0" collapsed="false">
      <c r="R755" s="9" t="str">
        <f aca="false">IF($D755="","",IF($F755&lt;&gt;"","N",IF($J755&lt;&gt;"","C","")))</f>
        <v/>
      </c>
      <c r="S755" s="9" t="str">
        <f aca="false">IF($R755="","",$A755&amp;"|"&amp;$R755&amp;"|"&amp;$D755)</f>
        <v/>
      </c>
    </row>
    <row r="756" customFormat="false" ht="15" hidden="false" customHeight="false" outlineLevel="0" collapsed="false">
      <c r="R756" s="9" t="str">
        <f aca="false">IF($D756="","",IF($F756&lt;&gt;"","N",IF($J756&lt;&gt;"","C","")))</f>
        <v/>
      </c>
      <c r="S756" s="9" t="str">
        <f aca="false">IF($R756="","",$A756&amp;"|"&amp;$R756&amp;"|"&amp;$D756)</f>
        <v/>
      </c>
    </row>
    <row r="757" customFormat="false" ht="15" hidden="false" customHeight="false" outlineLevel="0" collapsed="false">
      <c r="R757" s="9" t="str">
        <f aca="false">IF($D757="","",IF($F757&lt;&gt;"","N",IF($J757&lt;&gt;"","C","")))</f>
        <v/>
      </c>
      <c r="S757" s="9" t="str">
        <f aca="false">IF($R757="","",$A757&amp;"|"&amp;$R757&amp;"|"&amp;$D757)</f>
        <v/>
      </c>
    </row>
    <row r="758" customFormat="false" ht="15" hidden="false" customHeight="false" outlineLevel="0" collapsed="false">
      <c r="R758" s="9" t="str">
        <f aca="false">IF($D758="","",IF($F758&lt;&gt;"","N",IF($J758&lt;&gt;"","C","")))</f>
        <v/>
      </c>
      <c r="S758" s="9" t="str">
        <f aca="false">IF($R758="","",$A758&amp;"|"&amp;$R758&amp;"|"&amp;$D758)</f>
        <v/>
      </c>
    </row>
    <row r="759" customFormat="false" ht="15" hidden="false" customHeight="false" outlineLevel="0" collapsed="false">
      <c r="R759" s="9" t="str">
        <f aca="false">IF($D759="","",IF($F759&lt;&gt;"","N",IF($J759&lt;&gt;"","C","")))</f>
        <v/>
      </c>
      <c r="S759" s="9" t="str">
        <f aca="false">IF($R759="","",$A759&amp;"|"&amp;$R759&amp;"|"&amp;$D759)</f>
        <v/>
      </c>
    </row>
    <row r="760" customFormat="false" ht="15" hidden="false" customHeight="false" outlineLevel="0" collapsed="false">
      <c r="R760" s="9" t="str">
        <f aca="false">IF($D760="","",IF($F760&lt;&gt;"","N",IF($J760&lt;&gt;"","C","")))</f>
        <v/>
      </c>
      <c r="S760" s="9" t="str">
        <f aca="false">IF($R760="","",$A760&amp;"|"&amp;$R760&amp;"|"&amp;$D760)</f>
        <v/>
      </c>
    </row>
    <row r="761" customFormat="false" ht="15" hidden="false" customHeight="false" outlineLevel="0" collapsed="false">
      <c r="R761" s="9" t="str">
        <f aca="false">IF($D761="","",IF($F761&lt;&gt;"","N",IF($J761&lt;&gt;"","C","")))</f>
        <v/>
      </c>
      <c r="S761" s="9" t="str">
        <f aca="false">IF($R761="","",$A761&amp;"|"&amp;$R761&amp;"|"&amp;$D761)</f>
        <v/>
      </c>
    </row>
    <row r="762" customFormat="false" ht="15" hidden="false" customHeight="false" outlineLevel="0" collapsed="false">
      <c r="R762" s="9" t="str">
        <f aca="false">IF($D762="","",IF($F762&lt;&gt;"","N",IF($J762&lt;&gt;"","C","")))</f>
        <v/>
      </c>
      <c r="S762" s="9" t="str">
        <f aca="false">IF($R762="","",$A762&amp;"|"&amp;$R762&amp;"|"&amp;$D762)</f>
        <v/>
      </c>
    </row>
    <row r="763" customFormat="false" ht="15" hidden="false" customHeight="false" outlineLevel="0" collapsed="false">
      <c r="R763" s="9" t="str">
        <f aca="false">IF($D763="","",IF($F763&lt;&gt;"","N",IF($J763&lt;&gt;"","C","")))</f>
        <v/>
      </c>
      <c r="S763" s="9" t="str">
        <f aca="false">IF($R763="","",$A763&amp;"|"&amp;$R763&amp;"|"&amp;$D763)</f>
        <v/>
      </c>
    </row>
    <row r="764" customFormat="false" ht="15" hidden="false" customHeight="false" outlineLevel="0" collapsed="false">
      <c r="R764" s="9" t="str">
        <f aca="false">IF($D764="","",IF($F764&lt;&gt;"","N",IF($J764&lt;&gt;"","C","")))</f>
        <v/>
      </c>
      <c r="S764" s="9" t="str">
        <f aca="false">IF($R764="","",$A764&amp;"|"&amp;$R764&amp;"|"&amp;$D764)</f>
        <v/>
      </c>
    </row>
    <row r="765" customFormat="false" ht="15" hidden="false" customHeight="false" outlineLevel="0" collapsed="false">
      <c r="R765" s="9" t="str">
        <f aca="false">IF($D765="","",IF($F765&lt;&gt;"","N",IF($J765&lt;&gt;"","C","")))</f>
        <v/>
      </c>
      <c r="S765" s="9" t="str">
        <f aca="false">IF($R765="","",$A765&amp;"|"&amp;$R765&amp;"|"&amp;$D765)</f>
        <v/>
      </c>
    </row>
    <row r="766" customFormat="false" ht="15" hidden="false" customHeight="false" outlineLevel="0" collapsed="false">
      <c r="R766" s="9" t="str">
        <f aca="false">IF($D766="","",IF($F766&lt;&gt;"","N",IF($J766&lt;&gt;"","C","")))</f>
        <v/>
      </c>
      <c r="S766" s="9" t="str">
        <f aca="false">IF($R766="","",$A766&amp;"|"&amp;$R766&amp;"|"&amp;$D766)</f>
        <v/>
      </c>
    </row>
    <row r="767" customFormat="false" ht="15" hidden="false" customHeight="false" outlineLevel="0" collapsed="false">
      <c r="R767" s="9" t="str">
        <f aca="false">IF($D767="","",IF($F767&lt;&gt;"","N",IF($J767&lt;&gt;"","C","")))</f>
        <v/>
      </c>
      <c r="S767" s="9" t="str">
        <f aca="false">IF($R767="","",$A767&amp;"|"&amp;$R767&amp;"|"&amp;$D767)</f>
        <v/>
      </c>
    </row>
    <row r="768" customFormat="false" ht="15" hidden="false" customHeight="false" outlineLevel="0" collapsed="false">
      <c r="R768" s="9" t="str">
        <f aca="false">IF($D768="","",IF($F768&lt;&gt;"","N",IF($J768&lt;&gt;"","C","")))</f>
        <v/>
      </c>
      <c r="S768" s="9" t="str">
        <f aca="false">IF($R768="","",$A768&amp;"|"&amp;$R768&amp;"|"&amp;$D768)</f>
        <v/>
      </c>
    </row>
    <row r="769" customFormat="false" ht="15" hidden="false" customHeight="false" outlineLevel="0" collapsed="false">
      <c r="R769" s="9" t="str">
        <f aca="false">IF($D769="","",IF($F769&lt;&gt;"","N",IF($J769&lt;&gt;"","C","")))</f>
        <v/>
      </c>
      <c r="S769" s="9" t="str">
        <f aca="false">IF($R769="","",$A769&amp;"|"&amp;$R769&amp;"|"&amp;$D769)</f>
        <v/>
      </c>
    </row>
    <row r="770" customFormat="false" ht="15" hidden="false" customHeight="false" outlineLevel="0" collapsed="false">
      <c r="R770" s="9" t="str">
        <f aca="false">IF($D770="","",IF($F770&lt;&gt;"","N",IF($J770&lt;&gt;"","C","")))</f>
        <v/>
      </c>
      <c r="S770" s="9" t="str">
        <f aca="false">IF($R770="","",$A770&amp;"|"&amp;$R770&amp;"|"&amp;$D770)</f>
        <v/>
      </c>
    </row>
    <row r="771" customFormat="false" ht="15" hidden="false" customHeight="false" outlineLevel="0" collapsed="false">
      <c r="R771" s="9" t="str">
        <f aca="false">IF($D771="","",IF($F771&lt;&gt;"","N",IF($J771&lt;&gt;"","C","")))</f>
        <v/>
      </c>
      <c r="S771" s="9" t="str">
        <f aca="false">IF($R771="","",$A771&amp;"|"&amp;$R771&amp;"|"&amp;$D771)</f>
        <v/>
      </c>
    </row>
    <row r="772" customFormat="false" ht="15" hidden="false" customHeight="false" outlineLevel="0" collapsed="false">
      <c r="R772" s="9" t="str">
        <f aca="false">IF($D772="","",IF($F772&lt;&gt;"","N",IF($J772&lt;&gt;"","C","")))</f>
        <v/>
      </c>
      <c r="S772" s="9" t="str">
        <f aca="false">IF($R772="","",$A772&amp;"|"&amp;$R772&amp;"|"&amp;$D772)</f>
        <v/>
      </c>
    </row>
    <row r="773" customFormat="false" ht="15" hidden="false" customHeight="false" outlineLevel="0" collapsed="false">
      <c r="R773" s="9" t="str">
        <f aca="false">IF($D773="","",IF($F773&lt;&gt;"","N",IF($J773&lt;&gt;"","C","")))</f>
        <v/>
      </c>
      <c r="S773" s="9" t="str">
        <f aca="false">IF($R773="","",$A773&amp;"|"&amp;$R773&amp;"|"&amp;$D773)</f>
        <v/>
      </c>
    </row>
    <row r="774" customFormat="false" ht="15" hidden="false" customHeight="false" outlineLevel="0" collapsed="false">
      <c r="R774" s="9" t="str">
        <f aca="false">IF($D774="","",IF($F774&lt;&gt;"","N",IF($J774&lt;&gt;"","C","")))</f>
        <v/>
      </c>
      <c r="S774" s="9" t="str">
        <f aca="false">IF($R774="","",$A774&amp;"|"&amp;$R774&amp;"|"&amp;$D774)</f>
        <v/>
      </c>
    </row>
    <row r="775" customFormat="false" ht="15" hidden="false" customHeight="false" outlineLevel="0" collapsed="false">
      <c r="R775" s="9" t="str">
        <f aca="false">IF($D775="","",IF($F775&lt;&gt;"","N",IF($J775&lt;&gt;"","C","")))</f>
        <v/>
      </c>
      <c r="S775" s="9" t="str">
        <f aca="false">IF($R775="","",$A775&amp;"|"&amp;$R775&amp;"|"&amp;$D775)</f>
        <v/>
      </c>
    </row>
    <row r="776" customFormat="false" ht="15" hidden="false" customHeight="false" outlineLevel="0" collapsed="false">
      <c r="R776" s="9" t="str">
        <f aca="false">IF($D776="","",IF($F776&lt;&gt;"","N",IF($J776&lt;&gt;"","C","")))</f>
        <v/>
      </c>
      <c r="S776" s="9" t="str">
        <f aca="false">IF($R776="","",$A776&amp;"|"&amp;$R776&amp;"|"&amp;$D776)</f>
        <v/>
      </c>
    </row>
    <row r="777" customFormat="false" ht="15" hidden="false" customHeight="false" outlineLevel="0" collapsed="false">
      <c r="R777" s="9" t="str">
        <f aca="false">IF($D777="","",IF($F777&lt;&gt;"","N",IF($J777&lt;&gt;"","C","")))</f>
        <v/>
      </c>
      <c r="S777" s="9" t="str">
        <f aca="false">IF($R777="","",$A777&amp;"|"&amp;$R777&amp;"|"&amp;$D777)</f>
        <v/>
      </c>
    </row>
    <row r="778" customFormat="false" ht="15" hidden="false" customHeight="false" outlineLevel="0" collapsed="false">
      <c r="R778" s="9" t="str">
        <f aca="false">IF($D778="","",IF($F778&lt;&gt;"","N",IF($J778&lt;&gt;"","C","")))</f>
        <v/>
      </c>
      <c r="S778" s="9" t="str">
        <f aca="false">IF($R778="","",$A778&amp;"|"&amp;$R778&amp;"|"&amp;$D778)</f>
        <v/>
      </c>
    </row>
    <row r="779" customFormat="false" ht="15" hidden="false" customHeight="false" outlineLevel="0" collapsed="false">
      <c r="R779" s="9" t="str">
        <f aca="false">IF($D779="","",IF($F779&lt;&gt;"","N",IF($J779&lt;&gt;"","C","")))</f>
        <v/>
      </c>
      <c r="S779" s="9" t="str">
        <f aca="false">IF($R779="","",$A779&amp;"|"&amp;$R779&amp;"|"&amp;$D779)</f>
        <v/>
      </c>
    </row>
    <row r="780" customFormat="false" ht="15" hidden="false" customHeight="false" outlineLevel="0" collapsed="false">
      <c r="R780" s="9" t="str">
        <f aca="false">IF($D780="","",IF($F780&lt;&gt;"","N",IF($J780&lt;&gt;"","C","")))</f>
        <v/>
      </c>
      <c r="S780" s="9" t="str">
        <f aca="false">IF($R780="","",$A780&amp;"|"&amp;$R780&amp;"|"&amp;$D780)</f>
        <v/>
      </c>
    </row>
    <row r="781" customFormat="false" ht="15" hidden="false" customHeight="false" outlineLevel="0" collapsed="false">
      <c r="R781" s="9" t="str">
        <f aca="false">IF($D781="","",IF($F781&lt;&gt;"","N",IF($J781&lt;&gt;"","C","")))</f>
        <v/>
      </c>
      <c r="S781" s="9" t="str">
        <f aca="false">IF($R781="","",$A781&amp;"|"&amp;$R781&amp;"|"&amp;$D781)</f>
        <v/>
      </c>
    </row>
    <row r="782" customFormat="false" ht="15" hidden="false" customHeight="false" outlineLevel="0" collapsed="false">
      <c r="R782" s="9" t="str">
        <f aca="false">IF($D782="","",IF($F782&lt;&gt;"","N",IF($J782&lt;&gt;"","C","")))</f>
        <v/>
      </c>
      <c r="S782" s="9" t="str">
        <f aca="false">IF($R782="","",$A782&amp;"|"&amp;$R782&amp;"|"&amp;$D782)</f>
        <v/>
      </c>
    </row>
    <row r="783" customFormat="false" ht="15" hidden="false" customHeight="false" outlineLevel="0" collapsed="false">
      <c r="R783" s="9" t="str">
        <f aca="false">IF($D783="","",IF($F783&lt;&gt;"","N",IF($J783&lt;&gt;"","C","")))</f>
        <v/>
      </c>
      <c r="S783" s="9" t="str">
        <f aca="false">IF($R783="","",$A783&amp;"|"&amp;$R783&amp;"|"&amp;$D783)</f>
        <v/>
      </c>
    </row>
    <row r="784" customFormat="false" ht="15" hidden="false" customHeight="false" outlineLevel="0" collapsed="false">
      <c r="R784" s="9" t="str">
        <f aca="false">IF($D784="","",IF($F784&lt;&gt;"","N",IF($J784&lt;&gt;"","C","")))</f>
        <v/>
      </c>
      <c r="S784" s="9" t="str">
        <f aca="false">IF($R784="","",$A784&amp;"|"&amp;$R784&amp;"|"&amp;$D784)</f>
        <v/>
      </c>
    </row>
    <row r="785" customFormat="false" ht="15" hidden="false" customHeight="false" outlineLevel="0" collapsed="false">
      <c r="R785" s="9" t="str">
        <f aca="false">IF($D785="","",IF($F785&lt;&gt;"","N",IF($J785&lt;&gt;"","C","")))</f>
        <v/>
      </c>
      <c r="S785" s="9" t="str">
        <f aca="false">IF($R785="","",$A785&amp;"|"&amp;$R785&amp;"|"&amp;$D785)</f>
        <v/>
      </c>
    </row>
    <row r="786" customFormat="false" ht="15" hidden="false" customHeight="false" outlineLevel="0" collapsed="false">
      <c r="R786" s="9" t="str">
        <f aca="false">IF($D786="","",IF($F786&lt;&gt;"","N",IF($J786&lt;&gt;"","C","")))</f>
        <v/>
      </c>
      <c r="S786" s="9" t="str">
        <f aca="false">IF($R786="","",$A786&amp;"|"&amp;$R786&amp;"|"&amp;$D786)</f>
        <v/>
      </c>
    </row>
    <row r="787" customFormat="false" ht="15" hidden="false" customHeight="false" outlineLevel="0" collapsed="false">
      <c r="R787" s="9" t="str">
        <f aca="false">IF($D787="","",IF($F787&lt;&gt;"","N",IF($J787&lt;&gt;"","C","")))</f>
        <v/>
      </c>
      <c r="S787" s="9" t="str">
        <f aca="false">IF($R787="","",$A787&amp;"|"&amp;$R787&amp;"|"&amp;$D787)</f>
        <v/>
      </c>
    </row>
    <row r="788" customFormat="false" ht="15" hidden="false" customHeight="false" outlineLevel="0" collapsed="false">
      <c r="R788" s="9" t="str">
        <f aca="false">IF($D788="","",IF($F788&lt;&gt;"","N",IF($J788&lt;&gt;"","C","")))</f>
        <v/>
      </c>
      <c r="S788" s="9" t="str">
        <f aca="false">IF($R788="","",$A788&amp;"|"&amp;$R788&amp;"|"&amp;$D788)</f>
        <v/>
      </c>
    </row>
    <row r="789" customFormat="false" ht="15" hidden="false" customHeight="false" outlineLevel="0" collapsed="false">
      <c r="R789" s="9" t="str">
        <f aca="false">IF($D789="","",IF($F789&lt;&gt;"","N",IF($J789&lt;&gt;"","C","")))</f>
        <v/>
      </c>
      <c r="S789" s="9" t="str">
        <f aca="false">IF($R789="","",$A789&amp;"|"&amp;$R789&amp;"|"&amp;$D789)</f>
        <v/>
      </c>
    </row>
    <row r="790" customFormat="false" ht="15" hidden="false" customHeight="false" outlineLevel="0" collapsed="false">
      <c r="R790" s="9" t="str">
        <f aca="false">IF($D790="","",IF($F790&lt;&gt;"","N",IF($J790&lt;&gt;"","C","")))</f>
        <v/>
      </c>
      <c r="S790" s="9" t="str">
        <f aca="false">IF($R790="","",$A790&amp;"|"&amp;$R790&amp;"|"&amp;$D790)</f>
        <v/>
      </c>
    </row>
    <row r="791" customFormat="false" ht="15" hidden="false" customHeight="false" outlineLevel="0" collapsed="false">
      <c r="R791" s="9" t="str">
        <f aca="false">IF($D791="","",IF($F791&lt;&gt;"","N",IF($J791&lt;&gt;"","C","")))</f>
        <v/>
      </c>
      <c r="S791" s="9" t="str">
        <f aca="false">IF($R791="","",$A791&amp;"|"&amp;$R791&amp;"|"&amp;$D791)</f>
        <v/>
      </c>
    </row>
    <row r="792" customFormat="false" ht="15" hidden="false" customHeight="false" outlineLevel="0" collapsed="false">
      <c r="R792" s="9" t="str">
        <f aca="false">IF($D792="","",IF($F792&lt;&gt;"","N",IF($J792&lt;&gt;"","C","")))</f>
        <v/>
      </c>
      <c r="S792" s="9" t="str">
        <f aca="false">IF($R792="","",$A792&amp;"|"&amp;$R792&amp;"|"&amp;$D792)</f>
        <v/>
      </c>
    </row>
    <row r="793" customFormat="false" ht="15" hidden="false" customHeight="false" outlineLevel="0" collapsed="false">
      <c r="R793" s="9" t="str">
        <f aca="false">IF($D793="","",IF($F793&lt;&gt;"","N",IF($J793&lt;&gt;"","C","")))</f>
        <v/>
      </c>
      <c r="S793" s="9" t="str">
        <f aca="false">IF($R793="","",$A793&amp;"|"&amp;$R793&amp;"|"&amp;$D793)</f>
        <v/>
      </c>
    </row>
    <row r="794" customFormat="false" ht="15" hidden="false" customHeight="false" outlineLevel="0" collapsed="false">
      <c r="R794" s="9" t="str">
        <f aca="false">IF($D794="","",IF($F794&lt;&gt;"","N",IF($J794&lt;&gt;"","C","")))</f>
        <v/>
      </c>
      <c r="S794" s="9" t="str">
        <f aca="false">IF($R794="","",$A794&amp;"|"&amp;$R794&amp;"|"&amp;$D794)</f>
        <v/>
      </c>
    </row>
    <row r="795" customFormat="false" ht="15" hidden="false" customHeight="false" outlineLevel="0" collapsed="false">
      <c r="R795" s="9" t="str">
        <f aca="false">IF($D795="","",IF($F795&lt;&gt;"","N",IF($J795&lt;&gt;"","C","")))</f>
        <v/>
      </c>
      <c r="S795" s="9" t="str">
        <f aca="false">IF($R795="","",$A795&amp;"|"&amp;$R795&amp;"|"&amp;$D795)</f>
        <v/>
      </c>
    </row>
    <row r="796" customFormat="false" ht="15" hidden="false" customHeight="false" outlineLevel="0" collapsed="false">
      <c r="R796" s="9" t="str">
        <f aca="false">IF($D796="","",IF($F796&lt;&gt;"","N",IF($J796&lt;&gt;"","C","")))</f>
        <v/>
      </c>
      <c r="S796" s="9" t="str">
        <f aca="false">IF($R796="","",$A796&amp;"|"&amp;$R796&amp;"|"&amp;$D796)</f>
        <v/>
      </c>
    </row>
    <row r="797" customFormat="false" ht="15" hidden="false" customHeight="false" outlineLevel="0" collapsed="false">
      <c r="R797" s="9" t="str">
        <f aca="false">IF($D797="","",IF($F797&lt;&gt;"","N",IF($J797&lt;&gt;"","C","")))</f>
        <v/>
      </c>
      <c r="S797" s="9" t="str">
        <f aca="false">IF($R797="","",$A797&amp;"|"&amp;$R797&amp;"|"&amp;$D797)</f>
        <v/>
      </c>
    </row>
    <row r="798" customFormat="false" ht="15" hidden="false" customHeight="false" outlineLevel="0" collapsed="false">
      <c r="R798" s="9" t="str">
        <f aca="false">IF($D798="","",IF($F798&lt;&gt;"","N",IF($J798&lt;&gt;"","C","")))</f>
        <v/>
      </c>
      <c r="S798" s="9" t="str">
        <f aca="false">IF($R798="","",$A798&amp;"|"&amp;$R798&amp;"|"&amp;$D798)</f>
        <v/>
      </c>
    </row>
    <row r="799" customFormat="false" ht="15" hidden="false" customHeight="false" outlineLevel="0" collapsed="false">
      <c r="R799" s="9" t="str">
        <f aca="false">IF($D799="","",IF($F799&lt;&gt;"","N",IF($J799&lt;&gt;"","C","")))</f>
        <v/>
      </c>
      <c r="S799" s="9" t="str">
        <f aca="false">IF($R799="","",$A799&amp;"|"&amp;$R799&amp;"|"&amp;$D799)</f>
        <v/>
      </c>
    </row>
    <row r="800" customFormat="false" ht="15" hidden="false" customHeight="false" outlineLevel="0" collapsed="false">
      <c r="R800" s="9" t="str">
        <f aca="false">IF($D800="","",IF($F800&lt;&gt;"","N",IF($J800&lt;&gt;"","C","")))</f>
        <v/>
      </c>
      <c r="S800" s="9" t="str">
        <f aca="false">IF($R800="","",$A800&amp;"|"&amp;$R800&amp;"|"&amp;$D800)</f>
        <v/>
      </c>
    </row>
    <row r="801" customFormat="false" ht="15" hidden="false" customHeight="false" outlineLevel="0" collapsed="false">
      <c r="R801" s="9" t="str">
        <f aca="false">IF($D801="","",IF($F801&lt;&gt;"","N",IF($J801&lt;&gt;"","C","")))</f>
        <v/>
      </c>
      <c r="S801" s="9" t="str">
        <f aca="false">IF($R801="","",$A801&amp;"|"&amp;$R801&amp;"|"&amp;$D801)</f>
        <v/>
      </c>
    </row>
    <row r="802" customFormat="false" ht="15" hidden="false" customHeight="false" outlineLevel="0" collapsed="false">
      <c r="R802" s="9" t="str">
        <f aca="false">IF($D802="","",IF($F802&lt;&gt;"","N",IF($J802&lt;&gt;"","C","")))</f>
        <v/>
      </c>
      <c r="S802" s="9" t="str">
        <f aca="false">IF($R802="","",$A802&amp;"|"&amp;$R802&amp;"|"&amp;$D802)</f>
        <v/>
      </c>
    </row>
    <row r="803" customFormat="false" ht="15" hidden="false" customHeight="false" outlineLevel="0" collapsed="false">
      <c r="R803" s="9" t="str">
        <f aca="false">IF($D803="","",IF($F803&lt;&gt;"","N",IF($J803&lt;&gt;"","C","")))</f>
        <v/>
      </c>
      <c r="S803" s="9" t="str">
        <f aca="false">IF($R803="","",$A803&amp;"|"&amp;$R803&amp;"|"&amp;$D803)</f>
        <v/>
      </c>
    </row>
    <row r="804" customFormat="false" ht="15" hidden="false" customHeight="false" outlineLevel="0" collapsed="false">
      <c r="R804" s="9" t="str">
        <f aca="false">IF($D804="","",IF($F804&lt;&gt;"","N",IF($J804&lt;&gt;"","C","")))</f>
        <v/>
      </c>
      <c r="S804" s="9" t="str">
        <f aca="false">IF($R804="","",$A804&amp;"|"&amp;$R804&amp;"|"&amp;$D804)</f>
        <v/>
      </c>
    </row>
    <row r="805" customFormat="false" ht="15" hidden="false" customHeight="false" outlineLevel="0" collapsed="false">
      <c r="R805" s="9" t="str">
        <f aca="false">IF($D805="","",IF($F805&lt;&gt;"","N",IF($J805&lt;&gt;"","C","")))</f>
        <v/>
      </c>
      <c r="S805" s="9" t="str">
        <f aca="false">IF($R805="","",$A805&amp;"|"&amp;$R805&amp;"|"&amp;$D805)</f>
        <v/>
      </c>
    </row>
    <row r="806" customFormat="false" ht="15" hidden="false" customHeight="false" outlineLevel="0" collapsed="false">
      <c r="R806" s="9" t="str">
        <f aca="false">IF($D806="","",IF($F806&lt;&gt;"","N",IF($J806&lt;&gt;"","C","")))</f>
        <v/>
      </c>
      <c r="S806" s="9" t="str">
        <f aca="false">IF($R806="","",$A806&amp;"|"&amp;$R806&amp;"|"&amp;$D806)</f>
        <v/>
      </c>
    </row>
    <row r="807" customFormat="false" ht="15" hidden="false" customHeight="false" outlineLevel="0" collapsed="false">
      <c r="R807" s="9" t="str">
        <f aca="false">IF($D807="","",IF($F807&lt;&gt;"","N",IF($J807&lt;&gt;"","C","")))</f>
        <v/>
      </c>
      <c r="S807" s="9" t="str">
        <f aca="false">IF($R807="","",$A807&amp;"|"&amp;$R807&amp;"|"&amp;$D807)</f>
        <v/>
      </c>
    </row>
    <row r="808" customFormat="false" ht="15" hidden="false" customHeight="false" outlineLevel="0" collapsed="false">
      <c r="R808" s="9" t="str">
        <f aca="false">IF($D808="","",IF($F808&lt;&gt;"","N",IF($J808&lt;&gt;"","C","")))</f>
        <v/>
      </c>
      <c r="S808" s="9" t="str">
        <f aca="false">IF($R808="","",$A808&amp;"|"&amp;$R808&amp;"|"&amp;$D808)</f>
        <v/>
      </c>
    </row>
    <row r="809" customFormat="false" ht="15" hidden="false" customHeight="false" outlineLevel="0" collapsed="false">
      <c r="R809" s="9" t="str">
        <f aca="false">IF($D809="","",IF($F809&lt;&gt;"","N",IF($J809&lt;&gt;"","C","")))</f>
        <v/>
      </c>
      <c r="S809" s="9" t="str">
        <f aca="false">IF($R809="","",$A809&amp;"|"&amp;$R809&amp;"|"&amp;$D809)</f>
        <v/>
      </c>
    </row>
    <row r="810" customFormat="false" ht="15" hidden="false" customHeight="false" outlineLevel="0" collapsed="false">
      <c r="R810" s="9" t="str">
        <f aca="false">IF($D810="","",IF($F810&lt;&gt;"","N",IF($J810&lt;&gt;"","C","")))</f>
        <v/>
      </c>
      <c r="S810" s="9" t="str">
        <f aca="false">IF($R810="","",$A810&amp;"|"&amp;$R810&amp;"|"&amp;$D810)</f>
        <v/>
      </c>
    </row>
    <row r="811" customFormat="false" ht="15" hidden="false" customHeight="false" outlineLevel="0" collapsed="false">
      <c r="R811" s="9" t="str">
        <f aca="false">IF($D811="","",IF($F811&lt;&gt;"","N",IF($J811&lt;&gt;"","C","")))</f>
        <v/>
      </c>
      <c r="S811" s="9" t="str">
        <f aca="false">IF($R811="","",$A811&amp;"|"&amp;$R811&amp;"|"&amp;$D811)</f>
        <v/>
      </c>
    </row>
    <row r="812" customFormat="false" ht="15" hidden="false" customHeight="false" outlineLevel="0" collapsed="false">
      <c r="R812" s="9" t="str">
        <f aca="false">IF($D812="","",IF($F812&lt;&gt;"","N",IF($J812&lt;&gt;"","C","")))</f>
        <v/>
      </c>
      <c r="S812" s="9" t="str">
        <f aca="false">IF($R812="","",$A812&amp;"|"&amp;$R812&amp;"|"&amp;$D812)</f>
        <v/>
      </c>
    </row>
    <row r="813" customFormat="false" ht="15" hidden="false" customHeight="false" outlineLevel="0" collapsed="false">
      <c r="R813" s="9" t="str">
        <f aca="false">IF($D813="","",IF($F813&lt;&gt;"","N",IF($J813&lt;&gt;"","C","")))</f>
        <v/>
      </c>
      <c r="S813" s="9" t="str">
        <f aca="false">IF($R813="","",$A813&amp;"|"&amp;$R813&amp;"|"&amp;$D813)</f>
        <v/>
      </c>
    </row>
    <row r="814" customFormat="false" ht="15" hidden="false" customHeight="false" outlineLevel="0" collapsed="false">
      <c r="R814" s="9" t="str">
        <f aca="false">IF($D814="","",IF($F814&lt;&gt;"","N",IF($J814&lt;&gt;"","C","")))</f>
        <v/>
      </c>
      <c r="S814" s="9" t="str">
        <f aca="false">IF($R814="","",$A814&amp;"|"&amp;$R814&amp;"|"&amp;$D814)</f>
        <v/>
      </c>
    </row>
    <row r="815" customFormat="false" ht="15" hidden="false" customHeight="false" outlineLevel="0" collapsed="false">
      <c r="R815" s="9" t="str">
        <f aca="false">IF($D815="","",IF($F815&lt;&gt;"","N",IF($J815&lt;&gt;"","C","")))</f>
        <v/>
      </c>
      <c r="S815" s="9" t="str">
        <f aca="false">IF($R815="","",$A815&amp;"|"&amp;$R815&amp;"|"&amp;$D815)</f>
        <v/>
      </c>
    </row>
    <row r="816" customFormat="false" ht="15" hidden="false" customHeight="false" outlineLevel="0" collapsed="false">
      <c r="R816" s="9" t="str">
        <f aca="false">IF($D816="","",IF($F816&lt;&gt;"","N",IF($J816&lt;&gt;"","C","")))</f>
        <v/>
      </c>
      <c r="S816" s="9" t="str">
        <f aca="false">IF($R816="","",$A816&amp;"|"&amp;$R816&amp;"|"&amp;$D816)</f>
        <v/>
      </c>
    </row>
    <row r="817" customFormat="false" ht="15" hidden="false" customHeight="false" outlineLevel="0" collapsed="false">
      <c r="R817" s="9" t="str">
        <f aca="false">IF($D817="","",IF($F817&lt;&gt;"","N",IF($J817&lt;&gt;"","C","")))</f>
        <v/>
      </c>
      <c r="S817" s="9" t="str">
        <f aca="false">IF($R817="","",$A817&amp;"|"&amp;$R817&amp;"|"&amp;$D817)</f>
        <v/>
      </c>
    </row>
    <row r="818" customFormat="false" ht="15" hidden="false" customHeight="false" outlineLevel="0" collapsed="false">
      <c r="R818" s="9" t="str">
        <f aca="false">IF($D818="","",IF($F818&lt;&gt;"","N",IF($J818&lt;&gt;"","C","")))</f>
        <v/>
      </c>
      <c r="S818" s="9" t="str">
        <f aca="false">IF($R818="","",$A818&amp;"|"&amp;$R818&amp;"|"&amp;$D818)</f>
        <v/>
      </c>
    </row>
    <row r="819" customFormat="false" ht="15" hidden="false" customHeight="false" outlineLevel="0" collapsed="false">
      <c r="R819" s="9" t="str">
        <f aca="false">IF($D819="","",IF($F819&lt;&gt;"","N",IF($J819&lt;&gt;"","C","")))</f>
        <v/>
      </c>
      <c r="S819" s="9" t="str">
        <f aca="false">IF($R819="","",$A819&amp;"|"&amp;$R819&amp;"|"&amp;$D819)</f>
        <v/>
      </c>
    </row>
    <row r="820" customFormat="false" ht="15" hidden="false" customHeight="false" outlineLevel="0" collapsed="false">
      <c r="R820" s="9" t="str">
        <f aca="false">IF($D820="","",IF($F820&lt;&gt;"","N",IF($J820&lt;&gt;"","C","")))</f>
        <v/>
      </c>
      <c r="S820" s="9" t="str">
        <f aca="false">IF($R820="","",$A820&amp;"|"&amp;$R820&amp;"|"&amp;$D820)</f>
        <v/>
      </c>
    </row>
    <row r="821" customFormat="false" ht="15" hidden="false" customHeight="false" outlineLevel="0" collapsed="false">
      <c r="R821" s="9" t="str">
        <f aca="false">IF($D821="","",IF($F821&lt;&gt;"","N",IF($J821&lt;&gt;"","C","")))</f>
        <v/>
      </c>
      <c r="S821" s="9" t="str">
        <f aca="false">IF($R821="","",$A821&amp;"|"&amp;$R821&amp;"|"&amp;$D821)</f>
        <v/>
      </c>
    </row>
    <row r="822" customFormat="false" ht="15" hidden="false" customHeight="false" outlineLevel="0" collapsed="false">
      <c r="R822" s="9" t="str">
        <f aca="false">IF($D822="","",IF($F822&lt;&gt;"","N",IF($J822&lt;&gt;"","C","")))</f>
        <v/>
      </c>
      <c r="S822" s="9" t="str">
        <f aca="false">IF($R822="","",$A822&amp;"|"&amp;$R822&amp;"|"&amp;$D822)</f>
        <v/>
      </c>
    </row>
    <row r="823" customFormat="false" ht="15" hidden="false" customHeight="false" outlineLevel="0" collapsed="false">
      <c r="R823" s="9" t="str">
        <f aca="false">IF($D823="","",IF($F823&lt;&gt;"","N",IF($J823&lt;&gt;"","C","")))</f>
        <v/>
      </c>
      <c r="S823" s="9" t="str">
        <f aca="false">IF($R823="","",$A823&amp;"|"&amp;$R823&amp;"|"&amp;$D823)</f>
        <v/>
      </c>
    </row>
    <row r="824" customFormat="false" ht="15" hidden="false" customHeight="false" outlineLevel="0" collapsed="false">
      <c r="R824" s="9" t="str">
        <f aca="false">IF($D824="","",IF($F824&lt;&gt;"","N",IF($J824&lt;&gt;"","C","")))</f>
        <v/>
      </c>
      <c r="S824" s="9" t="str">
        <f aca="false">IF($R824="","",$A824&amp;"|"&amp;$R824&amp;"|"&amp;$D824)</f>
        <v/>
      </c>
    </row>
    <row r="825" customFormat="false" ht="15" hidden="false" customHeight="false" outlineLevel="0" collapsed="false">
      <c r="R825" s="9" t="str">
        <f aca="false">IF($D825="","",IF($F825&lt;&gt;"","N",IF($J825&lt;&gt;"","C","")))</f>
        <v/>
      </c>
      <c r="S825" s="9" t="str">
        <f aca="false">IF($R825="","",$A825&amp;"|"&amp;$R825&amp;"|"&amp;$D825)</f>
        <v/>
      </c>
    </row>
    <row r="826" customFormat="false" ht="15" hidden="false" customHeight="false" outlineLevel="0" collapsed="false">
      <c r="R826" s="9" t="str">
        <f aca="false">IF($D826="","",IF($F826&lt;&gt;"","N",IF($J826&lt;&gt;"","C","")))</f>
        <v/>
      </c>
      <c r="S826" s="9" t="str">
        <f aca="false">IF($R826="","",$A826&amp;"|"&amp;$R826&amp;"|"&amp;$D826)</f>
        <v/>
      </c>
    </row>
    <row r="827" customFormat="false" ht="15" hidden="false" customHeight="false" outlineLevel="0" collapsed="false">
      <c r="R827" s="9" t="str">
        <f aca="false">IF($D827="","",IF($F827&lt;&gt;"","N",IF($J827&lt;&gt;"","C","")))</f>
        <v/>
      </c>
      <c r="S827" s="9" t="str">
        <f aca="false">IF($R827="","",$A827&amp;"|"&amp;$R827&amp;"|"&amp;$D827)</f>
        <v/>
      </c>
    </row>
    <row r="828" customFormat="false" ht="15" hidden="false" customHeight="false" outlineLevel="0" collapsed="false">
      <c r="R828" s="9" t="str">
        <f aca="false">IF($D828="","",IF($F828&lt;&gt;"","N",IF($J828&lt;&gt;"","C","")))</f>
        <v/>
      </c>
      <c r="S828" s="9" t="str">
        <f aca="false">IF($R828="","",$A828&amp;"|"&amp;$R828&amp;"|"&amp;$D828)</f>
        <v/>
      </c>
    </row>
    <row r="829" customFormat="false" ht="15" hidden="false" customHeight="false" outlineLevel="0" collapsed="false">
      <c r="R829" s="9" t="str">
        <f aca="false">IF($D829="","",IF($F829&lt;&gt;"","N",IF($J829&lt;&gt;"","C","")))</f>
        <v/>
      </c>
      <c r="S829" s="9" t="str">
        <f aca="false">IF($R829="","",$A829&amp;"|"&amp;$R829&amp;"|"&amp;$D829)</f>
        <v/>
      </c>
    </row>
    <row r="830" customFormat="false" ht="15" hidden="false" customHeight="false" outlineLevel="0" collapsed="false">
      <c r="R830" s="9" t="str">
        <f aca="false">IF($D830="","",IF($F830&lt;&gt;"","N",IF($J830&lt;&gt;"","C","")))</f>
        <v/>
      </c>
      <c r="S830" s="9" t="str">
        <f aca="false">IF($R830="","",$A830&amp;"|"&amp;$R830&amp;"|"&amp;$D830)</f>
        <v/>
      </c>
    </row>
    <row r="831" customFormat="false" ht="15" hidden="false" customHeight="false" outlineLevel="0" collapsed="false">
      <c r="R831" s="9" t="str">
        <f aca="false">IF($D831="","",IF($F831&lt;&gt;"","N",IF($J831&lt;&gt;"","C","")))</f>
        <v/>
      </c>
      <c r="S831" s="9" t="str">
        <f aca="false">IF($R831="","",$A831&amp;"|"&amp;$R831&amp;"|"&amp;$D831)</f>
        <v/>
      </c>
    </row>
    <row r="832" customFormat="false" ht="15" hidden="false" customHeight="false" outlineLevel="0" collapsed="false">
      <c r="R832" s="9" t="str">
        <f aca="false">IF($D832="","",IF($F832&lt;&gt;"","N",IF($J832&lt;&gt;"","C","")))</f>
        <v/>
      </c>
      <c r="S832" s="9" t="str">
        <f aca="false">IF($R832="","",$A832&amp;"|"&amp;$R832&amp;"|"&amp;$D832)</f>
        <v/>
      </c>
    </row>
    <row r="833" customFormat="false" ht="15" hidden="false" customHeight="false" outlineLevel="0" collapsed="false">
      <c r="R833" s="9" t="str">
        <f aca="false">IF($D833="","",IF($F833&lt;&gt;"","N",IF($J833&lt;&gt;"","C","")))</f>
        <v/>
      </c>
      <c r="S833" s="9" t="str">
        <f aca="false">IF($R833="","",$A833&amp;"|"&amp;$R833&amp;"|"&amp;$D833)</f>
        <v/>
      </c>
    </row>
    <row r="834" customFormat="false" ht="15" hidden="false" customHeight="false" outlineLevel="0" collapsed="false">
      <c r="R834" s="9" t="str">
        <f aca="false">IF($D834="","",IF($F834&lt;&gt;"","N",IF($J834&lt;&gt;"","C","")))</f>
        <v/>
      </c>
      <c r="S834" s="9" t="str">
        <f aca="false">IF($R834="","",$A834&amp;"|"&amp;$R834&amp;"|"&amp;$D834)</f>
        <v/>
      </c>
    </row>
    <row r="835" customFormat="false" ht="15" hidden="false" customHeight="false" outlineLevel="0" collapsed="false">
      <c r="R835" s="9" t="str">
        <f aca="false">IF($D835="","",IF($F835&lt;&gt;"","N",IF($J835&lt;&gt;"","C","")))</f>
        <v/>
      </c>
      <c r="S835" s="9" t="str">
        <f aca="false">IF($R835="","",$A835&amp;"|"&amp;$R835&amp;"|"&amp;$D835)</f>
        <v/>
      </c>
    </row>
    <row r="836" customFormat="false" ht="15" hidden="false" customHeight="false" outlineLevel="0" collapsed="false">
      <c r="R836" s="9" t="str">
        <f aca="false">IF($D836="","",IF($F836&lt;&gt;"","N",IF($J836&lt;&gt;"","C","")))</f>
        <v/>
      </c>
      <c r="S836" s="9" t="str">
        <f aca="false">IF($R836="","",$A836&amp;"|"&amp;$R836&amp;"|"&amp;$D836)</f>
        <v/>
      </c>
    </row>
    <row r="837" customFormat="false" ht="15" hidden="false" customHeight="false" outlineLevel="0" collapsed="false">
      <c r="R837" s="9" t="str">
        <f aca="false">IF($D837="","",IF($F837&lt;&gt;"","N",IF($J837&lt;&gt;"","C","")))</f>
        <v/>
      </c>
      <c r="S837" s="9" t="str">
        <f aca="false">IF($R837="","",$A837&amp;"|"&amp;$R837&amp;"|"&amp;$D837)</f>
        <v/>
      </c>
    </row>
    <row r="838" customFormat="false" ht="15" hidden="false" customHeight="false" outlineLevel="0" collapsed="false">
      <c r="R838" s="9" t="str">
        <f aca="false">IF($D838="","",IF($F838&lt;&gt;"","N",IF($J838&lt;&gt;"","C","")))</f>
        <v/>
      </c>
      <c r="S838" s="9" t="str">
        <f aca="false">IF($R838="","",$A838&amp;"|"&amp;$R838&amp;"|"&amp;$D838)</f>
        <v/>
      </c>
    </row>
    <row r="839" customFormat="false" ht="15" hidden="false" customHeight="false" outlineLevel="0" collapsed="false">
      <c r="R839" s="9" t="str">
        <f aca="false">IF($D839="","",IF($F839&lt;&gt;"","N",IF($J839&lt;&gt;"","C","")))</f>
        <v/>
      </c>
      <c r="S839" s="9" t="str">
        <f aca="false">IF($R839="","",$A839&amp;"|"&amp;$R839&amp;"|"&amp;$D839)</f>
        <v/>
      </c>
    </row>
    <row r="840" customFormat="false" ht="15" hidden="false" customHeight="false" outlineLevel="0" collapsed="false">
      <c r="R840" s="9" t="str">
        <f aca="false">IF($D840="","",IF($F840&lt;&gt;"","N",IF($J840&lt;&gt;"","C","")))</f>
        <v/>
      </c>
      <c r="S840" s="9" t="str">
        <f aca="false">IF($R840="","",$A840&amp;"|"&amp;$R840&amp;"|"&amp;$D840)</f>
        <v/>
      </c>
    </row>
    <row r="841" customFormat="false" ht="15" hidden="false" customHeight="false" outlineLevel="0" collapsed="false">
      <c r="R841" s="9" t="str">
        <f aca="false">IF($D841="","",IF($F841&lt;&gt;"","N",IF($J841&lt;&gt;"","C","")))</f>
        <v/>
      </c>
      <c r="S841" s="9" t="str">
        <f aca="false">IF($R841="","",$A841&amp;"|"&amp;$R841&amp;"|"&amp;$D841)</f>
        <v/>
      </c>
    </row>
    <row r="842" customFormat="false" ht="15" hidden="false" customHeight="false" outlineLevel="0" collapsed="false">
      <c r="R842" s="9" t="str">
        <f aca="false">IF($D842="","",IF($F842&lt;&gt;"","N",IF($J842&lt;&gt;"","C","")))</f>
        <v/>
      </c>
      <c r="S842" s="9" t="str">
        <f aca="false">IF($R842="","",$A842&amp;"|"&amp;$R842&amp;"|"&amp;$D842)</f>
        <v/>
      </c>
    </row>
    <row r="843" customFormat="false" ht="15" hidden="false" customHeight="false" outlineLevel="0" collapsed="false">
      <c r="R843" s="9" t="str">
        <f aca="false">IF($D843="","",IF($F843&lt;&gt;"","N",IF($J843&lt;&gt;"","C","")))</f>
        <v/>
      </c>
      <c r="S843" s="9" t="str">
        <f aca="false">IF($R843="","",$A843&amp;"|"&amp;$R843&amp;"|"&amp;$D843)</f>
        <v/>
      </c>
    </row>
    <row r="844" customFormat="false" ht="15" hidden="false" customHeight="false" outlineLevel="0" collapsed="false">
      <c r="R844" s="9" t="str">
        <f aca="false">IF($D844="","",IF($F844&lt;&gt;"","N",IF($J844&lt;&gt;"","C","")))</f>
        <v/>
      </c>
      <c r="S844" s="9" t="str">
        <f aca="false">IF($R844="","",$A844&amp;"|"&amp;$R844&amp;"|"&amp;$D844)</f>
        <v/>
      </c>
    </row>
    <row r="845" customFormat="false" ht="15" hidden="false" customHeight="false" outlineLevel="0" collapsed="false">
      <c r="R845" s="9" t="str">
        <f aca="false">IF($D845="","",IF($F845&lt;&gt;"","N",IF($J845&lt;&gt;"","C","")))</f>
        <v/>
      </c>
      <c r="S845" s="9" t="str">
        <f aca="false">IF($R845="","",$A845&amp;"|"&amp;$R845&amp;"|"&amp;$D845)</f>
        <v/>
      </c>
    </row>
    <row r="846" customFormat="false" ht="15" hidden="false" customHeight="false" outlineLevel="0" collapsed="false">
      <c r="R846" s="9" t="str">
        <f aca="false">IF($D846="","",IF($F846&lt;&gt;"","N",IF($J846&lt;&gt;"","C","")))</f>
        <v/>
      </c>
      <c r="S846" s="9" t="str">
        <f aca="false">IF($R846="","",$A846&amp;"|"&amp;$R846&amp;"|"&amp;$D846)</f>
        <v/>
      </c>
    </row>
    <row r="847" customFormat="false" ht="15" hidden="false" customHeight="false" outlineLevel="0" collapsed="false">
      <c r="R847" s="9" t="str">
        <f aca="false">IF($D847="","",IF($F847&lt;&gt;"","N",IF($J847&lt;&gt;"","C","")))</f>
        <v/>
      </c>
      <c r="S847" s="9" t="str">
        <f aca="false">IF($R847="","",$A847&amp;"|"&amp;$R847&amp;"|"&amp;$D847)</f>
        <v/>
      </c>
    </row>
    <row r="848" customFormat="false" ht="15" hidden="false" customHeight="false" outlineLevel="0" collapsed="false">
      <c r="R848" s="9" t="str">
        <f aca="false">IF($D848="","",IF($F848&lt;&gt;"","N",IF($J848&lt;&gt;"","C","")))</f>
        <v/>
      </c>
      <c r="S848" s="9" t="str">
        <f aca="false">IF($R848="","",$A848&amp;"|"&amp;$R848&amp;"|"&amp;$D848)</f>
        <v/>
      </c>
    </row>
    <row r="849" customFormat="false" ht="15" hidden="false" customHeight="false" outlineLevel="0" collapsed="false">
      <c r="R849" s="9" t="str">
        <f aca="false">IF($D849="","",IF($F849&lt;&gt;"","N",IF($J849&lt;&gt;"","C","")))</f>
        <v/>
      </c>
      <c r="S849" s="9" t="str">
        <f aca="false">IF($R849="","",$A849&amp;"|"&amp;$R849&amp;"|"&amp;$D849)</f>
        <v/>
      </c>
    </row>
    <row r="850" customFormat="false" ht="15" hidden="false" customHeight="false" outlineLevel="0" collapsed="false">
      <c r="R850" s="9" t="str">
        <f aca="false">IF($D850="","",IF($F850&lt;&gt;"","N",IF($J850&lt;&gt;"","C","")))</f>
        <v/>
      </c>
      <c r="S850" s="9" t="str">
        <f aca="false">IF($R850="","",$A850&amp;"|"&amp;$R850&amp;"|"&amp;$D850)</f>
        <v/>
      </c>
    </row>
    <row r="851" customFormat="false" ht="15" hidden="false" customHeight="false" outlineLevel="0" collapsed="false">
      <c r="R851" s="9" t="str">
        <f aca="false">IF($D851="","",IF($F851&lt;&gt;"","N",IF($J851&lt;&gt;"","C","")))</f>
        <v/>
      </c>
      <c r="S851" s="9" t="str">
        <f aca="false">IF($R851="","",$A851&amp;"|"&amp;$R851&amp;"|"&amp;$D851)</f>
        <v/>
      </c>
    </row>
    <row r="852" customFormat="false" ht="15" hidden="false" customHeight="false" outlineLevel="0" collapsed="false">
      <c r="R852" s="9" t="str">
        <f aca="false">IF($D852="","",IF($F852&lt;&gt;"","N",IF($J852&lt;&gt;"","C","")))</f>
        <v/>
      </c>
      <c r="S852" s="9" t="str">
        <f aca="false">IF($R852="","",$A852&amp;"|"&amp;$R852&amp;"|"&amp;$D852)</f>
        <v/>
      </c>
    </row>
    <row r="853" customFormat="false" ht="15" hidden="false" customHeight="false" outlineLevel="0" collapsed="false">
      <c r="R853" s="9" t="str">
        <f aca="false">IF($D853="","",IF($F853&lt;&gt;"","N",IF($J853&lt;&gt;"","C","")))</f>
        <v/>
      </c>
      <c r="S853" s="9" t="str">
        <f aca="false">IF($R853="","",$A853&amp;"|"&amp;$R853&amp;"|"&amp;$D853)</f>
        <v/>
      </c>
    </row>
    <row r="854" customFormat="false" ht="15" hidden="false" customHeight="false" outlineLevel="0" collapsed="false">
      <c r="R854" s="9" t="str">
        <f aca="false">IF($D854="","",IF($F854&lt;&gt;"","N",IF($J854&lt;&gt;"","C","")))</f>
        <v/>
      </c>
      <c r="S854" s="9" t="str">
        <f aca="false">IF($R854="","",$A854&amp;"|"&amp;$R854&amp;"|"&amp;$D854)</f>
        <v/>
      </c>
    </row>
    <row r="855" customFormat="false" ht="15" hidden="false" customHeight="false" outlineLevel="0" collapsed="false">
      <c r="R855" s="9" t="str">
        <f aca="false">IF($D855="","",IF($F855&lt;&gt;"","N",IF($J855&lt;&gt;"","C","")))</f>
        <v/>
      </c>
      <c r="S855" s="9" t="str">
        <f aca="false">IF($R855="","",$A855&amp;"|"&amp;$R855&amp;"|"&amp;$D855)</f>
        <v/>
      </c>
    </row>
    <row r="856" customFormat="false" ht="15" hidden="false" customHeight="false" outlineLevel="0" collapsed="false">
      <c r="R856" s="9" t="str">
        <f aca="false">IF($D856="","",IF($F856&lt;&gt;"","N",IF($J856&lt;&gt;"","C","")))</f>
        <v/>
      </c>
      <c r="S856" s="9" t="str">
        <f aca="false">IF($R856="","",$A856&amp;"|"&amp;$R856&amp;"|"&amp;$D856)</f>
        <v/>
      </c>
    </row>
    <row r="857" customFormat="false" ht="15" hidden="false" customHeight="false" outlineLevel="0" collapsed="false">
      <c r="R857" s="9" t="str">
        <f aca="false">IF($D857="","",IF($F857&lt;&gt;"","N",IF($J857&lt;&gt;"","C","")))</f>
        <v/>
      </c>
      <c r="S857" s="9" t="str">
        <f aca="false">IF($R857="","",$A857&amp;"|"&amp;$R857&amp;"|"&amp;$D857)</f>
        <v/>
      </c>
    </row>
    <row r="858" customFormat="false" ht="15" hidden="false" customHeight="false" outlineLevel="0" collapsed="false">
      <c r="R858" s="9" t="str">
        <f aca="false">IF($D858="","",IF($F858&lt;&gt;"","N",IF($J858&lt;&gt;"","C","")))</f>
        <v/>
      </c>
      <c r="S858" s="9" t="str">
        <f aca="false">IF($R858="","",$A858&amp;"|"&amp;$R858&amp;"|"&amp;$D858)</f>
        <v/>
      </c>
    </row>
    <row r="859" customFormat="false" ht="15" hidden="false" customHeight="false" outlineLevel="0" collapsed="false">
      <c r="R859" s="9" t="str">
        <f aca="false">IF($D859="","",IF($F859&lt;&gt;"","N",IF($J859&lt;&gt;"","C","")))</f>
        <v/>
      </c>
      <c r="S859" s="9" t="str">
        <f aca="false">IF($R859="","",$A859&amp;"|"&amp;$R859&amp;"|"&amp;$D859)</f>
        <v/>
      </c>
    </row>
    <row r="860" customFormat="false" ht="15" hidden="false" customHeight="false" outlineLevel="0" collapsed="false">
      <c r="R860" s="9" t="str">
        <f aca="false">IF($D860="","",IF($F860&lt;&gt;"","N",IF($J860&lt;&gt;"","C","")))</f>
        <v/>
      </c>
      <c r="S860" s="9" t="str">
        <f aca="false">IF($R860="","",$A860&amp;"|"&amp;$R860&amp;"|"&amp;$D860)</f>
        <v/>
      </c>
    </row>
    <row r="861" customFormat="false" ht="15" hidden="false" customHeight="false" outlineLevel="0" collapsed="false">
      <c r="R861" s="9" t="str">
        <f aca="false">IF($D861="","",IF($F861&lt;&gt;"","N",IF($J861&lt;&gt;"","C","")))</f>
        <v/>
      </c>
      <c r="S861" s="9" t="str">
        <f aca="false">IF($R861="","",$A861&amp;"|"&amp;$R861&amp;"|"&amp;$D861)</f>
        <v/>
      </c>
    </row>
    <row r="862" customFormat="false" ht="15" hidden="false" customHeight="false" outlineLevel="0" collapsed="false">
      <c r="R862" s="9" t="str">
        <f aca="false">IF($D862="","",IF($F862&lt;&gt;"","N",IF($J862&lt;&gt;"","C","")))</f>
        <v/>
      </c>
      <c r="S862" s="9" t="str">
        <f aca="false">IF($R862="","",$A862&amp;"|"&amp;$R862&amp;"|"&amp;$D862)</f>
        <v/>
      </c>
    </row>
    <row r="863" customFormat="false" ht="15" hidden="false" customHeight="false" outlineLevel="0" collapsed="false">
      <c r="R863" s="9" t="str">
        <f aca="false">IF($D863="","",IF($F863&lt;&gt;"","N",IF($J863&lt;&gt;"","C","")))</f>
        <v/>
      </c>
      <c r="S863" s="9" t="str">
        <f aca="false">IF($R863="","",$A863&amp;"|"&amp;$R863&amp;"|"&amp;$D863)</f>
        <v/>
      </c>
    </row>
    <row r="864" customFormat="false" ht="15" hidden="false" customHeight="false" outlineLevel="0" collapsed="false">
      <c r="R864" s="9" t="str">
        <f aca="false">IF($D864="","",IF($F864&lt;&gt;"","N",IF($J864&lt;&gt;"","C","")))</f>
        <v/>
      </c>
      <c r="S864" s="9" t="str">
        <f aca="false">IF($R864="","",$A864&amp;"|"&amp;$R864&amp;"|"&amp;$D864)</f>
        <v/>
      </c>
    </row>
    <row r="865" customFormat="false" ht="15" hidden="false" customHeight="false" outlineLevel="0" collapsed="false">
      <c r="R865" s="9" t="str">
        <f aca="false">IF($D865="","",IF($F865&lt;&gt;"","N",IF($J865&lt;&gt;"","C","")))</f>
        <v/>
      </c>
      <c r="S865" s="9" t="str">
        <f aca="false">IF($R865="","",$A865&amp;"|"&amp;$R865&amp;"|"&amp;$D865)</f>
        <v/>
      </c>
    </row>
    <row r="866" customFormat="false" ht="15" hidden="false" customHeight="false" outlineLevel="0" collapsed="false">
      <c r="R866" s="9" t="str">
        <f aca="false">IF($D866="","",IF($F866&lt;&gt;"","N",IF($J866&lt;&gt;"","C","")))</f>
        <v/>
      </c>
      <c r="S866" s="9" t="str">
        <f aca="false">IF($R866="","",$A866&amp;"|"&amp;$R866&amp;"|"&amp;$D866)</f>
        <v/>
      </c>
    </row>
    <row r="867" customFormat="false" ht="15" hidden="false" customHeight="false" outlineLevel="0" collapsed="false">
      <c r="R867" s="9" t="str">
        <f aca="false">IF($D867="","",IF($F867&lt;&gt;"","N",IF($J867&lt;&gt;"","C","")))</f>
        <v/>
      </c>
      <c r="S867" s="9" t="str">
        <f aca="false">IF($R867="","",$A867&amp;"|"&amp;$R867&amp;"|"&amp;$D867)</f>
        <v/>
      </c>
    </row>
    <row r="868" customFormat="false" ht="15" hidden="false" customHeight="false" outlineLevel="0" collapsed="false">
      <c r="R868" s="9" t="str">
        <f aca="false">IF($D868="","",IF($F868&lt;&gt;"","N",IF($J868&lt;&gt;"","C","")))</f>
        <v/>
      </c>
      <c r="S868" s="9" t="str">
        <f aca="false">IF($R868="","",$A868&amp;"|"&amp;$R868&amp;"|"&amp;$D868)</f>
        <v/>
      </c>
    </row>
    <row r="869" customFormat="false" ht="15" hidden="false" customHeight="false" outlineLevel="0" collapsed="false">
      <c r="R869" s="9" t="str">
        <f aca="false">IF($D869="","",IF($F869&lt;&gt;"","N",IF($J869&lt;&gt;"","C","")))</f>
        <v/>
      </c>
      <c r="S869" s="9" t="str">
        <f aca="false">IF($R869="","",$A869&amp;"|"&amp;$R869&amp;"|"&amp;$D869)</f>
        <v/>
      </c>
    </row>
    <row r="870" customFormat="false" ht="15" hidden="false" customHeight="false" outlineLevel="0" collapsed="false">
      <c r="R870" s="9" t="str">
        <f aca="false">IF($D870="","",IF($F870&lt;&gt;"","N",IF($J870&lt;&gt;"","C","")))</f>
        <v/>
      </c>
      <c r="S870" s="9" t="str">
        <f aca="false">IF($R870="","",$A870&amp;"|"&amp;$R870&amp;"|"&amp;$D870)</f>
        <v/>
      </c>
    </row>
    <row r="871" customFormat="false" ht="15" hidden="false" customHeight="false" outlineLevel="0" collapsed="false">
      <c r="R871" s="9" t="str">
        <f aca="false">IF($D871="","",IF($F871&lt;&gt;"","N",IF($J871&lt;&gt;"","C","")))</f>
        <v/>
      </c>
      <c r="S871" s="9" t="str">
        <f aca="false">IF($R871="","",$A871&amp;"|"&amp;$R871&amp;"|"&amp;$D871)</f>
        <v/>
      </c>
    </row>
    <row r="872" customFormat="false" ht="15" hidden="false" customHeight="false" outlineLevel="0" collapsed="false">
      <c r="R872" s="9" t="str">
        <f aca="false">IF($D872="","",IF($F872&lt;&gt;"","N",IF($J872&lt;&gt;"","C","")))</f>
        <v/>
      </c>
      <c r="S872" s="9" t="str">
        <f aca="false">IF($R872="","",$A872&amp;"|"&amp;$R872&amp;"|"&amp;$D872)</f>
        <v/>
      </c>
    </row>
    <row r="873" customFormat="false" ht="15" hidden="false" customHeight="false" outlineLevel="0" collapsed="false">
      <c r="R873" s="9" t="str">
        <f aca="false">IF($D873="","",IF($F873&lt;&gt;"","N",IF($J873&lt;&gt;"","C","")))</f>
        <v/>
      </c>
      <c r="S873" s="9" t="str">
        <f aca="false">IF($R873="","",$A873&amp;"|"&amp;$R873&amp;"|"&amp;$D873)</f>
        <v/>
      </c>
    </row>
    <row r="874" customFormat="false" ht="15" hidden="false" customHeight="false" outlineLevel="0" collapsed="false">
      <c r="R874" s="9" t="str">
        <f aca="false">IF($D874="","",IF($F874&lt;&gt;"","N",IF($J874&lt;&gt;"","C","")))</f>
        <v/>
      </c>
      <c r="S874" s="9" t="str">
        <f aca="false">IF($R874="","",$A874&amp;"|"&amp;$R874&amp;"|"&amp;$D874)</f>
        <v/>
      </c>
    </row>
    <row r="875" customFormat="false" ht="15" hidden="false" customHeight="false" outlineLevel="0" collapsed="false">
      <c r="R875" s="9" t="str">
        <f aca="false">IF($D875="","",IF($F875&lt;&gt;"","N",IF($J875&lt;&gt;"","C","")))</f>
        <v/>
      </c>
      <c r="S875" s="9" t="str">
        <f aca="false">IF($R875="","",$A875&amp;"|"&amp;$R875&amp;"|"&amp;$D875)</f>
        <v/>
      </c>
    </row>
    <row r="876" customFormat="false" ht="15" hidden="false" customHeight="false" outlineLevel="0" collapsed="false">
      <c r="R876" s="9" t="str">
        <f aca="false">IF($D876="","",IF($F876&lt;&gt;"","N",IF($J876&lt;&gt;"","C","")))</f>
        <v/>
      </c>
      <c r="S876" s="9" t="str">
        <f aca="false">IF($R876="","",$A876&amp;"|"&amp;$R876&amp;"|"&amp;$D876)</f>
        <v/>
      </c>
    </row>
    <row r="877" customFormat="false" ht="15" hidden="false" customHeight="false" outlineLevel="0" collapsed="false">
      <c r="R877" s="9" t="str">
        <f aca="false">IF($D877="","",IF($F877&lt;&gt;"","N",IF($J877&lt;&gt;"","C","")))</f>
        <v/>
      </c>
      <c r="S877" s="9" t="str">
        <f aca="false">IF($R877="","",$A877&amp;"|"&amp;$R877&amp;"|"&amp;$D877)</f>
        <v/>
      </c>
    </row>
    <row r="878" customFormat="false" ht="15" hidden="false" customHeight="false" outlineLevel="0" collapsed="false">
      <c r="R878" s="9" t="str">
        <f aca="false">IF($D878="","",IF($F878&lt;&gt;"","N",IF($J878&lt;&gt;"","C","")))</f>
        <v/>
      </c>
      <c r="S878" s="9" t="str">
        <f aca="false">IF($R878="","",$A878&amp;"|"&amp;$R878&amp;"|"&amp;$D878)</f>
        <v/>
      </c>
    </row>
    <row r="879" customFormat="false" ht="15" hidden="false" customHeight="false" outlineLevel="0" collapsed="false">
      <c r="R879" s="9" t="str">
        <f aca="false">IF($D879="","",IF($F879&lt;&gt;"","N",IF($J879&lt;&gt;"","C","")))</f>
        <v/>
      </c>
      <c r="S879" s="9" t="str">
        <f aca="false">IF($R879="","",$A879&amp;"|"&amp;$R879&amp;"|"&amp;$D879)</f>
        <v/>
      </c>
    </row>
    <row r="880" customFormat="false" ht="15" hidden="false" customHeight="false" outlineLevel="0" collapsed="false">
      <c r="R880" s="9" t="str">
        <f aca="false">IF($D880="","",IF($F880&lt;&gt;"","N",IF($J880&lt;&gt;"","C","")))</f>
        <v/>
      </c>
      <c r="S880" s="9" t="str">
        <f aca="false">IF($R880="","",$A880&amp;"|"&amp;$R880&amp;"|"&amp;$D880)</f>
        <v/>
      </c>
    </row>
    <row r="881" customFormat="false" ht="15" hidden="false" customHeight="false" outlineLevel="0" collapsed="false">
      <c r="R881" s="9" t="str">
        <f aca="false">IF($D881="","",IF($F881&lt;&gt;"","N",IF($J881&lt;&gt;"","C","")))</f>
        <v/>
      </c>
      <c r="S881" s="9" t="str">
        <f aca="false">IF($R881="","",$A881&amp;"|"&amp;$R881&amp;"|"&amp;$D881)</f>
        <v/>
      </c>
    </row>
    <row r="882" customFormat="false" ht="15" hidden="false" customHeight="false" outlineLevel="0" collapsed="false">
      <c r="R882" s="9" t="str">
        <f aca="false">IF($D882="","",IF($F882&lt;&gt;"","N",IF($J882&lt;&gt;"","C","")))</f>
        <v/>
      </c>
      <c r="S882" s="9" t="str">
        <f aca="false">IF($R882="","",$A882&amp;"|"&amp;$R882&amp;"|"&amp;$D882)</f>
        <v/>
      </c>
    </row>
    <row r="883" customFormat="false" ht="15" hidden="false" customHeight="false" outlineLevel="0" collapsed="false">
      <c r="R883" s="9" t="str">
        <f aca="false">IF($D883="","",IF($F883&lt;&gt;"","N",IF($J883&lt;&gt;"","C","")))</f>
        <v/>
      </c>
      <c r="S883" s="9" t="str">
        <f aca="false">IF($R883="","",$A883&amp;"|"&amp;$R883&amp;"|"&amp;$D883)</f>
        <v/>
      </c>
    </row>
    <row r="884" customFormat="false" ht="15" hidden="false" customHeight="false" outlineLevel="0" collapsed="false">
      <c r="R884" s="9" t="str">
        <f aca="false">IF($D884="","",IF($F884&lt;&gt;"","N",IF($J884&lt;&gt;"","C","")))</f>
        <v/>
      </c>
      <c r="S884" s="9" t="str">
        <f aca="false">IF($R884="","",$A884&amp;"|"&amp;$R884&amp;"|"&amp;$D884)</f>
        <v/>
      </c>
    </row>
    <row r="885" customFormat="false" ht="15" hidden="false" customHeight="false" outlineLevel="0" collapsed="false">
      <c r="R885" s="9" t="str">
        <f aca="false">IF($D885="","",IF($F885&lt;&gt;"","N",IF($J885&lt;&gt;"","C","")))</f>
        <v/>
      </c>
      <c r="S885" s="9" t="str">
        <f aca="false">IF($R885="","",$A885&amp;"|"&amp;$R885&amp;"|"&amp;$D885)</f>
        <v/>
      </c>
    </row>
    <row r="886" customFormat="false" ht="15" hidden="false" customHeight="false" outlineLevel="0" collapsed="false">
      <c r="R886" s="9" t="str">
        <f aca="false">IF($D886="","",IF($F886&lt;&gt;"","N",IF($J886&lt;&gt;"","C","")))</f>
        <v/>
      </c>
      <c r="S886" s="9" t="str">
        <f aca="false">IF($R886="","",$A886&amp;"|"&amp;$R886&amp;"|"&amp;$D886)</f>
        <v/>
      </c>
    </row>
    <row r="887" customFormat="false" ht="15" hidden="false" customHeight="false" outlineLevel="0" collapsed="false">
      <c r="R887" s="9" t="str">
        <f aca="false">IF($D887="","",IF($F887&lt;&gt;"","N",IF($J887&lt;&gt;"","C","")))</f>
        <v/>
      </c>
      <c r="S887" s="9" t="str">
        <f aca="false">IF($R887="","",$A887&amp;"|"&amp;$R887&amp;"|"&amp;$D887)</f>
        <v/>
      </c>
    </row>
    <row r="888" customFormat="false" ht="15" hidden="false" customHeight="false" outlineLevel="0" collapsed="false">
      <c r="R888" s="9" t="str">
        <f aca="false">IF($D888="","",IF($F888&lt;&gt;"","N",IF($J888&lt;&gt;"","C","")))</f>
        <v/>
      </c>
      <c r="S888" s="9" t="str">
        <f aca="false">IF($R888="","",$A888&amp;"|"&amp;$R888&amp;"|"&amp;$D888)</f>
        <v/>
      </c>
    </row>
    <row r="889" customFormat="false" ht="15" hidden="false" customHeight="false" outlineLevel="0" collapsed="false">
      <c r="R889" s="9" t="str">
        <f aca="false">IF($D889="","",IF($F889&lt;&gt;"","N",IF($J889&lt;&gt;"","C","")))</f>
        <v/>
      </c>
      <c r="S889" s="9" t="str">
        <f aca="false">IF($R889="","",$A889&amp;"|"&amp;$R889&amp;"|"&amp;$D889)</f>
        <v/>
      </c>
    </row>
    <row r="890" customFormat="false" ht="15" hidden="false" customHeight="false" outlineLevel="0" collapsed="false">
      <c r="R890" s="9" t="str">
        <f aca="false">IF($D890="","",IF($F890&lt;&gt;"","N",IF($J890&lt;&gt;"","C","")))</f>
        <v/>
      </c>
      <c r="S890" s="9" t="str">
        <f aca="false">IF($R890="","",$A890&amp;"|"&amp;$R890&amp;"|"&amp;$D890)</f>
        <v/>
      </c>
    </row>
    <row r="891" customFormat="false" ht="15" hidden="false" customHeight="false" outlineLevel="0" collapsed="false">
      <c r="R891" s="9" t="str">
        <f aca="false">IF($D891="","",IF($F891&lt;&gt;"","N",IF($J891&lt;&gt;"","C","")))</f>
        <v/>
      </c>
      <c r="S891" s="9" t="str">
        <f aca="false">IF($R891="","",$A891&amp;"|"&amp;$R891&amp;"|"&amp;$D891)</f>
        <v/>
      </c>
    </row>
    <row r="892" customFormat="false" ht="15" hidden="false" customHeight="false" outlineLevel="0" collapsed="false">
      <c r="R892" s="9" t="str">
        <f aca="false">IF($D892="","",IF($F892&lt;&gt;"","N",IF($J892&lt;&gt;"","C","")))</f>
        <v/>
      </c>
      <c r="S892" s="9" t="str">
        <f aca="false">IF($R892="","",$A892&amp;"|"&amp;$R892&amp;"|"&amp;$D892)</f>
        <v/>
      </c>
    </row>
    <row r="893" customFormat="false" ht="15" hidden="false" customHeight="false" outlineLevel="0" collapsed="false">
      <c r="R893" s="9" t="str">
        <f aca="false">IF($D893="","",IF($F893&lt;&gt;"","N",IF($J893&lt;&gt;"","C","")))</f>
        <v/>
      </c>
      <c r="S893" s="9" t="str">
        <f aca="false">IF($R893="","",$A893&amp;"|"&amp;$R893&amp;"|"&amp;$D893)</f>
        <v/>
      </c>
    </row>
    <row r="894" customFormat="false" ht="15" hidden="false" customHeight="false" outlineLevel="0" collapsed="false">
      <c r="R894" s="9" t="str">
        <f aca="false">IF($D894="","",IF($F894&lt;&gt;"","N",IF($J894&lt;&gt;"","C","")))</f>
        <v/>
      </c>
      <c r="S894" s="9" t="str">
        <f aca="false">IF($R894="","",$A894&amp;"|"&amp;$R894&amp;"|"&amp;$D894)</f>
        <v/>
      </c>
    </row>
    <row r="895" customFormat="false" ht="15" hidden="false" customHeight="false" outlineLevel="0" collapsed="false">
      <c r="R895" s="9" t="str">
        <f aca="false">IF($D895="","",IF($F895&lt;&gt;"","N",IF($J895&lt;&gt;"","C","")))</f>
        <v/>
      </c>
      <c r="S895" s="9" t="str">
        <f aca="false">IF($R895="","",$A895&amp;"|"&amp;$R895&amp;"|"&amp;$D895)</f>
        <v/>
      </c>
    </row>
    <row r="896" customFormat="false" ht="15" hidden="false" customHeight="false" outlineLevel="0" collapsed="false">
      <c r="R896" s="9" t="str">
        <f aca="false">IF($D896="","",IF($F896&lt;&gt;"","N",IF($J896&lt;&gt;"","C","")))</f>
        <v/>
      </c>
      <c r="S896" s="9" t="str">
        <f aca="false">IF($R896="","",$A896&amp;"|"&amp;$R896&amp;"|"&amp;$D896)</f>
        <v/>
      </c>
    </row>
    <row r="897" customFormat="false" ht="15" hidden="false" customHeight="false" outlineLevel="0" collapsed="false">
      <c r="R897" s="9" t="str">
        <f aca="false">IF($D897="","",IF($F897&lt;&gt;"","N",IF($J897&lt;&gt;"","C","")))</f>
        <v/>
      </c>
      <c r="S897" s="9" t="str">
        <f aca="false">IF($R897="","",$A897&amp;"|"&amp;$R897&amp;"|"&amp;$D897)</f>
        <v/>
      </c>
    </row>
    <row r="898" customFormat="false" ht="15" hidden="false" customHeight="false" outlineLevel="0" collapsed="false">
      <c r="R898" s="9" t="str">
        <f aca="false">IF($D898="","",IF($F898&lt;&gt;"","N",IF($J898&lt;&gt;"","C","")))</f>
        <v/>
      </c>
      <c r="S898" s="9" t="str">
        <f aca="false">IF($R898="","",$A898&amp;"|"&amp;$R898&amp;"|"&amp;$D898)</f>
        <v/>
      </c>
    </row>
    <row r="899" customFormat="false" ht="15" hidden="false" customHeight="false" outlineLevel="0" collapsed="false">
      <c r="R899" s="9" t="str">
        <f aca="false">IF($D899="","",IF($F899&lt;&gt;"","N",IF($J899&lt;&gt;"","C","")))</f>
        <v/>
      </c>
      <c r="S899" s="9" t="str">
        <f aca="false">IF($R899="","",$A899&amp;"|"&amp;$R899&amp;"|"&amp;$D899)</f>
        <v/>
      </c>
    </row>
    <row r="900" customFormat="false" ht="15" hidden="false" customHeight="false" outlineLevel="0" collapsed="false">
      <c r="R900" s="9" t="str">
        <f aca="false">IF($D900="","",IF($F900&lt;&gt;"","N",IF($J900&lt;&gt;"","C","")))</f>
        <v/>
      </c>
      <c r="S900" s="9" t="str">
        <f aca="false">IF($R900="","",$A900&amp;"|"&amp;$R900&amp;"|"&amp;$D900)</f>
        <v/>
      </c>
    </row>
    <row r="901" customFormat="false" ht="15" hidden="false" customHeight="false" outlineLevel="0" collapsed="false">
      <c r="R901" s="9" t="str">
        <f aca="false">IF($D901="","",IF($F901&lt;&gt;"","N",IF($J901&lt;&gt;"","C","")))</f>
        <v/>
      </c>
      <c r="S901" s="9" t="str">
        <f aca="false">IF($R901="","",$A901&amp;"|"&amp;$R901&amp;"|"&amp;$D901)</f>
        <v/>
      </c>
    </row>
    <row r="902" customFormat="false" ht="15" hidden="false" customHeight="false" outlineLevel="0" collapsed="false">
      <c r="R902" s="9" t="str">
        <f aca="false">IF($D902="","",IF($F902&lt;&gt;"","N",IF($J902&lt;&gt;"","C","")))</f>
        <v/>
      </c>
      <c r="S902" s="9" t="str">
        <f aca="false">IF($R902="","",$A902&amp;"|"&amp;$R902&amp;"|"&amp;$D902)</f>
        <v/>
      </c>
    </row>
    <row r="903" customFormat="false" ht="15" hidden="false" customHeight="false" outlineLevel="0" collapsed="false">
      <c r="R903" s="9" t="str">
        <f aca="false">IF($D903="","",IF($F903&lt;&gt;"","N",IF($J903&lt;&gt;"","C","")))</f>
        <v/>
      </c>
      <c r="S903" s="9" t="str">
        <f aca="false">IF($R903="","",$A903&amp;"|"&amp;$R903&amp;"|"&amp;$D903)</f>
        <v/>
      </c>
    </row>
    <row r="904" customFormat="false" ht="15" hidden="false" customHeight="false" outlineLevel="0" collapsed="false">
      <c r="R904" s="9" t="str">
        <f aca="false">IF($D904="","",IF($F904&lt;&gt;"","N",IF($J904&lt;&gt;"","C","")))</f>
        <v/>
      </c>
      <c r="S904" s="9" t="str">
        <f aca="false">IF($R904="","",$A904&amp;"|"&amp;$R904&amp;"|"&amp;$D904)</f>
        <v/>
      </c>
    </row>
    <row r="905" customFormat="false" ht="15" hidden="false" customHeight="false" outlineLevel="0" collapsed="false">
      <c r="R905" s="9" t="str">
        <f aca="false">IF($D905="","",IF($F905&lt;&gt;"","N",IF($J905&lt;&gt;"","C","")))</f>
        <v/>
      </c>
      <c r="S905" s="9" t="str">
        <f aca="false">IF($R905="","",$A905&amp;"|"&amp;$R905&amp;"|"&amp;$D905)</f>
        <v/>
      </c>
    </row>
    <row r="906" customFormat="false" ht="15" hidden="false" customHeight="false" outlineLevel="0" collapsed="false">
      <c r="R906" s="9" t="str">
        <f aca="false">IF($D906="","",IF($F906&lt;&gt;"","N",IF($J906&lt;&gt;"","C","")))</f>
        <v/>
      </c>
      <c r="S906" s="9" t="str">
        <f aca="false">IF($R906="","",$A906&amp;"|"&amp;$R906&amp;"|"&amp;$D906)</f>
        <v/>
      </c>
    </row>
    <row r="907" customFormat="false" ht="15" hidden="false" customHeight="false" outlineLevel="0" collapsed="false">
      <c r="R907" s="9" t="str">
        <f aca="false">IF($D907="","",IF($F907&lt;&gt;"","N",IF($J907&lt;&gt;"","C","")))</f>
        <v/>
      </c>
      <c r="S907" s="9" t="str">
        <f aca="false">IF($R907="","",$A907&amp;"|"&amp;$R907&amp;"|"&amp;$D907)</f>
        <v/>
      </c>
    </row>
    <row r="908" customFormat="false" ht="15" hidden="false" customHeight="false" outlineLevel="0" collapsed="false">
      <c r="R908" s="9" t="str">
        <f aca="false">IF($D908="","",IF($F908&lt;&gt;"","N",IF($J908&lt;&gt;"","C","")))</f>
        <v/>
      </c>
      <c r="S908" s="9" t="str">
        <f aca="false">IF($R908="","",$A908&amp;"|"&amp;$R908&amp;"|"&amp;$D908)</f>
        <v/>
      </c>
    </row>
    <row r="909" customFormat="false" ht="15" hidden="false" customHeight="false" outlineLevel="0" collapsed="false">
      <c r="R909" s="9" t="str">
        <f aca="false">IF($D909="","",IF($F909&lt;&gt;"","N",IF($J909&lt;&gt;"","C","")))</f>
        <v/>
      </c>
      <c r="S909" s="9" t="str">
        <f aca="false">IF($R909="","",$A909&amp;"|"&amp;$R909&amp;"|"&amp;$D909)</f>
        <v/>
      </c>
    </row>
    <row r="910" customFormat="false" ht="15" hidden="false" customHeight="false" outlineLevel="0" collapsed="false">
      <c r="R910" s="9" t="str">
        <f aca="false">IF($D910="","",IF($F910&lt;&gt;"","N",IF($J910&lt;&gt;"","C","")))</f>
        <v/>
      </c>
      <c r="S910" s="9" t="str">
        <f aca="false">IF($R910="","",$A910&amp;"|"&amp;$R910&amp;"|"&amp;$D910)</f>
        <v/>
      </c>
    </row>
    <row r="911" customFormat="false" ht="15" hidden="false" customHeight="false" outlineLevel="0" collapsed="false">
      <c r="R911" s="9" t="str">
        <f aca="false">IF($D911="","",IF($F911&lt;&gt;"","N",IF($J911&lt;&gt;"","C","")))</f>
        <v/>
      </c>
      <c r="S911" s="9" t="str">
        <f aca="false">IF($R911="","",$A911&amp;"|"&amp;$R911&amp;"|"&amp;$D911)</f>
        <v/>
      </c>
    </row>
    <row r="912" customFormat="false" ht="15" hidden="false" customHeight="false" outlineLevel="0" collapsed="false">
      <c r="R912" s="9" t="str">
        <f aca="false">IF($D912="","",IF($F912&lt;&gt;"","N",IF($J912&lt;&gt;"","C","")))</f>
        <v/>
      </c>
      <c r="S912" s="9" t="str">
        <f aca="false">IF($R912="","",$A912&amp;"|"&amp;$R912&amp;"|"&amp;$D912)</f>
        <v/>
      </c>
    </row>
    <row r="913" customFormat="false" ht="15" hidden="false" customHeight="false" outlineLevel="0" collapsed="false">
      <c r="R913" s="9" t="str">
        <f aca="false">IF($D913="","",IF($F913&lt;&gt;"","N",IF($J913&lt;&gt;"","C","")))</f>
        <v/>
      </c>
      <c r="S913" s="9" t="str">
        <f aca="false">IF($R913="","",$A913&amp;"|"&amp;$R913&amp;"|"&amp;$D913)</f>
        <v/>
      </c>
    </row>
    <row r="914" customFormat="false" ht="15" hidden="false" customHeight="false" outlineLevel="0" collapsed="false">
      <c r="R914" s="9" t="str">
        <f aca="false">IF($D914="","",IF($F914&lt;&gt;"","N",IF($J914&lt;&gt;"","C","")))</f>
        <v/>
      </c>
      <c r="S914" s="9" t="str">
        <f aca="false">IF($R914="","",$A914&amp;"|"&amp;$R914&amp;"|"&amp;$D914)</f>
        <v/>
      </c>
    </row>
    <row r="915" customFormat="false" ht="15" hidden="false" customHeight="false" outlineLevel="0" collapsed="false">
      <c r="R915" s="9" t="str">
        <f aca="false">IF($D915="","",IF($F915&lt;&gt;"","N",IF($J915&lt;&gt;"","C","")))</f>
        <v/>
      </c>
      <c r="S915" s="9" t="str">
        <f aca="false">IF($R915="","",$A915&amp;"|"&amp;$R915&amp;"|"&amp;$D915)</f>
        <v/>
      </c>
    </row>
    <row r="916" customFormat="false" ht="15" hidden="false" customHeight="false" outlineLevel="0" collapsed="false">
      <c r="R916" s="9" t="str">
        <f aca="false">IF($D916="","",IF($F916&lt;&gt;"","N",IF($J916&lt;&gt;"","C","")))</f>
        <v/>
      </c>
      <c r="S916" s="9" t="str">
        <f aca="false">IF($R916="","",$A916&amp;"|"&amp;$R916&amp;"|"&amp;$D916)</f>
        <v/>
      </c>
    </row>
    <row r="917" customFormat="false" ht="15" hidden="false" customHeight="false" outlineLevel="0" collapsed="false">
      <c r="R917" s="9" t="str">
        <f aca="false">IF($D917="","",IF($F917&lt;&gt;"","N",IF($J917&lt;&gt;"","C","")))</f>
        <v/>
      </c>
      <c r="S917" s="9" t="str">
        <f aca="false">IF($R917="","",$A917&amp;"|"&amp;$R917&amp;"|"&amp;$D917)</f>
        <v/>
      </c>
    </row>
    <row r="918" customFormat="false" ht="15" hidden="false" customHeight="false" outlineLevel="0" collapsed="false">
      <c r="R918" s="9" t="str">
        <f aca="false">IF($D918="","",IF($F918&lt;&gt;"","N",IF($J918&lt;&gt;"","C","")))</f>
        <v/>
      </c>
      <c r="S918" s="9" t="str">
        <f aca="false">IF($R918="","",$A918&amp;"|"&amp;$R918&amp;"|"&amp;$D918)</f>
        <v/>
      </c>
    </row>
    <row r="919" customFormat="false" ht="15" hidden="false" customHeight="false" outlineLevel="0" collapsed="false">
      <c r="R919" s="9" t="str">
        <f aca="false">IF($D919="","",IF($F919&lt;&gt;"","N",IF($J919&lt;&gt;"","C","")))</f>
        <v/>
      </c>
      <c r="S919" s="9" t="str">
        <f aca="false">IF($R919="","",$A919&amp;"|"&amp;$R919&amp;"|"&amp;$D919)</f>
        <v/>
      </c>
    </row>
    <row r="920" customFormat="false" ht="15" hidden="false" customHeight="false" outlineLevel="0" collapsed="false">
      <c r="R920" s="9" t="str">
        <f aca="false">IF($D920="","",IF($F920&lt;&gt;"","N",IF($J920&lt;&gt;"","C","")))</f>
        <v/>
      </c>
      <c r="S920" s="9" t="str">
        <f aca="false">IF($R920="","",$A920&amp;"|"&amp;$R920&amp;"|"&amp;$D920)</f>
        <v/>
      </c>
    </row>
    <row r="921" customFormat="false" ht="15" hidden="false" customHeight="false" outlineLevel="0" collapsed="false">
      <c r="R921" s="9" t="str">
        <f aca="false">IF($D921="","",IF($F921&lt;&gt;"","N",IF($J921&lt;&gt;"","C","")))</f>
        <v/>
      </c>
      <c r="S921" s="9" t="str">
        <f aca="false">IF($R921="","",$A921&amp;"|"&amp;$R921&amp;"|"&amp;$D921)</f>
        <v/>
      </c>
    </row>
    <row r="922" customFormat="false" ht="15" hidden="false" customHeight="false" outlineLevel="0" collapsed="false">
      <c r="R922" s="9" t="str">
        <f aca="false">IF($D922="","",IF($F922&lt;&gt;"","N",IF($J922&lt;&gt;"","C","")))</f>
        <v/>
      </c>
      <c r="S922" s="9" t="str">
        <f aca="false">IF($R922="","",$A922&amp;"|"&amp;$R922&amp;"|"&amp;$D922)</f>
        <v/>
      </c>
    </row>
    <row r="923" customFormat="false" ht="15" hidden="false" customHeight="false" outlineLevel="0" collapsed="false">
      <c r="R923" s="9" t="str">
        <f aca="false">IF($D923="","",IF($F923&lt;&gt;"","N",IF($J923&lt;&gt;"","C","")))</f>
        <v/>
      </c>
      <c r="S923" s="9" t="str">
        <f aca="false">IF($R923="","",$A923&amp;"|"&amp;$R923&amp;"|"&amp;$D923)</f>
        <v/>
      </c>
    </row>
    <row r="924" customFormat="false" ht="15" hidden="false" customHeight="false" outlineLevel="0" collapsed="false">
      <c r="R924" s="9" t="str">
        <f aca="false">IF($D924="","",IF($F924&lt;&gt;"","N",IF($J924&lt;&gt;"","C","")))</f>
        <v/>
      </c>
      <c r="S924" s="9" t="str">
        <f aca="false">IF($R924="","",$A924&amp;"|"&amp;$R924&amp;"|"&amp;$D924)</f>
        <v/>
      </c>
    </row>
    <row r="925" customFormat="false" ht="15" hidden="false" customHeight="false" outlineLevel="0" collapsed="false">
      <c r="R925" s="9" t="str">
        <f aca="false">IF($D925="","",IF($F925&lt;&gt;"","N",IF($J925&lt;&gt;"","C","")))</f>
        <v/>
      </c>
      <c r="S925" s="9" t="str">
        <f aca="false">IF($R925="","",$A925&amp;"|"&amp;$R925&amp;"|"&amp;$D925)</f>
        <v/>
      </c>
    </row>
    <row r="926" customFormat="false" ht="15" hidden="false" customHeight="false" outlineLevel="0" collapsed="false">
      <c r="R926" s="9" t="str">
        <f aca="false">IF($D926="","",IF($F926&lt;&gt;"","N",IF($J926&lt;&gt;"","C","")))</f>
        <v/>
      </c>
      <c r="S926" s="9" t="str">
        <f aca="false">IF($R926="","",$A926&amp;"|"&amp;$R926&amp;"|"&amp;$D926)</f>
        <v/>
      </c>
    </row>
    <row r="927" customFormat="false" ht="15" hidden="false" customHeight="false" outlineLevel="0" collapsed="false">
      <c r="R927" s="9" t="str">
        <f aca="false">IF($D927="","",IF($F927&lt;&gt;"","N",IF($J927&lt;&gt;"","C","")))</f>
        <v/>
      </c>
      <c r="S927" s="9" t="str">
        <f aca="false">IF($R927="","",$A927&amp;"|"&amp;$R927&amp;"|"&amp;$D927)</f>
        <v/>
      </c>
    </row>
    <row r="928" customFormat="false" ht="15" hidden="false" customHeight="false" outlineLevel="0" collapsed="false">
      <c r="R928" s="9" t="str">
        <f aca="false">IF($D928="","",IF($F928&lt;&gt;"","N",IF($J928&lt;&gt;"","C","")))</f>
        <v/>
      </c>
      <c r="S928" s="9" t="str">
        <f aca="false">IF($R928="","",$A928&amp;"|"&amp;$R928&amp;"|"&amp;$D928)</f>
        <v/>
      </c>
    </row>
    <row r="929" customFormat="false" ht="15" hidden="false" customHeight="false" outlineLevel="0" collapsed="false">
      <c r="R929" s="9" t="str">
        <f aca="false">IF($D929="","",IF($F929&lt;&gt;"","N",IF($J929&lt;&gt;"","C","")))</f>
        <v/>
      </c>
      <c r="S929" s="9" t="str">
        <f aca="false">IF($R929="","",$A929&amp;"|"&amp;$R929&amp;"|"&amp;$D929)</f>
        <v/>
      </c>
    </row>
    <row r="930" customFormat="false" ht="15" hidden="false" customHeight="false" outlineLevel="0" collapsed="false">
      <c r="R930" s="9" t="str">
        <f aca="false">IF($D930="","",IF($F930&lt;&gt;"","N",IF($J930&lt;&gt;"","C","")))</f>
        <v/>
      </c>
      <c r="S930" s="9" t="str">
        <f aca="false">IF($R930="","",$A930&amp;"|"&amp;$R930&amp;"|"&amp;$D930)</f>
        <v/>
      </c>
    </row>
    <row r="931" customFormat="false" ht="15" hidden="false" customHeight="false" outlineLevel="0" collapsed="false">
      <c r="R931" s="9" t="str">
        <f aca="false">IF($D931="","",IF($F931&lt;&gt;"","N",IF($J931&lt;&gt;"","C","")))</f>
        <v/>
      </c>
      <c r="S931" s="9" t="str">
        <f aca="false">IF($R931="","",$A931&amp;"|"&amp;$R931&amp;"|"&amp;$D931)</f>
        <v/>
      </c>
    </row>
    <row r="932" customFormat="false" ht="15" hidden="false" customHeight="false" outlineLevel="0" collapsed="false">
      <c r="R932" s="9" t="str">
        <f aca="false">IF($D932="","",IF($F932&lt;&gt;"","N",IF($J932&lt;&gt;"","C","")))</f>
        <v/>
      </c>
      <c r="S932" s="9" t="str">
        <f aca="false">IF($R932="","",$A932&amp;"|"&amp;$R932&amp;"|"&amp;$D932)</f>
        <v/>
      </c>
    </row>
    <row r="933" customFormat="false" ht="15" hidden="false" customHeight="false" outlineLevel="0" collapsed="false">
      <c r="R933" s="9" t="str">
        <f aca="false">IF($D933="","",IF($F933&lt;&gt;"","N",IF($J933&lt;&gt;"","C","")))</f>
        <v/>
      </c>
      <c r="S933" s="9" t="str">
        <f aca="false">IF($R933="","",$A933&amp;"|"&amp;$R933&amp;"|"&amp;$D933)</f>
        <v/>
      </c>
    </row>
    <row r="934" customFormat="false" ht="15" hidden="false" customHeight="false" outlineLevel="0" collapsed="false">
      <c r="R934" s="9" t="str">
        <f aca="false">IF($D934="","",IF($F934&lt;&gt;"","N",IF($J934&lt;&gt;"","C","")))</f>
        <v/>
      </c>
      <c r="S934" s="9" t="str">
        <f aca="false">IF($R934="","",$A934&amp;"|"&amp;$R934&amp;"|"&amp;$D934)</f>
        <v/>
      </c>
    </row>
    <row r="935" customFormat="false" ht="15" hidden="false" customHeight="false" outlineLevel="0" collapsed="false">
      <c r="R935" s="9" t="str">
        <f aca="false">IF($D935="","",IF($F935&lt;&gt;"","N",IF($J935&lt;&gt;"","C","")))</f>
        <v/>
      </c>
      <c r="S935" s="9" t="str">
        <f aca="false">IF($R935="","",$A935&amp;"|"&amp;$R935&amp;"|"&amp;$D935)</f>
        <v/>
      </c>
    </row>
    <row r="936" customFormat="false" ht="15" hidden="false" customHeight="false" outlineLevel="0" collapsed="false">
      <c r="R936" s="9" t="str">
        <f aca="false">IF($D936="","",IF($F936&lt;&gt;"","N",IF($J936&lt;&gt;"","C","")))</f>
        <v/>
      </c>
      <c r="S936" s="9" t="str">
        <f aca="false">IF($R936="","",$A936&amp;"|"&amp;$R936&amp;"|"&amp;$D936)</f>
        <v/>
      </c>
    </row>
    <row r="937" customFormat="false" ht="15" hidden="false" customHeight="false" outlineLevel="0" collapsed="false">
      <c r="R937" s="9" t="str">
        <f aca="false">IF($D937="","",IF($F937&lt;&gt;"","N",IF($J937&lt;&gt;"","C","")))</f>
        <v/>
      </c>
      <c r="S937" s="9" t="str">
        <f aca="false">IF($R937="","",$A937&amp;"|"&amp;$R937&amp;"|"&amp;$D937)</f>
        <v/>
      </c>
    </row>
    <row r="938" customFormat="false" ht="15" hidden="false" customHeight="false" outlineLevel="0" collapsed="false">
      <c r="R938" s="9" t="str">
        <f aca="false">IF($D938="","",IF($F938&lt;&gt;"","N",IF($J938&lt;&gt;"","C","")))</f>
        <v/>
      </c>
      <c r="S938" s="9" t="str">
        <f aca="false">IF($R938="","",$A938&amp;"|"&amp;$R938&amp;"|"&amp;$D938)</f>
        <v/>
      </c>
    </row>
    <row r="939" customFormat="false" ht="15" hidden="false" customHeight="false" outlineLevel="0" collapsed="false">
      <c r="R939" s="9" t="str">
        <f aca="false">IF($D939="","",IF($F939&lt;&gt;"","N",IF($J939&lt;&gt;"","C","")))</f>
        <v/>
      </c>
      <c r="S939" s="9" t="str">
        <f aca="false">IF($R939="","",$A939&amp;"|"&amp;$R939&amp;"|"&amp;$D939)</f>
        <v/>
      </c>
    </row>
    <row r="940" customFormat="false" ht="15" hidden="false" customHeight="false" outlineLevel="0" collapsed="false">
      <c r="R940" s="9" t="str">
        <f aca="false">IF($D940="","",IF($F940&lt;&gt;"","N",IF($J940&lt;&gt;"","C","")))</f>
        <v/>
      </c>
      <c r="S940" s="9" t="str">
        <f aca="false">IF($R940="","",$A940&amp;"|"&amp;$R940&amp;"|"&amp;$D940)</f>
        <v/>
      </c>
    </row>
    <row r="941" customFormat="false" ht="15" hidden="false" customHeight="false" outlineLevel="0" collapsed="false">
      <c r="R941" s="9" t="str">
        <f aca="false">IF($D941="","",IF($F941&lt;&gt;"","N",IF($J941&lt;&gt;"","C","")))</f>
        <v/>
      </c>
      <c r="S941" s="9" t="str">
        <f aca="false">IF($R941="","",$A941&amp;"|"&amp;$R941&amp;"|"&amp;$D941)</f>
        <v/>
      </c>
    </row>
    <row r="942" customFormat="false" ht="15" hidden="false" customHeight="false" outlineLevel="0" collapsed="false">
      <c r="R942" s="9" t="str">
        <f aca="false">IF($D942="","",IF($F942&lt;&gt;"","N",IF($J942&lt;&gt;"","C","")))</f>
        <v/>
      </c>
      <c r="S942" s="9" t="str">
        <f aca="false">IF($R942="","",$A942&amp;"|"&amp;$R942&amp;"|"&amp;$D942)</f>
        <v/>
      </c>
    </row>
    <row r="943" customFormat="false" ht="15" hidden="false" customHeight="false" outlineLevel="0" collapsed="false">
      <c r="R943" s="9" t="str">
        <f aca="false">IF($D943="","",IF($F943&lt;&gt;"","N",IF($J943&lt;&gt;"","C","")))</f>
        <v/>
      </c>
      <c r="S943" s="9" t="str">
        <f aca="false">IF($R943="","",$A943&amp;"|"&amp;$R943&amp;"|"&amp;$D943)</f>
        <v/>
      </c>
    </row>
    <row r="944" customFormat="false" ht="15" hidden="false" customHeight="false" outlineLevel="0" collapsed="false">
      <c r="R944" s="9" t="str">
        <f aca="false">IF($D944="","",IF($F944&lt;&gt;"","N",IF($J944&lt;&gt;"","C","")))</f>
        <v/>
      </c>
      <c r="S944" s="9" t="str">
        <f aca="false">IF($R944="","",$A944&amp;"|"&amp;$R944&amp;"|"&amp;$D944)</f>
        <v/>
      </c>
    </row>
    <row r="945" customFormat="false" ht="15" hidden="false" customHeight="false" outlineLevel="0" collapsed="false">
      <c r="R945" s="9" t="str">
        <f aca="false">IF($D945="","",IF($F945&lt;&gt;"","N",IF($J945&lt;&gt;"","C","")))</f>
        <v/>
      </c>
      <c r="S945" s="9" t="str">
        <f aca="false">IF($R945="","",$A945&amp;"|"&amp;$R945&amp;"|"&amp;$D945)</f>
        <v/>
      </c>
    </row>
    <row r="946" customFormat="false" ht="15" hidden="false" customHeight="false" outlineLevel="0" collapsed="false">
      <c r="R946" s="9" t="str">
        <f aca="false">IF($D946="","",IF($F946&lt;&gt;"","N",IF($J946&lt;&gt;"","C","")))</f>
        <v/>
      </c>
      <c r="S946" s="9" t="str">
        <f aca="false">IF($R946="","",$A946&amp;"|"&amp;$R946&amp;"|"&amp;$D946)</f>
        <v/>
      </c>
    </row>
    <row r="947" customFormat="false" ht="15" hidden="false" customHeight="false" outlineLevel="0" collapsed="false">
      <c r="R947" s="9" t="str">
        <f aca="false">IF($D947="","",IF($F947&lt;&gt;"","N",IF($J947&lt;&gt;"","C","")))</f>
        <v/>
      </c>
      <c r="S947" s="9" t="str">
        <f aca="false">IF($R947="","",$A947&amp;"|"&amp;$R947&amp;"|"&amp;$D947)</f>
        <v/>
      </c>
    </row>
    <row r="948" customFormat="false" ht="15" hidden="false" customHeight="false" outlineLevel="0" collapsed="false">
      <c r="R948" s="9" t="str">
        <f aca="false">IF($D948="","",IF($F948&lt;&gt;"","N",IF($J948&lt;&gt;"","C","")))</f>
        <v/>
      </c>
      <c r="S948" s="9" t="str">
        <f aca="false">IF($R948="","",$A948&amp;"|"&amp;$R948&amp;"|"&amp;$D948)</f>
        <v/>
      </c>
    </row>
    <row r="949" customFormat="false" ht="15" hidden="false" customHeight="false" outlineLevel="0" collapsed="false">
      <c r="R949" s="9" t="str">
        <f aca="false">IF($D949="","",IF($F949&lt;&gt;"","N",IF($J949&lt;&gt;"","C","")))</f>
        <v/>
      </c>
      <c r="S949" s="9" t="str">
        <f aca="false">IF($R949="","",$A949&amp;"|"&amp;$R949&amp;"|"&amp;$D949)</f>
        <v/>
      </c>
    </row>
    <row r="950" customFormat="false" ht="15" hidden="false" customHeight="false" outlineLevel="0" collapsed="false">
      <c r="R950" s="9" t="str">
        <f aca="false">IF($D950="","",IF($F950&lt;&gt;"","N",IF($J950&lt;&gt;"","C","")))</f>
        <v/>
      </c>
      <c r="S950" s="9" t="str">
        <f aca="false">IF($R950="","",$A950&amp;"|"&amp;$R950&amp;"|"&amp;$D950)</f>
        <v/>
      </c>
    </row>
    <row r="951" customFormat="false" ht="15" hidden="false" customHeight="false" outlineLevel="0" collapsed="false">
      <c r="R951" s="9" t="str">
        <f aca="false">IF($D951="","",IF($F951&lt;&gt;"","N",IF($J951&lt;&gt;"","C","")))</f>
        <v/>
      </c>
      <c r="S951" s="9" t="str">
        <f aca="false">IF($R951="","",$A951&amp;"|"&amp;$R951&amp;"|"&amp;$D951)</f>
        <v/>
      </c>
    </row>
    <row r="952" customFormat="false" ht="15" hidden="false" customHeight="false" outlineLevel="0" collapsed="false">
      <c r="R952" s="9" t="str">
        <f aca="false">IF($D952="","",IF($F952&lt;&gt;"","N",IF($J952&lt;&gt;"","C","")))</f>
        <v/>
      </c>
      <c r="S952" s="9" t="str">
        <f aca="false">IF($R952="","",$A952&amp;"|"&amp;$R952&amp;"|"&amp;$D952)</f>
        <v/>
      </c>
    </row>
    <row r="953" customFormat="false" ht="15" hidden="false" customHeight="false" outlineLevel="0" collapsed="false">
      <c r="R953" s="9" t="str">
        <f aca="false">IF($D953="","",IF($F953&lt;&gt;"","N",IF($J953&lt;&gt;"","C","")))</f>
        <v/>
      </c>
      <c r="S953" s="9" t="str">
        <f aca="false">IF($R953="","",$A953&amp;"|"&amp;$R953&amp;"|"&amp;$D953)</f>
        <v/>
      </c>
    </row>
    <row r="954" customFormat="false" ht="15" hidden="false" customHeight="false" outlineLevel="0" collapsed="false">
      <c r="R954" s="9" t="str">
        <f aca="false">IF($D954="","",IF($F954&lt;&gt;"","N",IF($J954&lt;&gt;"","C","")))</f>
        <v/>
      </c>
      <c r="S954" s="9" t="str">
        <f aca="false">IF($R954="","",$A954&amp;"|"&amp;$R954&amp;"|"&amp;$D954)</f>
        <v/>
      </c>
    </row>
    <row r="955" customFormat="false" ht="15" hidden="false" customHeight="false" outlineLevel="0" collapsed="false">
      <c r="R955" s="9" t="str">
        <f aca="false">IF($D955="","",IF($F955&lt;&gt;"","N",IF($J955&lt;&gt;"","C","")))</f>
        <v/>
      </c>
      <c r="S955" s="9" t="str">
        <f aca="false">IF($R955="","",$A955&amp;"|"&amp;$R955&amp;"|"&amp;$D955)</f>
        <v/>
      </c>
    </row>
    <row r="956" customFormat="false" ht="15" hidden="false" customHeight="false" outlineLevel="0" collapsed="false">
      <c r="R956" s="9" t="str">
        <f aca="false">IF($D956="","",IF($F956&lt;&gt;"","N",IF($J956&lt;&gt;"","C","")))</f>
        <v/>
      </c>
      <c r="S956" s="9" t="str">
        <f aca="false">IF($R956="","",$A956&amp;"|"&amp;$R956&amp;"|"&amp;$D956)</f>
        <v/>
      </c>
    </row>
    <row r="957" customFormat="false" ht="15" hidden="false" customHeight="false" outlineLevel="0" collapsed="false">
      <c r="R957" s="9" t="str">
        <f aca="false">IF($D957="","",IF($F957&lt;&gt;"","N",IF($J957&lt;&gt;"","C","")))</f>
        <v/>
      </c>
      <c r="S957" s="9" t="str">
        <f aca="false">IF($R957="","",$A957&amp;"|"&amp;$R957&amp;"|"&amp;$D957)</f>
        <v/>
      </c>
    </row>
    <row r="958" customFormat="false" ht="15" hidden="false" customHeight="false" outlineLevel="0" collapsed="false">
      <c r="R958" s="9" t="str">
        <f aca="false">IF($D958="","",IF($F958&lt;&gt;"","N",IF($J958&lt;&gt;"","C","")))</f>
        <v/>
      </c>
      <c r="S958" s="9" t="str">
        <f aca="false">IF($R958="","",$A958&amp;"|"&amp;$R958&amp;"|"&amp;$D958)</f>
        <v/>
      </c>
    </row>
    <row r="959" customFormat="false" ht="15" hidden="false" customHeight="false" outlineLevel="0" collapsed="false">
      <c r="R959" s="9" t="str">
        <f aca="false">IF($D959="","",IF($F959&lt;&gt;"","N",IF($J959&lt;&gt;"","C","")))</f>
        <v/>
      </c>
      <c r="S959" s="9" t="str">
        <f aca="false">IF($R959="","",$A959&amp;"|"&amp;$R959&amp;"|"&amp;$D959)</f>
        <v/>
      </c>
    </row>
    <row r="960" customFormat="false" ht="15" hidden="false" customHeight="false" outlineLevel="0" collapsed="false">
      <c r="R960" s="9" t="str">
        <f aca="false">IF($D960="","",IF($F960&lt;&gt;"","N",IF($J960&lt;&gt;"","C","")))</f>
        <v/>
      </c>
      <c r="S960" s="9" t="str">
        <f aca="false">IF($R960="","",$A960&amp;"|"&amp;$R960&amp;"|"&amp;$D960)</f>
        <v/>
      </c>
    </row>
    <row r="961" customFormat="false" ht="15" hidden="false" customHeight="false" outlineLevel="0" collapsed="false">
      <c r="R961" s="9" t="str">
        <f aca="false">IF($D961="","",IF($F961&lt;&gt;"","N",IF($J961&lt;&gt;"","C","")))</f>
        <v/>
      </c>
      <c r="S961" s="9" t="str">
        <f aca="false">IF($R961="","",$A961&amp;"|"&amp;$R961&amp;"|"&amp;$D961)</f>
        <v/>
      </c>
    </row>
    <row r="962" customFormat="false" ht="15" hidden="false" customHeight="false" outlineLevel="0" collapsed="false">
      <c r="R962" s="9" t="str">
        <f aca="false">IF($D962="","",IF($F962&lt;&gt;"","N",IF($J962&lt;&gt;"","C","")))</f>
        <v/>
      </c>
      <c r="S962" s="9" t="str">
        <f aca="false">IF($R962="","",$A962&amp;"|"&amp;$R962&amp;"|"&amp;$D962)</f>
        <v/>
      </c>
    </row>
    <row r="963" customFormat="false" ht="15" hidden="false" customHeight="false" outlineLevel="0" collapsed="false">
      <c r="R963" s="9" t="str">
        <f aca="false">IF($D963="","",IF($F963&lt;&gt;"","N",IF($J963&lt;&gt;"","C","")))</f>
        <v/>
      </c>
      <c r="S963" s="9" t="str">
        <f aca="false">IF($R963="","",$A963&amp;"|"&amp;$R963&amp;"|"&amp;$D963)</f>
        <v/>
      </c>
    </row>
    <row r="964" customFormat="false" ht="15" hidden="false" customHeight="false" outlineLevel="0" collapsed="false">
      <c r="R964" s="9" t="str">
        <f aca="false">IF($D964="","",IF($F964&lt;&gt;"","N",IF($J964&lt;&gt;"","C","")))</f>
        <v/>
      </c>
      <c r="S964" s="9" t="str">
        <f aca="false">IF($R964="","",$A964&amp;"|"&amp;$R964&amp;"|"&amp;$D964)</f>
        <v/>
      </c>
    </row>
    <row r="965" customFormat="false" ht="15" hidden="false" customHeight="false" outlineLevel="0" collapsed="false">
      <c r="R965" s="9" t="str">
        <f aca="false">IF($D965="","",IF($F965&lt;&gt;"","N",IF($J965&lt;&gt;"","C","")))</f>
        <v/>
      </c>
      <c r="S965" s="9" t="str">
        <f aca="false">IF($R965="","",$A965&amp;"|"&amp;$R965&amp;"|"&amp;$D965)</f>
        <v/>
      </c>
    </row>
    <row r="966" customFormat="false" ht="15" hidden="false" customHeight="false" outlineLevel="0" collapsed="false">
      <c r="R966" s="9" t="str">
        <f aca="false">IF($D966="","",IF($F966&lt;&gt;"","N",IF($J966&lt;&gt;"","C","")))</f>
        <v/>
      </c>
      <c r="S966" s="9" t="str">
        <f aca="false">IF($R966="","",$A966&amp;"|"&amp;$R966&amp;"|"&amp;$D966)</f>
        <v/>
      </c>
    </row>
    <row r="967" customFormat="false" ht="15" hidden="false" customHeight="false" outlineLevel="0" collapsed="false">
      <c r="R967" s="9" t="str">
        <f aca="false">IF($D967="","",IF($F967&lt;&gt;"","N",IF($J967&lt;&gt;"","C","")))</f>
        <v/>
      </c>
      <c r="S967" s="9" t="str">
        <f aca="false">IF($R967="","",$A967&amp;"|"&amp;$R967&amp;"|"&amp;$D967)</f>
        <v/>
      </c>
    </row>
    <row r="968" customFormat="false" ht="15" hidden="false" customHeight="false" outlineLevel="0" collapsed="false">
      <c r="R968" s="9" t="str">
        <f aca="false">IF($D968="","",IF($F968&lt;&gt;"","N",IF($J968&lt;&gt;"","C","")))</f>
        <v/>
      </c>
      <c r="S968" s="9" t="str">
        <f aca="false">IF($R968="","",$A968&amp;"|"&amp;$R968&amp;"|"&amp;$D968)</f>
        <v/>
      </c>
    </row>
    <row r="969" customFormat="false" ht="15" hidden="false" customHeight="false" outlineLevel="0" collapsed="false">
      <c r="R969" s="9" t="str">
        <f aca="false">IF($D969="","",IF($F969&lt;&gt;"","N",IF($J969&lt;&gt;"","C","")))</f>
        <v/>
      </c>
      <c r="S969" s="9" t="str">
        <f aca="false">IF($R969="","",$A969&amp;"|"&amp;$R969&amp;"|"&amp;$D969)</f>
        <v/>
      </c>
    </row>
    <row r="970" customFormat="false" ht="15" hidden="false" customHeight="false" outlineLevel="0" collapsed="false">
      <c r="R970" s="9" t="str">
        <f aca="false">IF($D970="","",IF($F970&lt;&gt;"","N",IF($J970&lt;&gt;"","C","")))</f>
        <v/>
      </c>
      <c r="S970" s="9" t="str">
        <f aca="false">IF($R970="","",$A970&amp;"|"&amp;$R970&amp;"|"&amp;$D970)</f>
        <v/>
      </c>
    </row>
    <row r="971" customFormat="false" ht="15" hidden="false" customHeight="false" outlineLevel="0" collapsed="false">
      <c r="R971" s="9" t="str">
        <f aca="false">IF($D971="","",IF($F971&lt;&gt;"","N",IF($J971&lt;&gt;"","C","")))</f>
        <v/>
      </c>
      <c r="S971" s="9" t="str">
        <f aca="false">IF($R971="","",$A971&amp;"|"&amp;$R971&amp;"|"&amp;$D971)</f>
        <v/>
      </c>
    </row>
    <row r="972" customFormat="false" ht="15" hidden="false" customHeight="false" outlineLevel="0" collapsed="false">
      <c r="R972" s="9" t="str">
        <f aca="false">IF($D972="","",IF($F972&lt;&gt;"","N",IF($J972&lt;&gt;"","C","")))</f>
        <v/>
      </c>
      <c r="S972" s="9" t="str">
        <f aca="false">IF($R972="","",$A972&amp;"|"&amp;$R972&amp;"|"&amp;$D972)</f>
        <v/>
      </c>
    </row>
    <row r="973" customFormat="false" ht="15" hidden="false" customHeight="false" outlineLevel="0" collapsed="false">
      <c r="R973" s="9" t="str">
        <f aca="false">IF($D973="","",IF($F973&lt;&gt;"","N",IF($J973&lt;&gt;"","C","")))</f>
        <v/>
      </c>
      <c r="S973" s="9" t="str">
        <f aca="false">IF($R973="","",$A973&amp;"|"&amp;$R973&amp;"|"&amp;$D973)</f>
        <v/>
      </c>
    </row>
    <row r="974" customFormat="false" ht="15" hidden="false" customHeight="false" outlineLevel="0" collapsed="false">
      <c r="R974" s="9" t="str">
        <f aca="false">IF($D974="","",IF($F974&lt;&gt;"","N",IF($J974&lt;&gt;"","C","")))</f>
        <v/>
      </c>
      <c r="S974" s="9" t="str">
        <f aca="false">IF($R974="","",$A974&amp;"|"&amp;$R974&amp;"|"&amp;$D974)</f>
        <v/>
      </c>
    </row>
    <row r="975" customFormat="false" ht="15" hidden="false" customHeight="false" outlineLevel="0" collapsed="false">
      <c r="R975" s="9" t="str">
        <f aca="false">IF($D975="","",IF($F975&lt;&gt;"","N",IF($J975&lt;&gt;"","C","")))</f>
        <v/>
      </c>
      <c r="S975" s="9" t="str">
        <f aca="false">IF($R975="","",$A975&amp;"|"&amp;$R975&amp;"|"&amp;$D975)</f>
        <v/>
      </c>
    </row>
    <row r="976" customFormat="false" ht="15" hidden="false" customHeight="false" outlineLevel="0" collapsed="false">
      <c r="R976" s="9" t="str">
        <f aca="false">IF($D976="","",IF($F976&lt;&gt;"","N",IF($J976&lt;&gt;"","C","")))</f>
        <v/>
      </c>
      <c r="S976" s="9" t="str">
        <f aca="false">IF($R976="","",$A976&amp;"|"&amp;$R976&amp;"|"&amp;$D976)</f>
        <v/>
      </c>
    </row>
    <row r="977" customFormat="false" ht="15" hidden="false" customHeight="false" outlineLevel="0" collapsed="false">
      <c r="R977" s="9" t="str">
        <f aca="false">IF($D977="","",IF($F977&lt;&gt;"","N",IF($J977&lt;&gt;"","C","")))</f>
        <v/>
      </c>
      <c r="S977" s="9" t="str">
        <f aca="false">IF($R977="","",$A977&amp;"|"&amp;$R977&amp;"|"&amp;$D977)</f>
        <v/>
      </c>
    </row>
    <row r="978" customFormat="false" ht="15" hidden="false" customHeight="false" outlineLevel="0" collapsed="false">
      <c r="R978" s="9" t="str">
        <f aca="false">IF($D978="","",IF($F978&lt;&gt;"","N",IF($J978&lt;&gt;"","C","")))</f>
        <v/>
      </c>
      <c r="S978" s="9" t="str">
        <f aca="false">IF($R978="","",$A978&amp;"|"&amp;$R978&amp;"|"&amp;$D978)</f>
        <v/>
      </c>
    </row>
    <row r="979" customFormat="false" ht="15" hidden="false" customHeight="false" outlineLevel="0" collapsed="false">
      <c r="R979" s="9" t="str">
        <f aca="false">IF($D979="","",IF($F979&lt;&gt;"","N",IF($J979&lt;&gt;"","C","")))</f>
        <v/>
      </c>
      <c r="S979" s="9" t="str">
        <f aca="false">IF($R979="","",$A979&amp;"|"&amp;$R979&amp;"|"&amp;$D979)</f>
        <v/>
      </c>
    </row>
    <row r="980" customFormat="false" ht="15" hidden="false" customHeight="false" outlineLevel="0" collapsed="false">
      <c r="R980" s="9" t="str">
        <f aca="false">IF($D980="","",IF($F980&lt;&gt;"","N",IF($J980&lt;&gt;"","C","")))</f>
        <v/>
      </c>
      <c r="S980" s="9" t="str">
        <f aca="false">IF($R980="","",$A980&amp;"|"&amp;$R980&amp;"|"&amp;$D980)</f>
        <v/>
      </c>
    </row>
    <row r="981" customFormat="false" ht="15" hidden="false" customHeight="false" outlineLevel="0" collapsed="false">
      <c r="R981" s="9" t="str">
        <f aca="false">IF($D981="","",IF($F981&lt;&gt;"","N",IF($J981&lt;&gt;"","C","")))</f>
        <v/>
      </c>
      <c r="S981" s="9" t="str">
        <f aca="false">IF($R981="","",$A981&amp;"|"&amp;$R981&amp;"|"&amp;$D981)</f>
        <v/>
      </c>
    </row>
    <row r="982" customFormat="false" ht="15" hidden="false" customHeight="false" outlineLevel="0" collapsed="false">
      <c r="R982" s="9" t="str">
        <f aca="false">IF($D982="","",IF($F982&lt;&gt;"","N",IF($J982&lt;&gt;"","C","")))</f>
        <v/>
      </c>
      <c r="S982" s="9" t="str">
        <f aca="false">IF($R982="","",$A982&amp;"|"&amp;$R982&amp;"|"&amp;$D982)</f>
        <v/>
      </c>
    </row>
    <row r="983" customFormat="false" ht="15" hidden="false" customHeight="false" outlineLevel="0" collapsed="false">
      <c r="R983" s="9" t="str">
        <f aca="false">IF($D983="","",IF($F983&lt;&gt;"","N",IF($J983&lt;&gt;"","C","")))</f>
        <v/>
      </c>
      <c r="S983" s="9" t="str">
        <f aca="false">IF($R983="","",$A983&amp;"|"&amp;$R983&amp;"|"&amp;$D983)</f>
        <v/>
      </c>
    </row>
    <row r="984" customFormat="false" ht="15" hidden="false" customHeight="false" outlineLevel="0" collapsed="false">
      <c r="R984" s="9" t="str">
        <f aca="false">IF($D984="","",IF($F984&lt;&gt;"","N",IF($J984&lt;&gt;"","C","")))</f>
        <v/>
      </c>
      <c r="S984" s="9" t="str">
        <f aca="false">IF($R984="","",$A984&amp;"|"&amp;$R984&amp;"|"&amp;$D984)</f>
        <v/>
      </c>
    </row>
    <row r="985" customFormat="false" ht="15" hidden="false" customHeight="false" outlineLevel="0" collapsed="false">
      <c r="R985" s="9" t="str">
        <f aca="false">IF($D985="","",IF($F985&lt;&gt;"","N",IF($J985&lt;&gt;"","C","")))</f>
        <v/>
      </c>
      <c r="S985" s="9" t="str">
        <f aca="false">IF($R985="","",$A985&amp;"|"&amp;$R985&amp;"|"&amp;$D985)</f>
        <v/>
      </c>
    </row>
    <row r="986" customFormat="false" ht="15" hidden="false" customHeight="false" outlineLevel="0" collapsed="false">
      <c r="R986" s="9" t="str">
        <f aca="false">IF($D986="","",IF($F986&lt;&gt;"","N",IF($J986&lt;&gt;"","C","")))</f>
        <v/>
      </c>
      <c r="S986" s="9" t="str">
        <f aca="false">IF($R986="","",$A986&amp;"|"&amp;$R986&amp;"|"&amp;$D986)</f>
        <v/>
      </c>
    </row>
    <row r="987" customFormat="false" ht="15" hidden="false" customHeight="false" outlineLevel="0" collapsed="false">
      <c r="R987" s="9" t="str">
        <f aca="false">IF($D987="","",IF($F987&lt;&gt;"","N",IF($J987&lt;&gt;"","C","")))</f>
        <v/>
      </c>
      <c r="S987" s="9" t="str">
        <f aca="false">IF($R987="","",$A987&amp;"|"&amp;$R987&amp;"|"&amp;$D987)</f>
        <v/>
      </c>
    </row>
    <row r="988" customFormat="false" ht="15" hidden="false" customHeight="false" outlineLevel="0" collapsed="false">
      <c r="R988" s="9" t="str">
        <f aca="false">IF($D988="","",IF($F988&lt;&gt;"","N",IF($J988&lt;&gt;"","C","")))</f>
        <v/>
      </c>
      <c r="S988" s="9" t="str">
        <f aca="false">IF($R988="","",$A988&amp;"|"&amp;$R988&amp;"|"&amp;$D988)</f>
        <v/>
      </c>
    </row>
    <row r="989" customFormat="false" ht="15" hidden="false" customHeight="false" outlineLevel="0" collapsed="false">
      <c r="R989" s="9" t="str">
        <f aca="false">IF($D989="","",IF($F989&lt;&gt;"","N",IF($J989&lt;&gt;"","C","")))</f>
        <v/>
      </c>
      <c r="S989" s="9" t="str">
        <f aca="false">IF($R989="","",$A989&amp;"|"&amp;$R989&amp;"|"&amp;$D989)</f>
        <v/>
      </c>
    </row>
    <row r="990" customFormat="false" ht="15" hidden="false" customHeight="false" outlineLevel="0" collapsed="false">
      <c r="R990" s="9" t="str">
        <f aca="false">IF($D990="","",IF($F990&lt;&gt;"","N",IF($J990&lt;&gt;"","C","")))</f>
        <v/>
      </c>
      <c r="S990" s="9" t="str">
        <f aca="false">IF($R990="","",$A990&amp;"|"&amp;$R990&amp;"|"&amp;$D990)</f>
        <v/>
      </c>
    </row>
    <row r="991" customFormat="false" ht="15" hidden="false" customHeight="false" outlineLevel="0" collapsed="false">
      <c r="R991" s="9" t="str">
        <f aca="false">IF($D991="","",IF($F991&lt;&gt;"","N",IF($J991&lt;&gt;"","C","")))</f>
        <v/>
      </c>
      <c r="S991" s="9" t="str">
        <f aca="false">IF($R991="","",$A991&amp;"|"&amp;$R991&amp;"|"&amp;$D991)</f>
        <v/>
      </c>
    </row>
    <row r="992" customFormat="false" ht="15" hidden="false" customHeight="false" outlineLevel="0" collapsed="false">
      <c r="R992" s="9" t="str">
        <f aca="false">IF($D992="","",IF($F992&lt;&gt;"","N",IF($J992&lt;&gt;"","C","")))</f>
        <v/>
      </c>
      <c r="S992" s="9" t="str">
        <f aca="false">IF($R992="","",$A992&amp;"|"&amp;$R992&amp;"|"&amp;$D992)</f>
        <v/>
      </c>
    </row>
    <row r="993" customFormat="false" ht="15" hidden="false" customHeight="false" outlineLevel="0" collapsed="false">
      <c r="R993" s="9" t="str">
        <f aca="false">IF($D993="","",IF($F993&lt;&gt;"","N",IF($J993&lt;&gt;"","C","")))</f>
        <v/>
      </c>
      <c r="S993" s="9" t="str">
        <f aca="false">IF($R993="","",$A993&amp;"|"&amp;$R993&amp;"|"&amp;$D993)</f>
        <v/>
      </c>
    </row>
    <row r="994" customFormat="false" ht="15" hidden="false" customHeight="false" outlineLevel="0" collapsed="false">
      <c r="R994" s="9" t="str">
        <f aca="false">IF($D994="","",IF($F994&lt;&gt;"","N",IF($J994&lt;&gt;"","C","")))</f>
        <v/>
      </c>
      <c r="S994" s="9" t="str">
        <f aca="false">IF($R994="","",$A994&amp;"|"&amp;$R994&amp;"|"&amp;$D994)</f>
        <v/>
      </c>
    </row>
    <row r="995" customFormat="false" ht="15" hidden="false" customHeight="false" outlineLevel="0" collapsed="false">
      <c r="R995" s="9" t="str">
        <f aca="false">IF($D995="","",IF($F995&lt;&gt;"","N",IF($J995&lt;&gt;"","C","")))</f>
        <v/>
      </c>
      <c r="S995" s="9" t="str">
        <f aca="false">IF($R995="","",$A995&amp;"|"&amp;$R995&amp;"|"&amp;$D995)</f>
        <v/>
      </c>
    </row>
    <row r="996" customFormat="false" ht="15" hidden="false" customHeight="false" outlineLevel="0" collapsed="false">
      <c r="R996" s="9" t="str">
        <f aca="false">IF($D996="","",IF($F996&lt;&gt;"","N",IF($J996&lt;&gt;"","C","")))</f>
        <v/>
      </c>
      <c r="S996" s="9" t="str">
        <f aca="false">IF($R996="","",$A996&amp;"|"&amp;$R996&amp;"|"&amp;$D996)</f>
        <v/>
      </c>
    </row>
    <row r="997" customFormat="false" ht="15" hidden="false" customHeight="false" outlineLevel="0" collapsed="false">
      <c r="R997" s="9" t="str">
        <f aca="false">IF($D997="","",IF($F997&lt;&gt;"","N",IF($J997&lt;&gt;"","C","")))</f>
        <v/>
      </c>
      <c r="S997" s="9" t="str">
        <f aca="false">IF($R997="","",$A997&amp;"|"&amp;$R997&amp;"|"&amp;$D997)</f>
        <v/>
      </c>
    </row>
    <row r="998" customFormat="false" ht="15" hidden="false" customHeight="false" outlineLevel="0" collapsed="false">
      <c r="R998" s="9" t="str">
        <f aca="false">IF($D998="","",IF($F998&lt;&gt;"","N",IF($J998&lt;&gt;"","C","")))</f>
        <v/>
      </c>
      <c r="S998" s="9" t="str">
        <f aca="false">IF($R998="","",$A998&amp;"|"&amp;$R998&amp;"|"&amp;$D998)</f>
        <v/>
      </c>
    </row>
    <row r="999" customFormat="false" ht="15" hidden="false" customHeight="false" outlineLevel="0" collapsed="false">
      <c r="R999" s="9" t="str">
        <f aca="false">IF($D999="","",IF($F999&lt;&gt;"","N",IF($J999&lt;&gt;"","C","")))</f>
        <v/>
      </c>
      <c r="S999" s="9" t="str">
        <f aca="false">IF($R999="","",$A999&amp;"|"&amp;$R999&amp;"|"&amp;$D999)</f>
        <v/>
      </c>
    </row>
    <row r="1000" customFormat="false" ht="15" hidden="false" customHeight="false" outlineLevel="0" collapsed="false">
      <c r="R1000" s="9" t="str">
        <f aca="false">IF($D1000="","",IF($F1000&lt;&gt;"","N",IF($J1000&lt;&gt;"","C","")))</f>
        <v/>
      </c>
      <c r="S1000" s="9" t="str">
        <f aca="false">IF($R1000="","",$A1000&amp;"|"&amp;$R1000&amp;"|"&amp;$D1000)</f>
        <v/>
      </c>
    </row>
    <row r="1001" customFormat="false" ht="15" hidden="false" customHeight="false" outlineLevel="0" collapsed="false">
      <c r="R1001" s="9" t="str">
        <f aca="false">IF($D1001="","",IF($F1001&lt;&gt;"","N",IF($J1001&lt;&gt;"","C","")))</f>
        <v/>
      </c>
      <c r="S1001" s="9" t="str">
        <f aca="false">IF($R1001="","",$A1001&amp;"|"&amp;$R1001&amp;"|"&amp;$D1001)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4" min="3" style="0" width="13"/>
    <col collapsed="false" customWidth="true" hidden="false" outlineLevel="0" max="6" min="5" style="0" width="10"/>
    <col collapsed="false" customWidth="true" hidden="false" outlineLevel="0" max="7" min="7" style="0" width="34"/>
    <col collapsed="false" customWidth="true" hidden="false" outlineLevel="0" max="9" min="8" style="0" width="9"/>
  </cols>
  <sheetData>
    <row r="1" customFormat="false" ht="17.35" hidden="false" customHeight="false" outlineLevel="0" collapsed="false">
      <c r="A1" s="1" t="s">
        <v>258</v>
      </c>
    </row>
    <row r="2" customFormat="false" ht="15" hidden="false" customHeight="false" outlineLevel="0" collapsed="false">
      <c r="A2" s="5" t="s">
        <v>259</v>
      </c>
    </row>
    <row r="4" customFormat="false" ht="15" hidden="false" customHeight="false" outlineLevel="0" collapsed="false">
      <c r="A4" s="10" t="s">
        <v>260</v>
      </c>
    </row>
    <row r="5" customFormat="false" ht="15" hidden="false" customHeight="false" outlineLevel="0" collapsed="false">
      <c r="A5" s="8" t="s">
        <v>261</v>
      </c>
      <c r="B5" s="11" t="s">
        <v>262</v>
      </c>
    </row>
    <row r="6" customFormat="false" ht="15" hidden="false" customHeight="false" outlineLevel="0" collapsed="false">
      <c r="A6" s="8" t="s">
        <v>263</v>
      </c>
      <c r="B6" s="11" t="s">
        <v>264</v>
      </c>
    </row>
    <row r="7" customFormat="false" ht="15" hidden="false" customHeight="false" outlineLevel="0" collapsed="false">
      <c r="A7" s="8" t="s">
        <v>265</v>
      </c>
      <c r="B7" s="11"/>
    </row>
    <row r="9" customFormat="false" ht="15" hidden="false" customHeight="false" outlineLevel="0" collapsed="false">
      <c r="A9" s="10" t="s">
        <v>266</v>
      </c>
    </row>
    <row r="10" customFormat="false" ht="15" hidden="false" customHeight="false" outlineLevel="0" collapsed="false">
      <c r="A10" s="8" t="s">
        <v>267</v>
      </c>
      <c r="B10" s="11" t="s">
        <v>268</v>
      </c>
      <c r="G10" s="5" t="s">
        <v>269</v>
      </c>
    </row>
    <row r="11" customFormat="false" ht="15" hidden="false" customHeight="false" outlineLevel="0" collapsed="false">
      <c r="A11" s="8" t="s">
        <v>270</v>
      </c>
      <c r="B11" s="11" t="s">
        <v>268</v>
      </c>
      <c r="G11" s="5" t="s">
        <v>271</v>
      </c>
    </row>
    <row r="12" customFormat="false" ht="15" hidden="false" customHeight="false" outlineLevel="0" collapsed="false">
      <c r="A12" s="8" t="s">
        <v>272</v>
      </c>
      <c r="B12" s="11" t="s">
        <v>268</v>
      </c>
      <c r="G12" s="5" t="s">
        <v>271</v>
      </c>
    </row>
    <row r="13" customFormat="false" ht="15" hidden="false" customHeight="false" outlineLevel="0" collapsed="false">
      <c r="A13" s="8" t="s">
        <v>273</v>
      </c>
      <c r="B13" s="11" t="s">
        <v>33</v>
      </c>
      <c r="G13" s="5" t="s">
        <v>274</v>
      </c>
    </row>
    <row r="14" customFormat="false" ht="15" hidden="false" customHeight="false" outlineLevel="0" collapsed="false">
      <c r="A14" s="8" t="s">
        <v>275</v>
      </c>
      <c r="B14" s="11"/>
      <c r="G14" s="5" t="s">
        <v>276</v>
      </c>
    </row>
    <row r="15" customFormat="false" ht="15" hidden="false" customHeight="false" outlineLevel="0" collapsed="false">
      <c r="A15" s="8" t="s">
        <v>277</v>
      </c>
      <c r="B15" s="12" t="n">
        <v>0.05</v>
      </c>
      <c r="G15" s="5" t="s">
        <v>278</v>
      </c>
    </row>
    <row r="16" customFormat="false" ht="15" hidden="false" customHeight="false" outlineLevel="0" collapsed="false">
      <c r="A16" s="8" t="s">
        <v>279</v>
      </c>
      <c r="B16" s="13"/>
      <c r="G16" s="5" t="s">
        <v>280</v>
      </c>
    </row>
    <row r="17" customFormat="false" ht="15" hidden="false" customHeight="false" outlineLevel="0" collapsed="false">
      <c r="A17" s="8" t="s">
        <v>281</v>
      </c>
      <c r="B17" s="13"/>
      <c r="G17" s="5" t="s">
        <v>282</v>
      </c>
    </row>
    <row r="19" customFormat="false" ht="15" hidden="false" customHeight="false" outlineLevel="0" collapsed="false">
      <c r="A19" s="10" t="s">
        <v>283</v>
      </c>
    </row>
    <row r="20" customFormat="false" ht="15" hidden="false" customHeight="false" outlineLevel="0" collapsed="false">
      <c r="A20" s="8" t="s">
        <v>284</v>
      </c>
      <c r="B20" s="11" t="n">
        <v>0.5</v>
      </c>
      <c r="G20" s="5" t="s">
        <v>285</v>
      </c>
    </row>
    <row r="21" customFormat="false" ht="15" hidden="false" customHeight="false" outlineLevel="0" collapsed="false">
      <c r="A21" s="8" t="s">
        <v>286</v>
      </c>
      <c r="B21" s="11"/>
      <c r="G21" s="5" t="s">
        <v>287</v>
      </c>
    </row>
    <row r="22" customFormat="false" ht="15" hidden="false" customHeight="false" outlineLevel="0" collapsed="false">
      <c r="A22" s="8" t="s">
        <v>288</v>
      </c>
      <c r="B22" s="11"/>
      <c r="G22" s="5" t="s">
        <v>287</v>
      </c>
    </row>
    <row r="23" customFormat="false" ht="15" hidden="false" customHeight="false" outlineLevel="0" collapsed="false">
      <c r="A23" s="8" t="s">
        <v>289</v>
      </c>
      <c r="B23" s="11"/>
      <c r="G23" s="5" t="s">
        <v>290</v>
      </c>
    </row>
    <row r="24" customFormat="false" ht="15" hidden="false" customHeight="false" outlineLevel="0" collapsed="false">
      <c r="A24" s="8" t="s">
        <v>291</v>
      </c>
      <c r="B24" s="11"/>
      <c r="G24" s="5" t="s">
        <v>290</v>
      </c>
    </row>
    <row r="25" customFormat="false" ht="15" hidden="false" customHeight="false" outlineLevel="0" collapsed="false">
      <c r="A25" s="8" t="s">
        <v>292</v>
      </c>
      <c r="B25" s="11" t="n">
        <v>3</v>
      </c>
      <c r="G25" s="5" t="s">
        <v>293</v>
      </c>
    </row>
    <row r="26" customFormat="false" ht="15" hidden="false" customHeight="false" outlineLevel="0" collapsed="false">
      <c r="A26" s="8" t="s">
        <v>294</v>
      </c>
      <c r="B26" s="12" t="n">
        <v>0.1</v>
      </c>
      <c r="G26" s="5" t="s">
        <v>295</v>
      </c>
    </row>
    <row r="27" customFormat="false" ht="15" hidden="false" customHeight="false" outlineLevel="0" collapsed="false">
      <c r="A27" s="8" t="s">
        <v>296</v>
      </c>
      <c r="B27" s="11" t="n">
        <v>4</v>
      </c>
      <c r="G27" s="5" t="s">
        <v>297</v>
      </c>
    </row>
    <row r="28" customFormat="false" ht="15" hidden="false" customHeight="false" outlineLevel="0" collapsed="false">
      <c r="A28" s="8" t="s">
        <v>298</v>
      </c>
      <c r="B28" s="14" t="n">
        <v>2</v>
      </c>
      <c r="G28" s="5" t="s">
        <v>299</v>
      </c>
    </row>
    <row r="29" customFormat="false" ht="15" hidden="false" customHeight="false" outlineLevel="0" collapsed="false">
      <c r="A29" s="10" t="s">
        <v>25</v>
      </c>
    </row>
    <row r="30" customFormat="false" ht="15" hidden="false" customHeight="false" outlineLevel="0" collapsed="false">
      <c r="A30" s="8" t="s">
        <v>300</v>
      </c>
      <c r="B30" s="15"/>
      <c r="G30" s="5" t="s">
        <v>301</v>
      </c>
    </row>
    <row r="31" customFormat="false" ht="15" hidden="false" customHeight="false" outlineLevel="0" collapsed="false">
      <c r="A31" s="8" t="s">
        <v>302</v>
      </c>
      <c r="B31" s="15"/>
      <c r="G31" s="5"/>
    </row>
    <row r="32" customFormat="false" ht="15" hidden="false" customHeight="false" outlineLevel="0" collapsed="false">
      <c r="A32" s="8" t="s">
        <v>303</v>
      </c>
      <c r="B32" s="14" t="n">
        <v>2</v>
      </c>
      <c r="G32" s="5" t="s">
        <v>304</v>
      </c>
    </row>
    <row r="34" customFormat="false" ht="15" hidden="false" customHeight="false" outlineLevel="0" collapsed="false">
      <c r="A34" s="10" t="s">
        <v>305</v>
      </c>
    </row>
    <row r="35" customFormat="false" ht="15" hidden="false" customHeight="false" outlineLevel="0" collapsed="false">
      <c r="A35" s="5" t="s">
        <v>306</v>
      </c>
    </row>
    <row r="36" customFormat="false" ht="15" hidden="false" customHeight="false" outlineLevel="0" collapsed="false">
      <c r="A36" s="6" t="s">
        <v>307</v>
      </c>
      <c r="B36" s="6" t="s">
        <v>308</v>
      </c>
      <c r="C36" s="6" t="s">
        <v>309</v>
      </c>
      <c r="D36" s="6" t="s">
        <v>310</v>
      </c>
      <c r="E36" s="6" t="s">
        <v>311</v>
      </c>
      <c r="F36" s="6" t="s">
        <v>312</v>
      </c>
      <c r="G36" s="6" t="s">
        <v>313</v>
      </c>
      <c r="H36" s="6" t="s">
        <v>314</v>
      </c>
      <c r="I36" s="6" t="s">
        <v>315</v>
      </c>
    </row>
    <row r="37" customFormat="false" ht="15" hidden="false" customHeight="false" outlineLevel="0" collapsed="false">
      <c r="A37" s="11" t="s">
        <v>205</v>
      </c>
      <c r="B37" s="11" t="s">
        <v>316</v>
      </c>
      <c r="C37" s="12" t="n">
        <v>-40.81</v>
      </c>
      <c r="D37" s="12" t="n">
        <v>1.76</v>
      </c>
      <c r="E37" s="12" t="n">
        <v>32</v>
      </c>
      <c r="F37" s="12" t="n">
        <v>18.66</v>
      </c>
      <c r="G37" s="11" t="s">
        <v>317</v>
      </c>
      <c r="H37" s="12" t="n">
        <v>0.04</v>
      </c>
      <c r="I37" s="12" t="n">
        <v>0.06</v>
      </c>
    </row>
    <row r="38" customFormat="false" ht="15" hidden="false" customHeight="false" outlineLevel="0" collapsed="false">
      <c r="A38" s="11" t="s">
        <v>189</v>
      </c>
      <c r="B38" s="11" t="s">
        <v>316</v>
      </c>
      <c r="C38" s="12" t="n">
        <v>-20.29</v>
      </c>
      <c r="D38" s="12" t="n">
        <v>20.68</v>
      </c>
      <c r="E38" s="12" t="n">
        <v>32</v>
      </c>
      <c r="F38" s="12" t="n">
        <v>18.66</v>
      </c>
      <c r="G38" s="11" t="s">
        <v>317</v>
      </c>
      <c r="H38" s="12" t="n">
        <v>0.04</v>
      </c>
      <c r="I38" s="12" t="n">
        <v>0.06</v>
      </c>
    </row>
    <row r="39" customFormat="false" ht="15" hidden="false" customHeight="false" outlineLevel="0" collapsed="false">
      <c r="A39" s="11" t="s">
        <v>318</v>
      </c>
      <c r="B39" s="11" t="s">
        <v>319</v>
      </c>
      <c r="C39" s="12" t="n">
        <v>-0.67</v>
      </c>
      <c r="D39" s="12" t="n">
        <v>40.83</v>
      </c>
      <c r="E39" s="12" t="n">
        <v>32</v>
      </c>
      <c r="F39" s="12" t="n">
        <v>18.66</v>
      </c>
      <c r="G39" s="11" t="s">
        <v>317</v>
      </c>
      <c r="H39" s="12" t="n">
        <v>0.04</v>
      </c>
      <c r="I39" s="12" t="n">
        <v>0.06</v>
      </c>
    </row>
    <row r="40" customFormat="false" ht="15" hidden="false" customHeight="false" outlineLevel="0" collapsed="false">
      <c r="A40" s="11" t="s">
        <v>320</v>
      </c>
      <c r="B40" s="11" t="s">
        <v>319</v>
      </c>
      <c r="C40" s="12" t="n">
        <v>-26.39</v>
      </c>
      <c r="D40" s="12" t="n">
        <v>-4.52</v>
      </c>
      <c r="E40" s="12" t="n">
        <v>40.82</v>
      </c>
      <c r="F40" s="12" t="n">
        <v>9.52</v>
      </c>
      <c r="G40" s="11" t="s">
        <v>321</v>
      </c>
      <c r="H40" s="12"/>
      <c r="I40" s="12"/>
    </row>
    <row r="41" customFormat="false" ht="15" hidden="false" customHeight="false" outlineLevel="0" collapsed="false">
      <c r="A41" s="11" t="s">
        <v>322</v>
      </c>
      <c r="B41" s="11" t="s">
        <v>319</v>
      </c>
      <c r="C41" s="12" t="n">
        <v>36.55</v>
      </c>
      <c r="D41" s="12" t="n">
        <v>47.55</v>
      </c>
      <c r="E41" s="12" t="n">
        <v>40.82</v>
      </c>
      <c r="F41" s="12" t="n">
        <v>9.52</v>
      </c>
      <c r="G41" s="11" t="s">
        <v>321</v>
      </c>
      <c r="H41" s="12"/>
      <c r="I41" s="12"/>
    </row>
    <row r="42" customFormat="false" ht="15" hidden="false" customHeight="false" outlineLevel="0" collapsed="false">
      <c r="A42" s="11" t="s">
        <v>323</v>
      </c>
      <c r="B42" s="11" t="s">
        <v>324</v>
      </c>
      <c r="C42" s="12"/>
      <c r="D42" s="12"/>
      <c r="E42" s="12" t="n">
        <v>71.09</v>
      </c>
      <c r="F42" s="12" t="n">
        <v>10.36</v>
      </c>
      <c r="G42" s="11" t="s">
        <v>325</v>
      </c>
      <c r="H42" s="12"/>
      <c r="I42" s="12"/>
    </row>
    <row r="43" customFormat="false" ht="15" hidden="false" customHeight="false" outlineLevel="0" collapsed="false">
      <c r="A43" s="11" t="s">
        <v>326</v>
      </c>
      <c r="B43" s="11" t="s">
        <v>327</v>
      </c>
      <c r="C43" s="12"/>
      <c r="D43" s="12"/>
      <c r="E43" s="12" t="n">
        <v>71.09</v>
      </c>
      <c r="F43" s="12" t="n">
        <v>10.36</v>
      </c>
      <c r="G43" s="11" t="s">
        <v>328</v>
      </c>
      <c r="H43" s="12"/>
      <c r="I43" s="12"/>
    </row>
    <row r="44" customFormat="false" ht="15" hidden="false" customHeight="false" outlineLevel="0" collapsed="false">
      <c r="A44" s="11" t="s">
        <v>181</v>
      </c>
      <c r="B44" s="11" t="s">
        <v>329</v>
      </c>
      <c r="C44" s="12"/>
      <c r="D44" s="12"/>
      <c r="E44" s="12" t="n">
        <v>71.09</v>
      </c>
      <c r="F44" s="12" t="n">
        <v>10.36</v>
      </c>
      <c r="G44" s="11" t="s">
        <v>330</v>
      </c>
      <c r="H44" s="12"/>
      <c r="I44" s="12"/>
    </row>
    <row r="45" customFormat="false" ht="15" hidden="false" customHeight="false" outlineLevel="0" collapsed="false">
      <c r="A45" s="11" t="s">
        <v>243</v>
      </c>
      <c r="B45" s="11" t="s">
        <v>331</v>
      </c>
      <c r="C45" s="12"/>
      <c r="D45" s="12"/>
      <c r="E45" s="12"/>
      <c r="F45" s="12"/>
      <c r="G45" s="11" t="s">
        <v>332</v>
      </c>
      <c r="H45" s="12"/>
      <c r="I45" s="12"/>
    </row>
    <row r="46" customFormat="false" ht="15" hidden="false" customHeight="false" outlineLevel="0" collapsed="false">
      <c r="A46" s="11" t="s">
        <v>255</v>
      </c>
      <c r="B46" s="11" t="s">
        <v>329</v>
      </c>
      <c r="C46" s="12"/>
      <c r="D46" s="12"/>
      <c r="E46" s="12"/>
      <c r="F46" s="12"/>
      <c r="G46" s="11" t="s">
        <v>333</v>
      </c>
      <c r="H46" s="12"/>
      <c r="I46" s="12"/>
    </row>
    <row r="47" customFormat="false" ht="15" hidden="false" customHeight="false" outlineLevel="0" collapsed="false">
      <c r="A47" s="11"/>
      <c r="B47" s="11"/>
      <c r="C47" s="12"/>
      <c r="D47" s="12"/>
      <c r="E47" s="12"/>
      <c r="F47" s="12"/>
      <c r="G47" s="11"/>
      <c r="H47" s="12"/>
      <c r="I47" s="12"/>
    </row>
    <row r="48" customFormat="false" ht="15" hidden="false" customHeight="false" outlineLevel="0" collapsed="false">
      <c r="A48" s="11"/>
      <c r="B48" s="11"/>
      <c r="C48" s="12"/>
      <c r="D48" s="12"/>
      <c r="E48" s="12"/>
      <c r="F48" s="12"/>
      <c r="G48" s="11"/>
      <c r="H48" s="12"/>
      <c r="I48" s="12"/>
    </row>
    <row r="49" customFormat="false" ht="15" hidden="false" customHeight="false" outlineLevel="0" collapsed="false">
      <c r="A49" s="11"/>
      <c r="B49" s="11"/>
      <c r="C49" s="12"/>
      <c r="D49" s="12"/>
      <c r="E49" s="12"/>
      <c r="F49" s="12"/>
      <c r="G49" s="11"/>
      <c r="H49" s="12"/>
      <c r="I49" s="12"/>
    </row>
    <row r="51" customFormat="false" ht="15" hidden="false" customHeight="false" outlineLevel="0" collapsed="false">
      <c r="A51" s="10" t="s">
        <v>334</v>
      </c>
    </row>
    <row r="52" customFormat="false" ht="15" hidden="false" customHeight="false" outlineLevel="0" collapsed="false">
      <c r="A52" s="8" t="s">
        <v>335</v>
      </c>
      <c r="B52" s="16" t="n">
        <v>12.011</v>
      </c>
      <c r="G52" s="5" t="s">
        <v>336</v>
      </c>
    </row>
    <row r="53" customFormat="false" ht="15" hidden="false" customHeight="false" outlineLevel="0" collapsed="false">
      <c r="A53" s="8" t="s">
        <v>337</v>
      </c>
      <c r="B53" s="16" t="n">
        <v>14.007</v>
      </c>
      <c r="G53" s="5" t="s">
        <v>336</v>
      </c>
    </row>
  </sheetData>
  <dataValidations count="3">
    <dataValidation allowBlank="false" errorStyle="stop" operator="between" showDropDown="false" showErrorMessage="false" showInputMessage="false" sqref="B10:B12" type="list">
      <formula1>"On,Off,Auto"</formula1>
      <formula2>0</formula2>
    </dataValidation>
    <dataValidation allowBlank="false" errorStyle="stop" operator="between" showDropDown="false" showErrorMessage="false" showInputMessage="false" sqref="B13" type="list">
      <formula1>"Auto,Row,Background"</formula1>
      <formula2>0</formula2>
    </dataValidation>
    <dataValidation allowBlank="true" errorStyle="stop" operator="between" showDropDown="false" showErrorMessage="false" showInputMessage="false" sqref="B37:B49" type="list">
      <formula1>"Anchor,Check,Drift,Linearity,Blank,Exclude,Sample"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R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7"/>
    <col collapsed="false" customWidth="true" hidden="false" outlineLevel="0" max="4" min="4" style="0" width="10"/>
    <col collapsed="false" customWidth="true" hidden="false" outlineLevel="0" max="7" min="5" style="0" width="11"/>
    <col collapsed="false" customWidth="true" hidden="false" outlineLevel="0" max="8" min="8" style="0" width="7"/>
    <col collapsed="false" customWidth="true" hidden="false" outlineLevel="0" max="9" min="9" style="0" width="9"/>
    <col collapsed="false" customWidth="true" hidden="false" outlineLevel="0" max="10" min="10" style="0" width="7"/>
    <col collapsed="false" customWidth="true" hidden="false" outlineLevel="0" max="14" min="11" style="0" width="9"/>
    <col collapsed="false" customWidth="true" hidden="false" outlineLevel="0" max="15" min="15" style="0" width="10"/>
    <col collapsed="false" customWidth="true" hidden="false" outlineLevel="0" max="17" min="16" style="0" width="9"/>
    <col collapsed="false" customWidth="true" hidden="false" outlineLevel="0" max="18" min="18" style="0" width="10"/>
    <col collapsed="false" customWidth="true" hidden="false" outlineLevel="0" max="20" min="19" style="0" width="11"/>
    <col collapsed="false" customWidth="true" hidden="false" outlineLevel="0" max="22" min="21" style="0" width="10"/>
    <col collapsed="false" customWidth="true" hidden="false" outlineLevel="0" max="23" min="23" style="0" width="12"/>
    <col collapsed="false" customWidth="true" hidden="false" outlineLevel="0" max="24" min="24" style="0" width="13"/>
    <col collapsed="false" customWidth="true" hidden="false" outlineLevel="0" max="25" min="25" style="0" width="10"/>
    <col collapsed="false" customWidth="true" hidden="false" outlineLevel="0" max="28" min="26" style="0" width="12"/>
    <col collapsed="false" customWidth="true" hidden="false" outlineLevel="0" max="29" min="29" style="0" width="13"/>
    <col collapsed="false" customWidth="true" hidden="false" outlineLevel="0" max="30" min="30" style="0" width="10"/>
    <col collapsed="false" customWidth="true" hidden="false" outlineLevel="0" max="32" min="31" style="0" width="12"/>
    <col collapsed="false" customWidth="true" hidden="false" outlineLevel="0" max="34" min="33" style="0" width="9"/>
    <col collapsed="false" customWidth="true" hidden="false" outlineLevel="0" max="36" min="35" style="0" width="8"/>
    <col collapsed="false" customWidth="true" hidden="false" outlineLevel="0" max="38" min="37" style="0" width="10"/>
    <col collapsed="false" customWidth="true" hidden="false" outlineLevel="0" max="42" min="39" style="0" width="8"/>
    <col collapsed="false" customWidth="true" hidden="false" outlineLevel="0" max="46" min="43" style="0" width="9"/>
    <col collapsed="false" customWidth="true" hidden="false" outlineLevel="0" max="50" min="47" style="0" width="8"/>
    <col collapsed="false" customWidth="true" hidden="false" outlineLevel="0" max="58" min="51" style="0" width="9"/>
    <col collapsed="false" customWidth="true" hidden="false" outlineLevel="0" max="62" min="59" style="0" width="10"/>
    <col collapsed="false" customWidth="true" hidden="false" outlineLevel="0" max="70" min="63" style="0" width="9"/>
    <col collapsed="false" customWidth="true" hidden="false" outlineLevel="0" max="71" min="71" style="0" width="8"/>
    <col collapsed="false" customWidth="true" hidden="false" outlineLevel="0" max="72" min="72" style="0" width="10"/>
    <col collapsed="false" customWidth="true" hidden="false" outlineLevel="0" max="74" min="73" style="0" width="8"/>
    <col collapsed="false" customWidth="true" hidden="false" outlineLevel="0" max="75" min="75" style="0" width="10"/>
    <col collapsed="false" customWidth="true" hidden="false" outlineLevel="0" max="77" min="76" style="0" width="6"/>
    <col collapsed="false" customWidth="true" hidden="false" outlineLevel="0" max="81" min="78" style="0" width="9"/>
    <col collapsed="false" customWidth="true" hidden="false" outlineLevel="0" max="82" min="82" style="0" width="7"/>
    <col collapsed="false" customWidth="true" hidden="false" outlineLevel="0" max="85" min="83" style="0" width="9"/>
    <col collapsed="false" customWidth="true" hidden="false" outlineLevel="0" max="86" min="86" style="0" width="7"/>
    <col collapsed="false" customWidth="true" hidden="false" outlineLevel="0" max="93" min="87" style="0" width="9"/>
    <col collapsed="false" customWidth="true" hidden="false" outlineLevel="0" max="94" min="94" style="0" width="8"/>
    <col collapsed="false" customWidth="true" hidden="false" outlineLevel="0" max="148" min="95" style="0" width="7"/>
  </cols>
  <sheetData>
    <row r="1" customFormat="false" ht="17.35" hidden="false" customHeight="false" outlineLevel="0" collapsed="false">
      <c r="A1" s="1" t="s">
        <v>338</v>
      </c>
    </row>
    <row r="2" customFormat="false" ht="15" hidden="false" customHeight="false" outlineLevel="0" collapsed="false">
      <c r="A2" s="5" t="s">
        <v>339</v>
      </c>
    </row>
    <row r="4" customFormat="false" ht="15" hidden="false" customHeight="false" outlineLevel="0" collapsed="false">
      <c r="A4" s="17" t="s">
        <v>340</v>
      </c>
      <c r="E4" s="17" t="s">
        <v>341</v>
      </c>
      <c r="H4" s="17" t="s">
        <v>342</v>
      </c>
      <c r="L4" s="17" t="s">
        <v>343</v>
      </c>
      <c r="S4" s="17" t="s">
        <v>344</v>
      </c>
      <c r="W4" s="17" t="s">
        <v>345</v>
      </c>
      <c r="AB4" s="17" t="s">
        <v>346</v>
      </c>
      <c r="AG4" s="17" t="s">
        <v>347</v>
      </c>
      <c r="AM4" s="17" t="s">
        <v>348</v>
      </c>
      <c r="BI4" s="17" t="s">
        <v>349</v>
      </c>
      <c r="BK4" s="17" t="s">
        <v>348</v>
      </c>
      <c r="BS4" s="17" t="s">
        <v>350</v>
      </c>
      <c r="BX4" s="17" t="s">
        <v>348</v>
      </c>
      <c r="CL4" s="17" t="s">
        <v>351</v>
      </c>
      <c r="CP4" s="17" t="s">
        <v>348</v>
      </c>
      <c r="DF4" s="17" t="s">
        <v>352</v>
      </c>
      <c r="EI4" s="17" t="s">
        <v>353</v>
      </c>
    </row>
    <row r="5" customFormat="false" ht="32.8" hidden="false" customHeight="false" outlineLevel="0" collapsed="false">
      <c r="A5" s="6" t="s">
        <v>33</v>
      </c>
      <c r="B5" s="6" t="s">
        <v>354</v>
      </c>
      <c r="C5" s="6" t="s">
        <v>355</v>
      </c>
      <c r="D5" s="6" t="s">
        <v>356</v>
      </c>
      <c r="E5" s="6" t="s">
        <v>357</v>
      </c>
      <c r="F5" s="6" t="s">
        <v>358</v>
      </c>
      <c r="G5" s="6" t="s">
        <v>359</v>
      </c>
      <c r="H5" s="6" t="s">
        <v>360</v>
      </c>
      <c r="I5" s="6" t="s">
        <v>361</v>
      </c>
      <c r="J5" s="6" t="s">
        <v>362</v>
      </c>
      <c r="K5" s="6" t="s">
        <v>363</v>
      </c>
      <c r="L5" s="6" t="s">
        <v>40</v>
      </c>
      <c r="M5" s="6" t="s">
        <v>364</v>
      </c>
      <c r="N5" s="6" t="s">
        <v>39</v>
      </c>
      <c r="O5" s="6" t="s">
        <v>365</v>
      </c>
      <c r="P5" s="6" t="s">
        <v>43</v>
      </c>
      <c r="Q5" s="6" t="s">
        <v>366</v>
      </c>
      <c r="R5" s="6" t="s">
        <v>367</v>
      </c>
      <c r="S5" s="6" t="s">
        <v>310</v>
      </c>
      <c r="T5" s="6" t="s">
        <v>309</v>
      </c>
      <c r="U5" s="6" t="s">
        <v>368</v>
      </c>
      <c r="V5" s="6" t="s">
        <v>369</v>
      </c>
      <c r="W5" s="6" t="s">
        <v>370</v>
      </c>
      <c r="X5" s="6" t="s">
        <v>371</v>
      </c>
      <c r="Y5" s="6" t="s">
        <v>372</v>
      </c>
      <c r="Z5" s="6" t="s">
        <v>373</v>
      </c>
      <c r="AA5" s="6" t="s">
        <v>374</v>
      </c>
      <c r="AB5" s="6" t="s">
        <v>375</v>
      </c>
      <c r="AC5" s="6" t="s">
        <v>376</v>
      </c>
      <c r="AD5" s="6" t="s">
        <v>377</v>
      </c>
      <c r="AE5" s="6" t="s">
        <v>378</v>
      </c>
      <c r="AF5" s="6" t="s">
        <v>379</v>
      </c>
      <c r="AG5" s="6" t="s">
        <v>380</v>
      </c>
      <c r="AH5" s="6" t="s">
        <v>381</v>
      </c>
      <c r="AI5" s="6" t="s">
        <v>312</v>
      </c>
      <c r="AJ5" s="6" t="s">
        <v>311</v>
      </c>
      <c r="AK5" s="6" t="s">
        <v>382</v>
      </c>
      <c r="AL5" s="6" t="s">
        <v>383</v>
      </c>
      <c r="AM5" s="6" t="s">
        <v>384</v>
      </c>
      <c r="AN5" s="6" t="s">
        <v>385</v>
      </c>
      <c r="AO5" s="6" t="s">
        <v>386</v>
      </c>
      <c r="AP5" s="6" t="s">
        <v>387</v>
      </c>
      <c r="AQ5" s="6" t="s">
        <v>388</v>
      </c>
      <c r="AR5" s="6" t="s">
        <v>389</v>
      </c>
      <c r="AS5" s="6" t="s">
        <v>390</v>
      </c>
      <c r="AT5" s="6" t="s">
        <v>391</v>
      </c>
      <c r="AU5" s="6" t="s">
        <v>392</v>
      </c>
      <c r="AV5" s="6" t="s">
        <v>393</v>
      </c>
      <c r="AW5" s="6" t="s">
        <v>394</v>
      </c>
      <c r="AX5" s="6" t="s">
        <v>395</v>
      </c>
      <c r="AY5" s="6" t="s">
        <v>396</v>
      </c>
      <c r="AZ5" s="6" t="s">
        <v>397</v>
      </c>
      <c r="BA5" s="6" t="s">
        <v>398</v>
      </c>
      <c r="BB5" s="6" t="s">
        <v>399</v>
      </c>
      <c r="BC5" s="6" t="s">
        <v>400</v>
      </c>
      <c r="BD5" s="6" t="s">
        <v>401</v>
      </c>
      <c r="BE5" s="6" t="s">
        <v>402</v>
      </c>
      <c r="BF5" s="6" t="s">
        <v>403</v>
      </c>
      <c r="BG5" s="6" t="s">
        <v>404</v>
      </c>
      <c r="BH5" s="6" t="s">
        <v>405</v>
      </c>
      <c r="BI5" s="6" t="s">
        <v>406</v>
      </c>
      <c r="BJ5" s="6" t="s">
        <v>407</v>
      </c>
      <c r="BK5" s="6" t="s">
        <v>408</v>
      </c>
      <c r="BL5" s="6" t="s">
        <v>409</v>
      </c>
      <c r="BM5" s="6" t="s">
        <v>410</v>
      </c>
      <c r="BN5" s="6" t="s">
        <v>411</v>
      </c>
      <c r="BO5" s="6" t="s">
        <v>412</v>
      </c>
      <c r="BP5" s="6" t="s">
        <v>413</v>
      </c>
      <c r="BQ5" s="6" t="s">
        <v>414</v>
      </c>
      <c r="BR5" s="6" t="s">
        <v>415</v>
      </c>
      <c r="BS5" s="6" t="s">
        <v>416</v>
      </c>
      <c r="BT5" s="6" t="s">
        <v>417</v>
      </c>
      <c r="BU5" s="6" t="s">
        <v>418</v>
      </c>
      <c r="BV5" s="6" t="s">
        <v>419</v>
      </c>
      <c r="BW5" s="6" t="s">
        <v>420</v>
      </c>
      <c r="BX5" s="6" t="s">
        <v>421</v>
      </c>
      <c r="BY5" s="6" t="s">
        <v>422</v>
      </c>
      <c r="BZ5" s="6" t="s">
        <v>423</v>
      </c>
      <c r="CA5" s="6" t="s">
        <v>424</v>
      </c>
      <c r="CB5" s="6" t="s">
        <v>425</v>
      </c>
      <c r="CC5" s="6" t="s">
        <v>426</v>
      </c>
      <c r="CD5" s="6" t="s">
        <v>427</v>
      </c>
      <c r="CE5" s="6" t="s">
        <v>428</v>
      </c>
      <c r="CF5" s="6" t="s">
        <v>429</v>
      </c>
      <c r="CG5" s="6" t="s">
        <v>430</v>
      </c>
      <c r="CH5" s="6" t="s">
        <v>431</v>
      </c>
      <c r="CI5" s="6" t="s">
        <v>432</v>
      </c>
      <c r="CJ5" s="6" t="s">
        <v>433</v>
      </c>
      <c r="CK5" s="6" t="s">
        <v>434</v>
      </c>
      <c r="CL5" s="6" t="s">
        <v>435</v>
      </c>
      <c r="CM5" s="6" t="s">
        <v>436</v>
      </c>
      <c r="CN5" s="6" t="s">
        <v>437</v>
      </c>
      <c r="CO5" s="6" t="s">
        <v>438</v>
      </c>
      <c r="CP5" s="6" t="s">
        <v>439</v>
      </c>
      <c r="CQ5" s="6" t="s">
        <v>440</v>
      </c>
      <c r="CR5" s="6" t="s">
        <v>441</v>
      </c>
      <c r="CS5" s="6" t="s">
        <v>442</v>
      </c>
      <c r="CT5" s="6" t="s">
        <v>443</v>
      </c>
      <c r="CU5" s="6" t="s">
        <v>444</v>
      </c>
      <c r="CV5" s="6" t="s">
        <v>445</v>
      </c>
      <c r="CW5" s="6" t="s">
        <v>446</v>
      </c>
      <c r="CX5" s="6" t="s">
        <v>447</v>
      </c>
      <c r="CY5" s="6" t="s">
        <v>448</v>
      </c>
      <c r="CZ5" s="6" t="s">
        <v>449</v>
      </c>
      <c r="DA5" s="6" t="s">
        <v>450</v>
      </c>
      <c r="DB5" s="6" t="s">
        <v>451</v>
      </c>
      <c r="DC5" s="6" t="s">
        <v>452</v>
      </c>
      <c r="DD5" s="6" t="s">
        <v>453</v>
      </c>
      <c r="DE5" s="6" t="s">
        <v>454</v>
      </c>
      <c r="DF5" s="6" t="s">
        <v>455</v>
      </c>
      <c r="DG5" s="6" t="s">
        <v>456</v>
      </c>
      <c r="DH5" s="6" t="s">
        <v>457</v>
      </c>
      <c r="DI5" s="6" t="s">
        <v>458</v>
      </c>
      <c r="DJ5" s="6" t="s">
        <v>459</v>
      </c>
      <c r="DK5" s="6" t="s">
        <v>460</v>
      </c>
      <c r="DL5" s="6" t="s">
        <v>461</v>
      </c>
      <c r="DM5" s="6" t="s">
        <v>462</v>
      </c>
      <c r="DN5" s="6" t="s">
        <v>463</v>
      </c>
      <c r="DO5" s="6" t="s">
        <v>464</v>
      </c>
      <c r="DP5" s="6" t="s">
        <v>465</v>
      </c>
      <c r="DQ5" s="6" t="s">
        <v>466</v>
      </c>
      <c r="DR5" s="6" t="s">
        <v>467</v>
      </c>
      <c r="DS5" s="6" t="s">
        <v>468</v>
      </c>
      <c r="DT5" s="6" t="s">
        <v>469</v>
      </c>
      <c r="DU5" s="6" t="s">
        <v>470</v>
      </c>
      <c r="DV5" s="6" t="s">
        <v>471</v>
      </c>
      <c r="DW5" s="6" t="s">
        <v>472</v>
      </c>
      <c r="DX5" s="6" t="s">
        <v>473</v>
      </c>
      <c r="DY5" s="6" t="s">
        <v>474</v>
      </c>
      <c r="DZ5" s="6" t="s">
        <v>475</v>
      </c>
      <c r="EA5" s="6" t="s">
        <v>476</v>
      </c>
      <c r="EB5" s="6" t="s">
        <v>477</v>
      </c>
      <c r="EC5" s="6" t="s">
        <v>478</v>
      </c>
      <c r="ED5" s="6" t="s">
        <v>479</v>
      </c>
      <c r="EE5" s="6" t="s">
        <v>480</v>
      </c>
      <c r="EF5" s="6" t="s">
        <v>481</v>
      </c>
      <c r="EG5" s="6" t="s">
        <v>482</v>
      </c>
      <c r="EH5" s="6" t="s">
        <v>483</v>
      </c>
      <c r="EI5" s="6" t="s">
        <v>484</v>
      </c>
      <c r="EJ5" s="6" t="s">
        <v>485</v>
      </c>
      <c r="EK5" s="6" t="s">
        <v>486</v>
      </c>
      <c r="EL5" s="6" t="s">
        <v>487</v>
      </c>
      <c r="EM5" s="6" t="s">
        <v>488</v>
      </c>
      <c r="EN5" s="6" t="s">
        <v>489</v>
      </c>
      <c r="EO5" s="6" t="s">
        <v>490</v>
      </c>
      <c r="EP5" s="6" t="s">
        <v>491</v>
      </c>
      <c r="EQ5" s="6" t="s">
        <v>492</v>
      </c>
      <c r="ER5" s="6" t="s">
        <v>493</v>
      </c>
    </row>
    <row r="6" customFormat="false" ht="15" hidden="false" customHeight="false" outlineLevel="0" collapsed="false">
      <c r="A6" s="8" t="n">
        <v>1</v>
      </c>
      <c r="B6" s="8" t="str">
        <f aca="false">IFERROR(INDEX(Raw!$B$2:$B$1001,MATCH($A6,Raw!$A$2:$A$1001,0)),"")</f>
        <v>Blank Hole</v>
      </c>
      <c r="C6" s="9" t="n">
        <f aca="false">IF($B6="","",MAX($CS6:$DE6))</f>
        <v>46</v>
      </c>
      <c r="D6" s="8" t="str">
        <f aca="false">IF($B6="","",IF($C6=0,"Sample",INDEX(Setup!$B$37:$B$49,$C6-36)))</f>
        <v>Exclude</v>
      </c>
      <c r="E6" s="16" t="str">
        <f aca="false">IF($B6="","",IFERROR(IF(INDEX(Raw!$E$2:$E$1001,MATCH($A6,Raw!$A$2:$A$1001,0))=0,"",INDEX(Raw!$E$2:$E$1001,MATCH($A6,Raw!$A$2:$A$1001,0))),""))</f>
        <v/>
      </c>
      <c r="F6" s="18"/>
      <c r="G6" s="16" t="str">
        <f aca="false">IF($B6="","",IF($F6&lt;&gt;"",$F6,IF($E6="","",$E6)))</f>
        <v/>
      </c>
      <c r="H6" s="9" t="n">
        <f aca="false">IF($B6="","",SUMPRODUCT(MAX((Raw!$A$2:$A$1001=$A6)*(Raw!$R$2:$R$1001="N")*Raw!$D$2:$D$1001)))</f>
        <v>3</v>
      </c>
      <c r="I6" s="9" t="str">
        <f aca="false">IF(OR($H6="",$H6=0),"",$A6&amp;"|N|"&amp;$H6)</f>
        <v>1|N|3</v>
      </c>
      <c r="J6" s="9" t="n">
        <f aca="false">IF($B6="","",SUMPRODUCT(MIN((Raw!$A$2:$A$1001=$A6)*(Raw!$R$2:$R$1001="C")*Raw!$D$2:$D$1001+(1-(Raw!$A$2:$A$1001=$A6)*(Raw!$R$2:$R$1001="C"))*9999)))</f>
        <v>4</v>
      </c>
      <c r="K6" s="9" t="str">
        <f aca="false">IF(OR($J6="",$J6=0,$J6=9999),"",$A6&amp;"|C|"&amp;$J6)</f>
        <v>1|C|4</v>
      </c>
      <c r="L6" s="16" t="n">
        <f aca="false">IF($I6="","",IF(INDEX(Raw!$I$2:$I$1001,MATCH($I6,Raw!$S$2:$S$1001,0))&lt;&gt;0,"",INDEX(Raw!$H$2:$H$1001,MATCH($I6,Raw!$S$2:$S$1001,0))))</f>
        <v>6.018</v>
      </c>
      <c r="M6" s="19" t="n">
        <f aca="false">IF($I6="","",IF(INDEX(Raw!$I$2:$I$1001,MATCH($I6,Raw!$S$2:$S$1001,0))&lt;&gt;0,"",INDEX(Raw!$F$2:$F$1001,MATCH($I6,Raw!$S$2:$S$1001,0))))</f>
        <v>217</v>
      </c>
      <c r="N6" s="20" t="n">
        <f aca="false">IF($I6="","",IF(INDEX(Raw!$I$2:$I$1001,MATCH($I6,Raw!$S$2:$S$1001,0))&lt;&gt;0,"",INDEX(Raw!$G$2:$G$1001,MATCH($I6,Raw!$S$2:$S$1001,0))))</f>
        <v>38.6</v>
      </c>
      <c r="O6" s="16" t="n">
        <f aca="false">IF($I6="","",IF(INDEX(Raw!$I$2:$I$1001,MATCH($I6,Raw!$S$2:$S$1001,0))&lt;&gt;0,"",INDEX(Raw!$N$2:$N$1001,MATCH($I6,Raw!$S$2:$S$1001,0))))</f>
        <v>3.728</v>
      </c>
      <c r="P6" s="16" t="str">
        <f aca="false">IF($K6="","",IF(INDEX(Raw!$I$2:$I$1001,MATCH($K6,Raw!$S$2:$S$1001,0))&lt;&gt;0,"",INDEX(Raw!$K$2:$K$1001,MATCH($K6,Raw!$S$2:$S$1001,0))))</f>
        <v/>
      </c>
      <c r="Q6" s="19" t="str">
        <f aca="false">IF($K6="","",IF(INDEX(Raw!$I$2:$I$1001,MATCH($K6,Raw!$S$2:$S$1001,0))&lt;&gt;0,"",INDEX(Raw!$J$2:$J$1001,MATCH($K6,Raw!$S$2:$S$1001,0))))</f>
        <v/>
      </c>
      <c r="R6" s="16" t="str">
        <f aca="false">IF($K6="","",IF(INDEX(Raw!$I$2:$I$1001,MATCH($K6,Raw!$S$2:$S$1001,0))&lt;&gt;0,"",INDEX(Raw!$O$2:$O$1001,MATCH($K6,Raw!$S$2:$S$1001,0))))</f>
        <v/>
      </c>
      <c r="S6" s="21" t="str">
        <f aca="false">IF($B6="","",IF($C6=0,"",IF(INDEX(Setup!$D$37:$D$49,$C6-36)="","",INDEX(Setup!$D$37:$D$49,$C6-36))))</f>
        <v/>
      </c>
      <c r="T6" s="21" t="str">
        <f aca="false">IF($B6="","",IF($C6=0,"",IF(INDEX(Setup!$C$37:$C$49,$C6-36)="","",INDEX(Setup!$C$37:$C$49,$C6-36))))</f>
        <v/>
      </c>
      <c r="U6" s="21" t="str">
        <f aca="false">IF($B6="","",IF($C6=0,"",IF(INDEX(Setup!$F$37:$F$49,$C6-36)="","",INDEX(Setup!$F$37:$F$49,$C6-36))))</f>
        <v/>
      </c>
      <c r="V6" s="21" t="str">
        <f aca="false">IF($B6="","",IF($C6=0,"",IF(INDEX(Setup!$E$37:$E$49,$C6-36)="","",INDEX(Setup!$E$37:$E$49,$C6-36))))</f>
        <v/>
      </c>
      <c r="W6" s="16" t="n">
        <f aca="false">IF($O6="","",IF(OR(Fits!$C$5&lt;&gt;"Yes",$D6="Blank",$L6&lt;=Fits!$B$6),$O6,($L6*$O6-Fits!$B$6*Fits!$B$7)/($L6-Fits!$B$6)))</f>
        <v>3.728</v>
      </c>
      <c r="X6" s="16" t="n">
        <f aca="false">IF($W6="","",$W6-Fits!$B$20*($L6-Fits!$B$16))</f>
        <v>3.728</v>
      </c>
      <c r="Y6" s="22" t="n">
        <f aca="false">IF($W6="","",IF(OR(Fits!$B$38="Row",$BI6=""),$A6,$BI6))</f>
        <v>1</v>
      </c>
      <c r="Z6" s="16" t="n">
        <f aca="false">IF($X6="","",$X6-Fits!$B$39*($Y6-Fits!$B$40))</f>
        <v>3.24451130018159</v>
      </c>
      <c r="AA6" s="23" t="n">
        <f aca="false">IF(OR($Z6="",Fits!$B$55&lt;2),"",Fits!$B$56*$Z6+Fits!$B$57)</f>
        <v>4.35807708164635</v>
      </c>
      <c r="AB6" s="16" t="str">
        <f aca="false">IF($R6="","",IF(OR(Fits!$C$9&lt;&gt;"Yes",$D6="Blank",$P6&lt;=Fits!$B$10),$R6,($P6*$R6-Fits!$B$10*Fits!$B$11)/($P6-Fits!$B$10)))</f>
        <v/>
      </c>
      <c r="AC6" s="16" t="str">
        <f aca="false">IF($AB6="","",$AB6-Fits!$B$28*($P6-Fits!$B$24))</f>
        <v/>
      </c>
      <c r="AD6" s="22" t="str">
        <f aca="false">IF($AB6="","",IF(OR(Fits!$B$50="Row",$BI6=""),$A6,$BI6))</f>
        <v/>
      </c>
      <c r="AE6" s="16" t="str">
        <f aca="false">IF($AC6="","",$AC6-Fits!$B$51*($AD6-Fits!$B$52))</f>
        <v/>
      </c>
      <c r="AF6" s="23" t="str">
        <f aca="false">IF(OR($AE6="",Fits!$B$62&lt;2),"",Fits!$B$63*$AE6+Fits!$B$64)</f>
        <v/>
      </c>
      <c r="AG6" s="21" t="n">
        <f aca="false">IF(OR($L6="",Fits!$B$69&lt;3),"",($L6-Fits!$B$71)/Fits!$B$70)</f>
        <v>6.66236862727425</v>
      </c>
      <c r="AH6" s="21" t="str">
        <f aca="false">IF(OR($P6="",Fits!$B$75&lt;3),"",($P6-Fits!$B$77)/Fits!$B$76)</f>
        <v/>
      </c>
      <c r="AI6" s="23" t="str">
        <f aca="false">IF(OR($AG6="",$G6="",$G6=0),"",$AG6/($G6*1000)*100)</f>
        <v/>
      </c>
      <c r="AJ6" s="23" t="str">
        <f aca="false">IF(OR($AH6="",$G6="",$G6=0),"",$AH6/($G6*1000)*100)</f>
        <v/>
      </c>
      <c r="AK6" s="23" t="str">
        <f aca="false">IF(OR($AG6="",$AH6="",$AG6&lt;=0),"",($AH6/Setup!$B$52)/($AG6/Setup!$B$53))</f>
        <v/>
      </c>
      <c r="AL6" s="23" t="str">
        <f aca="false">IF(OR($AG6="",$AH6="",$AG6&lt;=0),"",$AH6/$AG6)</f>
        <v/>
      </c>
      <c r="AM6" s="9" t="str">
        <f aca="false">IF($D6="Linearity",IF($L6="","",$L6),"")</f>
        <v/>
      </c>
      <c r="AN6" s="9" t="str">
        <f aca="false">IF($D6="Linearity",IF($W6="","",$W6),"")</f>
        <v/>
      </c>
      <c r="AO6" s="9" t="str">
        <f aca="false">IF($D6="Linearity",IF($P6="","",$P6),"")</f>
        <v/>
      </c>
      <c r="AP6" s="9" t="str">
        <f aca="false">IF($D6="Linearity",IF($AB6="","",$AB6),"")</f>
        <v/>
      </c>
      <c r="AQ6" s="9" t="str">
        <f aca="false">IF($D6="Drift",IF($A6&lt;IF(Setup!$B$14="",0,Setup!$B$14),"",$A6),"")</f>
        <v/>
      </c>
      <c r="AR6" s="9" t="str">
        <f aca="false">IF($D6="Drift",IF($A6&lt;IF(Setup!$B$14="",0,Setup!$B$14),"",IF($BI6="","",$BI6)),"")</f>
        <v/>
      </c>
      <c r="AS6" s="9" t="str">
        <f aca="false">IF($D6="Drift",IF($A6&lt;IF(Setup!$B$14="",0,Setup!$B$14),"",IF(OR($X6="",$BX6=1),"",$X6)),"")</f>
        <v/>
      </c>
      <c r="AT6" s="9" t="str">
        <f aca="false">IF($D6="Drift",IF($A6&lt;IF(Setup!$B$14="",0,Setup!$B$14),"",IF(OR($AC6="",$BY6=1),"",$AC6)),"")</f>
        <v/>
      </c>
      <c r="AU6" s="9" t="str">
        <f aca="false">IF($D6="Anchor",IF(OR($Z6="",$S6=""),"",$Z6),"")</f>
        <v/>
      </c>
      <c r="AV6" s="9" t="str">
        <f aca="false">IF($D6="Anchor",IF(OR($Z6="",$S6=""),"",$S6),"")</f>
        <v/>
      </c>
      <c r="AW6" s="9" t="str">
        <f aca="false">IF($D6="Anchor",IF(OR($AE6="",$T6=""),"",$AE6),"")</f>
        <v/>
      </c>
      <c r="AX6" s="9" t="str">
        <f aca="false">IF($D6="Anchor",IF(OR($AE6="",$T6=""),"",$T6),"")</f>
        <v/>
      </c>
      <c r="AY6" s="9" t="str">
        <f aca="false">IF(OR($D6="Blank",$D6="Exclude",$D6="Sample",$D6="",$G6="",$U6="",$L6=""),"",$G6*1000*$U6/100)</f>
        <v/>
      </c>
      <c r="AZ6" s="9" t="str">
        <f aca="false">IF($AY6="","",$L6)</f>
        <v/>
      </c>
      <c r="BA6" s="9" t="str">
        <f aca="false">IF(OR($D6="Blank",$D6="Exclude",$D6="Sample",$D6="",$G6="",$V6="",$P6=""),"",$G6*1000*$V6/100)</f>
        <v/>
      </c>
      <c r="BB6" s="9" t="str">
        <f aca="false">IF($BA6="","",$P6)</f>
        <v/>
      </c>
      <c r="BC6" s="9" t="str">
        <f aca="false">IF(AND($D6="Blank",$L6&lt;&gt;""),$O6,"")</f>
        <v/>
      </c>
      <c r="BD6" s="9" t="str">
        <f aca="false">IF($BC6="","",$L6)</f>
        <v/>
      </c>
      <c r="BE6" s="9" t="str">
        <f aca="false">IF(AND($D6="Blank",$P6&lt;&gt;""),$R6,"")</f>
        <v/>
      </c>
      <c r="BF6" s="9" t="str">
        <f aca="false">IF($BE6="","",$P6)</f>
        <v/>
      </c>
      <c r="BG6" s="9" t="str">
        <f aca="false">IF(AND($D6="Drift",$BX6&lt;&gt;1),IF($AA6="","",$AA6),"")</f>
        <v/>
      </c>
      <c r="BH6" s="9" t="str">
        <f aca="false">IF(AND($D6="Drift",$BY6&lt;&gt;1),IF($AF6="","",$AF6),"")</f>
        <v/>
      </c>
      <c r="BI6" s="20" t="n">
        <f aca="false">IF($B6="","",IFERROR(INDEX(Raw!$G$2:$G$1001,MATCH($A6&amp;"|N|"&amp;SUMPRODUCT(MAX((Raw!$A$2:$A$1001=$A6)*(Raw!$R$2:$R$1001="N")*(Raw!$I$2:$I$1001=1)*Raw!$D$2:$D$1001)),Raw!$S$2:$S$1001,0)),""))</f>
        <v>34.2</v>
      </c>
      <c r="BJ6" s="21" t="n">
        <f aca="false">IF(OR($BI6="",Fits!$B$85&lt;=0),"",($BI6-Fits!$B$83)/Fits!$B$85)</f>
        <v>1</v>
      </c>
      <c r="BK6" s="9" t="str">
        <f aca="false">IF($AS6="","",IF($A6&gt;=Fits!$B$86,"",$A6))</f>
        <v/>
      </c>
      <c r="BL6" s="9" t="str">
        <f aca="false">IF($BK6="","",$X6)</f>
        <v/>
      </c>
      <c r="BM6" s="9" t="str">
        <f aca="false">IF($AS6="","",IF($A6&lt;Fits!$B$86,"",$A6))</f>
        <v/>
      </c>
      <c r="BN6" s="9" t="str">
        <f aca="false">IF($BM6="","",$X6)</f>
        <v/>
      </c>
      <c r="BO6" s="9" t="str">
        <f aca="false">IF(AND($D6="Drift",$BX6&lt;&gt;1),IF($O6="","",$O6),"")</f>
        <v/>
      </c>
      <c r="BP6" s="9" t="str">
        <f aca="false">IF(AND($D6="Drift",$BX6&lt;&gt;1),IF($W6="","",$W6),"")</f>
        <v/>
      </c>
      <c r="BQ6" s="9" t="str">
        <f aca="false">IF(AND($D6="Drift",$BX6&lt;&gt;1),IF($X6="","",$X6),"")</f>
        <v/>
      </c>
      <c r="BR6" s="9" t="str">
        <f aca="false">IF(AND($D6="Drift",$BX6&lt;&gt;1),IF($Z6="","",$Z6),"")</f>
        <v/>
      </c>
      <c r="BS6" s="9" t="n">
        <f aca="false">IF(OR($B6="",$H6=""),"",SUMPRODUCT(MIN((Raw!$A$2:$A$1001=$A6)*(Raw!$R$2:$R$1001="N")*(Raw!$I$2:$I$1001=0)*(Raw!$D$2:$D$1001&lt;$H6)*Raw!$D$2:$D$1001+(1-(Raw!$A$2:$A$1001=$A6)*(Raw!$R$2:$R$1001="N")*(Raw!$I$2:$I$1001=0)*(Raw!$D$2:$D$1001&lt;$H6))*9999)))</f>
        <v>1</v>
      </c>
      <c r="BT6" s="16" t="n">
        <f aca="false">IF(OR($BS6="",$BS6=9999,$BS6=0),"",IFERROR(INDEX(Raw!$N$2:$N$1001,MATCH($A6&amp;"|N|"&amp;$BS6,Raw!$S$2:$S$1001,0)),""))</f>
        <v>-1.217</v>
      </c>
      <c r="BU6" s="9" t="n">
        <f aca="false">IF($B6="","",SUMPRODUCT(MIN((Raw!$A$2:$A$1001=$A6)*(Raw!$R$2:$R$1001="C")*(Raw!$I$2:$I$1001=1)*Raw!$D$2:$D$1001+(1-(Raw!$A$2:$A$1001=$A6)*(Raw!$R$2:$R$1001="C")*(Raw!$I$2:$I$1001=1))*9999)))</f>
        <v>4</v>
      </c>
      <c r="BV6" s="9" t="n">
        <f aca="false">IF(OR($BU6="",$BU6=9999),"",SUMPRODUCT(MIN((Raw!$A$2:$A$1001=$A6)*(Raw!$R$2:$R$1001="C")*(Raw!$I$2:$I$1001=0)*(Raw!$D$2:$D$1001&gt;$BU6)*Raw!$D$2:$D$1001+(1-(Raw!$A$2:$A$1001=$A6)*(Raw!$R$2:$R$1001="C")*(Raw!$I$2:$I$1001=0)*(Raw!$D$2:$D$1001&gt;$BU6))*9999)))</f>
        <v>5</v>
      </c>
      <c r="BW6" s="16" t="n">
        <f aca="false">IF(OR($BV6="",$BV6=9999,$BV6=0),"",IFERROR(INDEX(Raw!$O$2:$O$1001,MATCH($A6&amp;"|C|"&amp;$BV6,Raw!$S$2:$S$1001,0)),""))</f>
        <v>-25.736</v>
      </c>
      <c r="BX6" s="9" t="n">
        <f aca="false">IF($B6="","",IF(ISNUMBER(SEARCH(","&amp;$A6&amp;",",","&amp;SUBSTITUTE(Setup!$B$16," ","")&amp;",")),1,0))</f>
        <v>0</v>
      </c>
      <c r="BY6" s="9" t="n">
        <f aca="false">IF($B6="","",IF(ISNUMBER(SEARCH(","&amp;$A6&amp;",",","&amp;SUBSTITUTE(Setup!$B$17," ","")&amp;",")),1,0))</f>
        <v>0</v>
      </c>
      <c r="BZ6" s="22" t="str">
        <f aca="false">IF($AS6="","",IF(Fits!$B$38="Row",$AQ6,IF($AR6="","",$AR6)))</f>
        <v/>
      </c>
      <c r="CA6" s="22" t="str">
        <f aca="false">IF($AT6="","",IF(Fits!$B$50="Row",$AQ6,IF($AR6="","",$AR6)))</f>
        <v/>
      </c>
      <c r="CB6" s="20" t="str">
        <f aca="false">IF(OR($D6&lt;&gt;"Drift",$X6="",$A6&lt;IF(Setup!$B$14="",0,Setup!$B$14),Fits!$B$107&lt;3,Fits!$B$110="",Fits!$B$109=0,IF(Fits!$B$38="Row",$AQ6,$AR6)=""),"",IF($BX6=1,IF(OR(Fits!$B$111="",Fits!$B$111=0),"",($X6-(IF(Fits!$B$38="Row",Fits!$B$32,Fits!$B$35)*IF(Fits!$B$38="Row",$AQ6,$AR6)+Fits!$B$110))/(Fits!$B$111*SQRT(1+(1/Fits!$B$107+(IF(Fits!$B$38="Row",$AQ6,$AR6)-Fits!$B$108)^2/Fits!$B$109)))),IF(OR(Fits!$B$107&lt;4,(1/Fits!$B$107+(IF(Fits!$B$38="Row",$AQ6,$AR6)-Fits!$B$108)^2/Fits!$B$109)&gt;=1),"",IF((Fits!$B$116-($X6-(IF(Fits!$B$38="Row",Fits!$B$32,Fits!$B$35)*IF(Fits!$B$38="Row",$AQ6,$AR6)+Fits!$B$110))^2/(1-(1/Fits!$B$107+(IF(Fits!$B$38="Row",$AQ6,$AR6)-Fits!$B$108)^2/Fits!$B$109)))&lt;=0,"",($X6-(IF(Fits!$B$38="Row",Fits!$B$32,Fits!$B$35)*IF(Fits!$B$38="Row",$AQ6,$AR6)+Fits!$B$110))/(SQRT((Fits!$B$116-($X6-(IF(Fits!$B$38="Row",Fits!$B$32,Fits!$B$35)*IF(Fits!$B$38="Row",$AQ6,$AR6)+Fits!$B$110))^2/(1-(1/Fits!$B$107+(IF(Fits!$B$38="Row",$AQ6,$AR6)-Fits!$B$108)^2/Fits!$B$109)))/(Fits!$B$107-3))*SQRT(1-(1/Fits!$B$107+(IF(Fits!$B$38="Row",$AQ6,$AR6)-Fits!$B$108)^2/Fits!$B$109)))))))</f>
        <v/>
      </c>
      <c r="CC6" s="20" t="str">
        <f aca="false">IF(OR($D6&lt;&gt;"Drift",$AC6="",$A6&lt;IF(Setup!$B$14="",0,Setup!$B$14),Fits!$B$120&lt;3,Fits!$B$123="",Fits!$B$122=0,IF(Fits!$B$50="Row",$AQ6,$AR6)=""),"",IF($BY6=1,IF(OR(Fits!$B$124="",Fits!$B$124=0),"",($AC6-(IF(Fits!$B$50="Row",Fits!$B$44,Fits!$B$47)*IF(Fits!$B$50="Row",$AQ6,$AR6)+Fits!$B$123))/(Fits!$B$124*SQRT(1+(1/Fits!$B$120+(IF(Fits!$B$50="Row",$AQ6,$AR6)-Fits!$B$121)^2/Fits!$B$122)))),IF(OR(Fits!$B$120&lt;4,(1/Fits!$B$120+(IF(Fits!$B$50="Row",$AQ6,$AR6)-Fits!$B$121)^2/Fits!$B$122)&gt;=1),"",IF((Fits!$B$129-($AC6-(IF(Fits!$B$50="Row",Fits!$B$44,Fits!$B$47)*IF(Fits!$B$50="Row",$AQ6,$AR6)+Fits!$B$123))^2/(1-(1/Fits!$B$120+(IF(Fits!$B$50="Row",$AQ6,$AR6)-Fits!$B$121)^2/Fits!$B$122)))&lt;=0,"",($AC6-(IF(Fits!$B$50="Row",Fits!$B$44,Fits!$B$47)*IF(Fits!$B$50="Row",$AQ6,$AR6)+Fits!$B$123))/(SQRT((Fits!$B$129-($AC6-(IF(Fits!$B$50="Row",Fits!$B$44,Fits!$B$47)*IF(Fits!$B$50="Row",$AQ6,$AR6)+Fits!$B$123))^2/(1-(1/Fits!$B$120+(IF(Fits!$B$50="Row",$AQ6,$AR6)-Fits!$B$121)^2/Fits!$B$122)))/(Fits!$B$120-3))*SQRT(1-(1/Fits!$B$120+(IF(Fits!$B$50="Row",$AQ6,$AR6)-Fits!$B$121)^2/Fits!$B$122)))))))</f>
        <v/>
      </c>
      <c r="CD6" s="9" t="str">
        <f aca="false">IF($AU6="","",1)</f>
        <v/>
      </c>
      <c r="CE6" s="24" t="str">
        <f aca="false">IF($AU6="","",$AU6-Fits!$B$133)</f>
        <v/>
      </c>
      <c r="CF6" s="24" t="str">
        <f aca="false">IF($AU6="","",($AV6-(Fits!$B$56*$AU6+Fits!$B$57))-Fits!$B$56*($AU6-Fits!$B$133))</f>
        <v/>
      </c>
      <c r="CG6" s="25" t="str">
        <f aca="false">IF($AU6="","",$AU6^2)</f>
        <v/>
      </c>
      <c r="CH6" s="9" t="str">
        <f aca="false">IF($AW6="","",1)</f>
        <v/>
      </c>
      <c r="CI6" s="24" t="str">
        <f aca="false">IF($AW6="","",$AW6-Fits!$B$153)</f>
        <v/>
      </c>
      <c r="CJ6" s="24" t="str">
        <f aca="false">IF($AW6="","",($AX6-(Fits!$B$63*$AW6+Fits!$B$64))-Fits!$B$63*($AW6-Fits!$B$153))</f>
        <v/>
      </c>
      <c r="CK6" s="25" t="str">
        <f aca="false">IF($AW6="","",$AW6^2)</f>
        <v/>
      </c>
      <c r="CL6" s="26" t="n">
        <f aca="false">IF(OR($Z6="",Fits!$B$55&lt;3,Fits!$B$133="",Fits!$B$134="",Fits!$B$134=0,Fits!$B$136=""),"",SQRT((Fits!$B$136*Fits!$B$56)^2+SUMPRODUCT((Fits!$J$163:$J$175*(Fits!$B$163:$B$175/Fits!$B$55+Fits!$H$163:$H$175*($Z6-Fits!$B$133)/Fits!$B$134))^2)+SUMPRODUCT((Fits!$G$163:$G$175*(($Z6-Fits!$B$133)*Fits!$I$163:$I$175/Fits!$B$134-Fits!$B$163:$B$175*Fits!$B$56/Fits!$B$55))^2)))</f>
        <v>0.209247012448561</v>
      </c>
      <c r="CM6" s="26" t="n">
        <f aca="false">IF($CL6="","",Setup!$B$32*$CL6)</f>
        <v>0.418494024897121</v>
      </c>
      <c r="CN6" s="26" t="str">
        <f aca="false">IF(OR($AE6="",Fits!$B$62&lt;3,Fits!$B$153="",Fits!$B$154="",Fits!$B$154=0,Fits!$B$156=""),"",SQRT((Fits!$B$156*Fits!$B$63)^2+SUMPRODUCT((Fits!$J$183:$J$195*(Fits!$B$183:$B$195/Fits!$B$62+Fits!$H$183:$H$195*($AE6-Fits!$B$153)/Fits!$B$154))^2)+SUMPRODUCT((Fits!$G$183:$G$195*(($AE6-Fits!$B$153)*Fits!$I$183:$I$195/Fits!$B$154-Fits!$B$183:$B$195*Fits!$B$63/Fits!$B$62))^2)))</f>
        <v/>
      </c>
      <c r="CO6" s="26" t="str">
        <f aca="false">IF($CN6="","",Setup!$B$32*$CN6)</f>
        <v/>
      </c>
      <c r="CP6" s="9" t="n">
        <f aca="false">IF(OR(NOT(ISNUMBER($BJ6)),$EK6=1),0,IF($BJ6&lt;=Setup!$B$26,1,0))</f>
        <v>0</v>
      </c>
      <c r="CQ6" s="9" t="n">
        <f aca="false">IF($BT6="","",$A6)</f>
        <v>1</v>
      </c>
      <c r="CR6" s="9" t="n">
        <f aca="false">IF($BW6="","",$A6)</f>
        <v>1</v>
      </c>
      <c r="CS6" s="9" t="n">
        <f aca="false">IF($B6="","",IF(Setup!$A$37="",0,IF(ISNUMBER(SEARCH(Setup!$A$37,$B6)),37,0)))</f>
        <v>0</v>
      </c>
      <c r="CT6" s="9" t="n">
        <f aca="false">IF($B6="","",IF(Setup!$A$38="",0,IF(ISNUMBER(SEARCH(Setup!$A$38,$B6)),38,0)))</f>
        <v>0</v>
      </c>
      <c r="CU6" s="9" t="n">
        <f aca="false">IF($B6="","",IF(Setup!$A$39="",0,IF(ISNUMBER(SEARCH(Setup!$A$39,$B6)),39,0)))</f>
        <v>0</v>
      </c>
      <c r="CV6" s="9" t="n">
        <f aca="false">IF($B6="","",IF(Setup!$A$40="",0,IF(ISNUMBER(SEARCH(Setup!$A$40,$B6)),40,0)))</f>
        <v>0</v>
      </c>
      <c r="CW6" s="9" t="n">
        <f aca="false">IF($B6="","",IF(Setup!$A$41="",0,IF(ISNUMBER(SEARCH(Setup!$A$41,$B6)),41,0)))</f>
        <v>0</v>
      </c>
      <c r="CX6" s="9" t="n">
        <f aca="false">IF($B6="","",IF(Setup!$A$42="",0,IF(ISNUMBER(SEARCH(Setup!$A$42,$B6)),42,0)))</f>
        <v>0</v>
      </c>
      <c r="CY6" s="9" t="n">
        <f aca="false">IF($B6="","",IF(Setup!$A$43="",0,IF(ISNUMBER(SEARCH(Setup!$A$43,$B6)),43,0)))</f>
        <v>0</v>
      </c>
      <c r="CZ6" s="9" t="n">
        <f aca="false">IF($B6="","",IF(Setup!$A$44="",0,IF(ISNUMBER(SEARCH(Setup!$A$44,$B6)),44,0)))</f>
        <v>0</v>
      </c>
      <c r="DA6" s="9" t="n">
        <f aca="false">IF($B6="","",IF(Setup!$A$45="",0,IF(ISNUMBER(SEARCH(Setup!$A$45,$B6)),45,0)))</f>
        <v>0</v>
      </c>
      <c r="DB6" s="9" t="n">
        <f aca="false">IF($B6="","",IF(Setup!$A$46="",0,IF(ISNUMBER(SEARCH(Setup!$A$46,$B6)),46,0)))</f>
        <v>46</v>
      </c>
      <c r="DC6" s="9" t="n">
        <f aca="false">IF($B6="","",IF(Setup!$A$47="",0,IF(ISNUMBER(SEARCH(Setup!$A$47,$B6)),47,0)))</f>
        <v>0</v>
      </c>
      <c r="DD6" s="9" t="n">
        <f aca="false">IF($B6="","",IF(Setup!$A$48="",0,IF(ISNUMBER(SEARCH(Setup!$A$48,$B6)),48,0)))</f>
        <v>0</v>
      </c>
      <c r="DE6" s="9" t="n">
        <f aca="false">IF($B6="","",IF(Setup!$A$49="",0,IF(ISNUMBER(SEARCH(Setup!$A$49,$B6)),49,0)))</f>
        <v>0</v>
      </c>
      <c r="DF6" s="9" t="n">
        <f aca="false">IF($B6="",NA(),$A6)</f>
        <v>1</v>
      </c>
      <c r="DG6" s="22" t="n">
        <f aca="false">IF($BI6="",NA(),$BI6)</f>
        <v>34.2</v>
      </c>
      <c r="DH6" s="22" t="n">
        <f aca="false">IF($N6="",NA(),$N6)</f>
        <v>38.6</v>
      </c>
      <c r="DI6" s="9" t="e">
        <f aca="false">IF(AND($D6="Drift",$N6&lt;&gt;""),$N6,NA())</f>
        <v>#N/A</v>
      </c>
      <c r="DJ6" s="9" t="str">
        <f aca="false">IF(AND($D6="Drift",$N6&lt;&gt;""),$N6,"")</f>
        <v/>
      </c>
      <c r="DK6" s="9" t="str">
        <f aca="false">IF($DJ6="","",$A6)</f>
        <v/>
      </c>
      <c r="DL6" s="9" t="e">
        <f aca="false">IF($AN6="",NA(),$AM6)</f>
        <v>#N/A</v>
      </c>
      <c r="DM6" s="9" t="e">
        <f aca="false">IF($AN6="",NA(),$AN6)</f>
        <v>#N/A</v>
      </c>
      <c r="DN6" s="9" t="e">
        <f aca="false">IF(AND($D6="Sample",$L6&lt;&gt;""),$L6,NA())</f>
        <v>#N/A</v>
      </c>
      <c r="DO6" s="9" t="e">
        <f aca="false">IF(AND($D6="Sample",$L6&lt;&gt;"",Fits!$B$98&lt;&gt;""),Fits!$B$98,NA())</f>
        <v>#N/A</v>
      </c>
      <c r="DP6" s="9" t="e">
        <f aca="false">IF($AS6="",NA(),$AS6)</f>
        <v>#N/A</v>
      </c>
      <c r="DQ6" s="9" t="e">
        <f aca="false">IF(AND($D6="Drift",$AS6="",$X6&lt;&gt;""),$X6,NA())</f>
        <v>#N/A</v>
      </c>
      <c r="DR6" s="9" t="e">
        <f aca="false">IF(AND($D6="Drift",$Z6&lt;&gt;""),$Z6,NA())</f>
        <v>#N/A</v>
      </c>
      <c r="DS6" s="9" t="e">
        <f aca="false">IF(AND(OR($D6="Sample",$D6="Check"),$AA6&lt;&gt;""),$AA6,NA())</f>
        <v>#N/A</v>
      </c>
      <c r="DT6" s="25" t="n">
        <f aca="false">IF(OR($B6="",Fits!$B$138=""),NA(),Fits!$B$138)</f>
        <v>1.76</v>
      </c>
      <c r="DU6" s="25" t="n">
        <f aca="false">IF(OR($B6="",Fits!$B$139=""),NA(),Fits!$B$139)</f>
        <v>20.68</v>
      </c>
      <c r="DV6" s="24" t="n">
        <f aca="false">IF($BT6="",NA(),$BT6)</f>
        <v>-1.217</v>
      </c>
      <c r="DW6" s="9" t="e">
        <f aca="false">IF($AP6="",NA(),$AO6)</f>
        <v>#N/A</v>
      </c>
      <c r="DX6" s="9" t="e">
        <f aca="false">IF($AP6="",NA(),$AP6)</f>
        <v>#N/A</v>
      </c>
      <c r="DY6" s="9" t="e">
        <f aca="false">IF(AND($D6="Sample",$P6&lt;&gt;""),$P6,NA())</f>
        <v>#N/A</v>
      </c>
      <c r="DZ6" s="9" t="e">
        <f aca="false">IF(AND($D6="Sample",$P6&lt;&gt;"",Fits!$B$105&lt;&gt;""),Fits!$B$105,NA())</f>
        <v>#N/A</v>
      </c>
      <c r="EA6" s="9" t="e">
        <f aca="false">IF($AT6="",NA(),$AT6)</f>
        <v>#N/A</v>
      </c>
      <c r="EB6" s="9" t="e">
        <f aca="false">IF(AND($D6="Drift",$AT6="",$AC6&lt;&gt;""),$AC6,NA())</f>
        <v>#N/A</v>
      </c>
      <c r="EC6" s="9" t="e">
        <f aca="false">IF(AND($D6="Drift",$AE6&lt;&gt;""),$AE6,NA())</f>
        <v>#N/A</v>
      </c>
      <c r="ED6" s="9" t="e">
        <f aca="false">IF(AND(OR($D6="Sample",$D6="Check"),$AF6&lt;&gt;""),$AF6,NA())</f>
        <v>#N/A</v>
      </c>
      <c r="EE6" s="25" t="n">
        <f aca="false">IF(OR($B6="",Fits!$B$158=""),NA(),Fits!$B$158)</f>
        <v>-40.81</v>
      </c>
      <c r="EF6" s="25" t="n">
        <f aca="false">IF(OR($B6="",Fits!$B$159=""),NA(),Fits!$B$159)</f>
        <v>-20.29</v>
      </c>
      <c r="EG6" s="24" t="n">
        <f aca="false">IF($BW6="",NA(),$BW6)</f>
        <v>-25.736</v>
      </c>
      <c r="EH6" s="9" t="e">
        <f aca="false">IF(AND($EN6=1,ISNUMBER($N6)),$N6,NA())</f>
        <v>#N/A</v>
      </c>
      <c r="EI6" s="9" t="n">
        <f aca="false">IF($B6="","",$A6)</f>
        <v>1</v>
      </c>
      <c r="EJ6" s="9" t="n">
        <f aca="false">IF(OR(AND(ISNUMBER($L6),Fits!$B$97&gt;0,$L6&gt;Fits!$B$97),AND(ISNUMBER($P6),Fits!$B$104&gt;0,$P6&gt;Fits!$B$104)),1,0)</f>
        <v>0</v>
      </c>
      <c r="EK6" s="9" t="n">
        <v>0</v>
      </c>
      <c r="EL6" s="22" t="n">
        <f aca="false">IF(AND($EK6=0,ISNUMBER($N6)),$N6,"")</f>
        <v>38.6</v>
      </c>
      <c r="EM6" s="9" t="str">
        <f aca="false">IF(AND($EK6=1,ISNUMBER($N6),ISNUMBER($EL6)),$N6-$EL6,"")</f>
        <v/>
      </c>
      <c r="EN6" s="9" t="n">
        <f aca="false">IF(Setup!$B$28="",0,IF(ISNUMBER($EM6),IF($EM6&gt;Setup!$B$28,1,0),0))</f>
        <v>0</v>
      </c>
      <c r="EO6" s="9" t="str">
        <f aca="false">IF($EN6=1,COUNTIF($EN$6:$EN6,1),"")</f>
        <v/>
      </c>
      <c r="EP6" s="9" t="n">
        <v>0</v>
      </c>
      <c r="EQ6" s="22" t="n">
        <f aca="false">IF(ISNUMBER($BI6),IF(COUNT($BI$6:$BI6)&lt;=5,$BI6,""),"")</f>
        <v>34.2</v>
      </c>
      <c r="ER6" s="9" t="str">
        <f aca="false">IF(OR(NOT(ISNUMBER($BJ6)),$EK6=1),"",IF($BJ6&lt;=Setup!$B$26,$A6,""))</f>
        <v/>
      </c>
    </row>
    <row r="7" customFormat="false" ht="15" hidden="false" customHeight="false" outlineLevel="0" collapsed="false">
      <c r="A7" s="8" t="n">
        <v>2</v>
      </c>
      <c r="B7" s="8" t="str">
        <f aca="false">IFERROR(INDEX(Raw!$B$2:$B$1001,MATCH($A7,Raw!$A$2:$A$1001,0)),"")</f>
        <v>Ace Bypass</v>
      </c>
      <c r="C7" s="9" t="n">
        <f aca="false">IF($B7="","",MAX($CS7:$DE7))</f>
        <v>44</v>
      </c>
      <c r="D7" s="8" t="str">
        <f aca="false">IF($B7="","",IF($C7=0,"Sample",INDEX(Setup!$B$37:$B$49,$C7-36)))</f>
        <v>Exclude</v>
      </c>
      <c r="E7" s="16" t="n">
        <f aca="false">IF($B7="","",IFERROR(IF(INDEX(Raw!$E$2:$E$1001,MATCH($A7,Raw!$A$2:$A$1001,0))=0,"",INDEX(Raw!$E$2:$E$1001,MATCH($A7,Raw!$A$2:$A$1001,0))),""))</f>
        <v>1.131</v>
      </c>
      <c r="F7" s="18"/>
      <c r="G7" s="16" t="n">
        <f aca="false">IF($B7="","",IF($F7&lt;&gt;"",$F7,IF($E7="","",$E7)))</f>
        <v>1.131</v>
      </c>
      <c r="H7" s="9" t="n">
        <f aca="false">IF($B7="","",SUMPRODUCT(MAX((Raw!$A$2:$A$1001=$A7)*(Raw!$R$2:$R$1001="N")*Raw!$D$2:$D$1001)))</f>
        <v>3</v>
      </c>
      <c r="I7" s="9" t="str">
        <f aca="false">IF(OR($H7="",$H7=0),"",$A7&amp;"|N|"&amp;$H7)</f>
        <v>2|N|3</v>
      </c>
      <c r="J7" s="9" t="n">
        <f aca="false">IF($B7="","",SUMPRODUCT(MIN((Raw!$A$2:$A$1001=$A7)*(Raw!$R$2:$R$1001="C")*Raw!$D$2:$D$1001+(1-(Raw!$A$2:$A$1001=$A7)*(Raw!$R$2:$R$1001="C"))*9999)))</f>
        <v>4</v>
      </c>
      <c r="K7" s="9" t="str">
        <f aca="false">IF(OR($J7="",$J7=0,$J7=9999),"",$A7&amp;"|C|"&amp;$J7)</f>
        <v>2|C|4</v>
      </c>
      <c r="L7" s="16" t="n">
        <f aca="false">IF($I7="","",IF(INDEX(Raw!$I$2:$I$1001,MATCH($I7,Raw!$S$2:$S$1001,0))&lt;&gt;0,"",INDEX(Raw!$H$2:$H$1001,MATCH($I7,Raw!$S$2:$S$1001,0))))</f>
        <v>79.936</v>
      </c>
      <c r="M7" s="19" t="n">
        <f aca="false">IF($I7="","",IF(INDEX(Raw!$I$2:$I$1001,MATCH($I7,Raw!$S$2:$S$1001,0))&lt;&gt;0,"",INDEX(Raw!$F$2:$F$1001,MATCH($I7,Raw!$S$2:$S$1001,0))))</f>
        <v>4689</v>
      </c>
      <c r="N7" s="20" t="n">
        <f aca="false">IF($I7="","",IF(INDEX(Raw!$I$2:$I$1001,MATCH($I7,Raw!$S$2:$S$1001,0))&lt;&gt;0,"",INDEX(Raw!$G$2:$G$1001,MATCH($I7,Raw!$S$2:$S$1001,0))))</f>
        <v>37.2</v>
      </c>
      <c r="O7" s="16" t="n">
        <f aca="false">IF($I7="","",IF(INDEX(Raw!$I$2:$I$1001,MATCH($I7,Raw!$S$2:$S$1001,0))&lt;&gt;0,"",INDEX(Raw!$N$2:$N$1001,MATCH($I7,Raw!$S$2:$S$1001,0))))</f>
        <v>-4.989</v>
      </c>
      <c r="P7" s="16" t="n">
        <f aca="false">IF($K7="","",IF(INDEX(Raw!$I$2:$I$1001,MATCH($K7,Raw!$S$2:$S$1001,0))&lt;&gt;0,"",INDEX(Raw!$K$2:$K$1001,MATCH($K7,Raw!$S$2:$S$1001,0))))</f>
        <v>362.648</v>
      </c>
      <c r="Q7" s="19" t="n">
        <f aca="false">IF($K7="","",IF(INDEX(Raw!$I$2:$I$1001,MATCH($K7,Raw!$S$2:$S$1001,0))&lt;&gt;0,"",INDEX(Raw!$J$2:$J$1001,MATCH($K7,Raw!$S$2:$S$1001,0))))</f>
        <v>14212</v>
      </c>
      <c r="R7" s="16" t="n">
        <f aca="false">IF($K7="","",IF(INDEX(Raw!$I$2:$I$1001,MATCH($K7,Raw!$S$2:$S$1001,0))&lt;&gt;0,"",INDEX(Raw!$O$2:$O$1001,MATCH($K7,Raw!$S$2:$S$1001,0))))</f>
        <v>-9.107</v>
      </c>
      <c r="S7" s="21" t="str">
        <f aca="false">IF($B7="","",IF($C7=0,"",IF(INDEX(Setup!$D$37:$D$49,$C7-36)="","",INDEX(Setup!$D$37:$D$49,$C7-36))))</f>
        <v/>
      </c>
      <c r="T7" s="21" t="str">
        <f aca="false">IF($B7="","",IF($C7=0,"",IF(INDEX(Setup!$C$37:$C$49,$C7-36)="","",INDEX(Setup!$C$37:$C$49,$C7-36))))</f>
        <v/>
      </c>
      <c r="U7" s="21" t="n">
        <f aca="false">IF($B7="","",IF($C7=0,"",IF(INDEX(Setup!$F$37:$F$49,$C7-36)="","",INDEX(Setup!$F$37:$F$49,$C7-36))))</f>
        <v>10.36</v>
      </c>
      <c r="V7" s="21" t="n">
        <f aca="false">IF($B7="","",IF($C7=0,"",IF(INDEX(Setup!$E$37:$E$49,$C7-36)="","",INDEX(Setup!$E$37:$E$49,$C7-36))))</f>
        <v>71.09</v>
      </c>
      <c r="W7" s="16" t="n">
        <f aca="false">IF($O7="","",IF(OR(Fits!$C$5&lt;&gt;"Yes",$D7="Blank",$L7&lt;=Fits!$B$6),$O7,($L7*$O7-Fits!$B$6*Fits!$B$7)/($L7-Fits!$B$6)))</f>
        <v>-4.989</v>
      </c>
      <c r="X7" s="16" t="n">
        <f aca="false">IF($W7="","",$W7-Fits!$B$20*($L7-Fits!$B$16))</f>
        <v>-4.989</v>
      </c>
      <c r="Y7" s="22" t="n">
        <f aca="false">IF($W7="","",IF(OR(Fits!$B$38="Row",$BI7=""),$A7,$BI7))</f>
        <v>2</v>
      </c>
      <c r="Z7" s="16" t="n">
        <f aca="false">IF($X7="","",$X7-Fits!$B$39*($Y7-Fits!$B$40))</f>
        <v>-5.45773434982395</v>
      </c>
      <c r="AA7" s="23" t="n">
        <f aca="false">IF(OR($Z7="",Fits!$B$55&lt;2),"",Fits!$B$56*$Z7+Fits!$B$57)</f>
        <v>-4.57562866207321</v>
      </c>
      <c r="AB7" s="16" t="n">
        <f aca="false">IF($R7="","",IF(OR(Fits!$C$9&lt;&gt;"Yes",$D7="Blank",$P7&lt;=Fits!$B$10),$R7,($P7*$R7-Fits!$B$10*Fits!$B$11)/($P7-Fits!$B$10)))</f>
        <v>-9.107</v>
      </c>
      <c r="AC7" s="16" t="n">
        <f aca="false">IF($AB7="","",$AB7-Fits!$B$28*($P7-Fits!$B$24))</f>
        <v>-9.51434288099616</v>
      </c>
      <c r="AD7" s="22" t="n">
        <f aca="false">IF($AB7="","",IF(OR(Fits!$B$50="Row",$BI7=""),$A7,$BI7))</f>
        <v>2</v>
      </c>
      <c r="AE7" s="16" t="n">
        <f aca="false">IF($AC7="","",$AC7-Fits!$B$51*($AD7-Fits!$B$52))</f>
        <v>-9.43181699297034</v>
      </c>
      <c r="AF7" s="23" t="n">
        <f aca="false">IF(OR($AE7="",Fits!$B$62&lt;2),"",Fits!$B$63*$AE7+Fits!$B$64)</f>
        <v>-26.5575236808391</v>
      </c>
      <c r="AG7" s="21" t="n">
        <f aca="false">IF(OR($L7="",Fits!$B$69&lt;3),"",($L7-Fits!$B$71)/Fits!$B$70)</f>
        <v>128.76813216679</v>
      </c>
      <c r="AH7" s="21" t="n">
        <f aca="false">IF(OR($P7="",Fits!$B$75&lt;3),"",($P7-Fits!$B$77)/Fits!$B$76)</f>
        <v>822.005455300073</v>
      </c>
      <c r="AI7" s="23" t="n">
        <f aca="false">IF(OR($AG7="",$G7="",$G7=0),"",$AG7/($G7*1000)*100)</f>
        <v>11.3853344090884</v>
      </c>
      <c r="AJ7" s="23" t="n">
        <f aca="false">IF(OR($AH7="",$G7="",$G7=0),"",$AH7/($G7*1000)*100)</f>
        <v>72.6795274359039</v>
      </c>
      <c r="AK7" s="23" t="n">
        <f aca="false">IF(OR($AG7="",$AH7="",$AG7&lt;=0),"",($AH7/Setup!$B$52)/($AG7/Setup!$B$53))</f>
        <v>7.4444439656978</v>
      </c>
      <c r="AL7" s="23" t="n">
        <f aca="false">IF(OR($AG7="",$AH7="",$AG7&lt;=0),"",$AH7/$AG7)</f>
        <v>6.38360937188522</v>
      </c>
      <c r="AM7" s="9" t="str">
        <f aca="false">IF($D7="Linearity",IF($L7="","",$L7),"")</f>
        <v/>
      </c>
      <c r="AN7" s="9" t="str">
        <f aca="false">IF($D7="Linearity",IF($W7="","",$W7),"")</f>
        <v/>
      </c>
      <c r="AO7" s="9" t="str">
        <f aca="false">IF($D7="Linearity",IF($P7="","",$P7),"")</f>
        <v/>
      </c>
      <c r="AP7" s="9" t="str">
        <f aca="false">IF($D7="Linearity",IF($AB7="","",$AB7),"")</f>
        <v/>
      </c>
      <c r="AQ7" s="9" t="str">
        <f aca="false">IF($D7="Drift",IF($A7&lt;IF(Setup!$B$14="",0,Setup!$B$14),"",$A7),"")</f>
        <v/>
      </c>
      <c r="AR7" s="9" t="str">
        <f aca="false">IF($D7="Drift",IF($A7&lt;IF(Setup!$B$14="",0,Setup!$B$14),"",IF($BI7="","",$BI7)),"")</f>
        <v/>
      </c>
      <c r="AS7" s="9" t="str">
        <f aca="false">IF($D7="Drift",IF($A7&lt;IF(Setup!$B$14="",0,Setup!$B$14),"",IF(OR($X7="",$BX7=1),"",$X7)),"")</f>
        <v/>
      </c>
      <c r="AT7" s="9" t="str">
        <f aca="false">IF($D7="Drift",IF($A7&lt;IF(Setup!$B$14="",0,Setup!$B$14),"",IF(OR($AC7="",$BY7=1),"",$AC7)),"")</f>
        <v/>
      </c>
      <c r="AU7" s="9" t="str">
        <f aca="false">IF($D7="Anchor",IF(OR($Z7="",$S7=""),"",$Z7),"")</f>
        <v/>
      </c>
      <c r="AV7" s="9" t="str">
        <f aca="false">IF($D7="Anchor",IF(OR($Z7="",$S7=""),"",$S7),"")</f>
        <v/>
      </c>
      <c r="AW7" s="9" t="str">
        <f aca="false">IF($D7="Anchor",IF(OR($AE7="",$T7=""),"",$AE7),"")</f>
        <v/>
      </c>
      <c r="AX7" s="9" t="str">
        <f aca="false">IF($D7="Anchor",IF(OR($AE7="",$T7=""),"",$T7),"")</f>
        <v/>
      </c>
      <c r="AY7" s="9" t="str">
        <f aca="false">IF(OR($D7="Blank",$D7="Exclude",$D7="Sample",$D7="",$G7="",$U7="",$L7=""),"",$G7*1000*$U7/100)</f>
        <v/>
      </c>
      <c r="AZ7" s="9" t="str">
        <f aca="false">IF($AY7="","",$L7)</f>
        <v/>
      </c>
      <c r="BA7" s="9" t="str">
        <f aca="false">IF(OR($D7="Blank",$D7="Exclude",$D7="Sample",$D7="",$G7="",$V7="",$P7=""),"",$G7*1000*$V7/100)</f>
        <v/>
      </c>
      <c r="BB7" s="9" t="str">
        <f aca="false">IF($BA7="","",$P7)</f>
        <v/>
      </c>
      <c r="BC7" s="9" t="str">
        <f aca="false">IF(AND($D7="Blank",$L7&lt;&gt;""),$O7,"")</f>
        <v/>
      </c>
      <c r="BD7" s="9" t="str">
        <f aca="false">IF($BC7="","",$L7)</f>
        <v/>
      </c>
      <c r="BE7" s="9" t="str">
        <f aca="false">IF(AND($D7="Blank",$P7&lt;&gt;""),$R7,"")</f>
        <v/>
      </c>
      <c r="BF7" s="9" t="str">
        <f aca="false">IF($BE7="","",$P7)</f>
        <v/>
      </c>
      <c r="BG7" s="9" t="str">
        <f aca="false">IF(AND($D7="Drift",$BX7&lt;&gt;1),IF($AA7="","",$AA7),"")</f>
        <v/>
      </c>
      <c r="BH7" s="9" t="str">
        <f aca="false">IF(AND($D7="Drift",$BY7&lt;&gt;1),IF($AF7="","",$AF7),"")</f>
        <v/>
      </c>
      <c r="BI7" s="20" t="n">
        <f aca="false">IF($B7="","",IFERROR(INDEX(Raw!$G$2:$G$1001,MATCH($A7&amp;"|N|"&amp;SUMPRODUCT(MAX((Raw!$A$2:$A$1001=$A7)*(Raw!$R$2:$R$1001="N")*(Raw!$I$2:$I$1001=1)*Raw!$D$2:$D$1001)),Raw!$S$2:$S$1001,0)),""))</f>
        <v>33.2</v>
      </c>
      <c r="BJ7" s="21" t="n">
        <f aca="false">IF(OR($BI7="",Fits!$B$85&lt;=0),"",($BI7-Fits!$B$83)/Fits!$B$85)</f>
        <v>0.90990990990991</v>
      </c>
      <c r="BK7" s="9" t="str">
        <f aca="false">IF($AS7="","",IF($A7&gt;=Fits!$B$86,"",$A7))</f>
        <v/>
      </c>
      <c r="BL7" s="9" t="str">
        <f aca="false">IF($BK7="","",$X7)</f>
        <v/>
      </c>
      <c r="BM7" s="9" t="str">
        <f aca="false">IF($AS7="","",IF($A7&lt;Fits!$B$86,"",$A7))</f>
        <v/>
      </c>
      <c r="BN7" s="9" t="str">
        <f aca="false">IF($BM7="","",$X7)</f>
        <v/>
      </c>
      <c r="BO7" s="9" t="str">
        <f aca="false">IF(AND($D7="Drift",$BX7&lt;&gt;1),IF($O7="","",$O7),"")</f>
        <v/>
      </c>
      <c r="BP7" s="9" t="str">
        <f aca="false">IF(AND($D7="Drift",$BX7&lt;&gt;1),IF($W7="","",$W7),"")</f>
        <v/>
      </c>
      <c r="BQ7" s="9" t="str">
        <f aca="false">IF(AND($D7="Drift",$BX7&lt;&gt;1),IF($X7="","",$X7),"")</f>
        <v/>
      </c>
      <c r="BR7" s="9" t="str">
        <f aca="false">IF(AND($D7="Drift",$BX7&lt;&gt;1),IF($Z7="","",$Z7),"")</f>
        <v/>
      </c>
      <c r="BS7" s="9" t="n">
        <f aca="false">IF(OR($B7="",$H7=""),"",SUMPRODUCT(MIN((Raw!$A$2:$A$1001=$A7)*(Raw!$R$2:$R$1001="N")*(Raw!$I$2:$I$1001=0)*(Raw!$D$2:$D$1001&lt;$H7)*Raw!$D$2:$D$1001+(1-(Raw!$A$2:$A$1001=$A7)*(Raw!$R$2:$R$1001="N")*(Raw!$I$2:$I$1001=0)*(Raw!$D$2:$D$1001&lt;$H7))*9999)))</f>
        <v>1</v>
      </c>
      <c r="BT7" s="16" t="n">
        <f aca="false">IF(OR($BS7="",$BS7=9999,$BS7=0),"",IFERROR(INDEX(Raw!$N$2:$N$1001,MATCH($A7&amp;"|N|"&amp;$BS7,Raw!$S$2:$S$1001,0)),""))</f>
        <v>-1.139</v>
      </c>
      <c r="BU7" s="9" t="n">
        <f aca="false">IF($B7="","",SUMPRODUCT(MIN((Raw!$A$2:$A$1001=$A7)*(Raw!$R$2:$R$1001="C")*(Raw!$I$2:$I$1001=1)*Raw!$D$2:$D$1001+(1-(Raw!$A$2:$A$1001=$A7)*(Raw!$R$2:$R$1001="C")*(Raw!$I$2:$I$1001=1))*9999)))</f>
        <v>5</v>
      </c>
      <c r="BV7" s="9" t="n">
        <f aca="false">IF(OR($BU7="",$BU7=9999),"",SUMPRODUCT(MIN((Raw!$A$2:$A$1001=$A7)*(Raw!$R$2:$R$1001="C")*(Raw!$I$2:$I$1001=0)*(Raw!$D$2:$D$1001&gt;$BU7)*Raw!$D$2:$D$1001+(1-(Raw!$A$2:$A$1001=$A7)*(Raw!$R$2:$R$1001="C")*(Raw!$I$2:$I$1001=0)*(Raw!$D$2:$D$1001&gt;$BU7))*9999)))</f>
        <v>6</v>
      </c>
      <c r="BW7" s="16" t="n">
        <f aca="false">IF(OR($BV7="",$BV7=9999,$BV7=0),"",IFERROR(INDEX(Raw!$O$2:$O$1001,MATCH($A7&amp;"|C|"&amp;$BV7,Raw!$S$2:$S$1001,0)),""))</f>
        <v>-25.353</v>
      </c>
      <c r="BX7" s="9" t="n">
        <f aca="false">IF($B7="","",IF(ISNUMBER(SEARCH(","&amp;$A7&amp;",",","&amp;SUBSTITUTE(Setup!$B$16," ","")&amp;",")),1,0))</f>
        <v>0</v>
      </c>
      <c r="BY7" s="9" t="n">
        <f aca="false">IF($B7="","",IF(ISNUMBER(SEARCH(","&amp;$A7&amp;",",","&amp;SUBSTITUTE(Setup!$B$17," ","")&amp;",")),1,0))</f>
        <v>0</v>
      </c>
      <c r="BZ7" s="22" t="str">
        <f aca="false">IF($AS7="","",IF(Fits!$B$38="Row",$AQ7,IF($AR7="","",$AR7)))</f>
        <v/>
      </c>
      <c r="CA7" s="22" t="str">
        <f aca="false">IF($AT7="","",IF(Fits!$B$50="Row",$AQ7,IF($AR7="","",$AR7)))</f>
        <v/>
      </c>
      <c r="CB7" s="20" t="str">
        <f aca="false">IF(OR($D7&lt;&gt;"Drift",$X7="",$A7&lt;IF(Setup!$B$14="",0,Setup!$B$14),Fits!$B$107&lt;3,Fits!$B$110="",Fits!$B$109=0,IF(Fits!$B$38="Row",$AQ7,$AR7)=""),"",IF($BX7=1,IF(OR(Fits!$B$111="",Fits!$B$111=0),"",($X7-(IF(Fits!$B$38="Row",Fits!$B$32,Fits!$B$35)*IF(Fits!$B$38="Row",$AQ7,$AR7)+Fits!$B$110))/(Fits!$B$111*SQRT(1+(1/Fits!$B$107+(IF(Fits!$B$38="Row",$AQ7,$AR7)-Fits!$B$108)^2/Fits!$B$109)))),IF(OR(Fits!$B$107&lt;4,(1/Fits!$B$107+(IF(Fits!$B$38="Row",$AQ7,$AR7)-Fits!$B$108)^2/Fits!$B$109)&gt;=1),"",IF((Fits!$B$116-($X7-(IF(Fits!$B$38="Row",Fits!$B$32,Fits!$B$35)*IF(Fits!$B$38="Row",$AQ7,$AR7)+Fits!$B$110))^2/(1-(1/Fits!$B$107+(IF(Fits!$B$38="Row",$AQ7,$AR7)-Fits!$B$108)^2/Fits!$B$109)))&lt;=0,"",($X7-(IF(Fits!$B$38="Row",Fits!$B$32,Fits!$B$35)*IF(Fits!$B$38="Row",$AQ7,$AR7)+Fits!$B$110))/(SQRT((Fits!$B$116-($X7-(IF(Fits!$B$38="Row",Fits!$B$32,Fits!$B$35)*IF(Fits!$B$38="Row",$AQ7,$AR7)+Fits!$B$110))^2/(1-(1/Fits!$B$107+(IF(Fits!$B$38="Row",$AQ7,$AR7)-Fits!$B$108)^2/Fits!$B$109)))/(Fits!$B$107-3))*SQRT(1-(1/Fits!$B$107+(IF(Fits!$B$38="Row",$AQ7,$AR7)-Fits!$B$108)^2/Fits!$B$109)))))))</f>
        <v/>
      </c>
      <c r="CC7" s="20" t="str">
        <f aca="false">IF(OR($D7&lt;&gt;"Drift",$AC7="",$A7&lt;IF(Setup!$B$14="",0,Setup!$B$14),Fits!$B$120&lt;3,Fits!$B$123="",Fits!$B$122=0,IF(Fits!$B$50="Row",$AQ7,$AR7)=""),"",IF($BY7=1,IF(OR(Fits!$B$124="",Fits!$B$124=0),"",($AC7-(IF(Fits!$B$50="Row",Fits!$B$44,Fits!$B$47)*IF(Fits!$B$50="Row",$AQ7,$AR7)+Fits!$B$123))/(Fits!$B$124*SQRT(1+(1/Fits!$B$120+(IF(Fits!$B$50="Row",$AQ7,$AR7)-Fits!$B$121)^2/Fits!$B$122)))),IF(OR(Fits!$B$120&lt;4,(1/Fits!$B$120+(IF(Fits!$B$50="Row",$AQ7,$AR7)-Fits!$B$121)^2/Fits!$B$122)&gt;=1),"",IF((Fits!$B$129-($AC7-(IF(Fits!$B$50="Row",Fits!$B$44,Fits!$B$47)*IF(Fits!$B$50="Row",$AQ7,$AR7)+Fits!$B$123))^2/(1-(1/Fits!$B$120+(IF(Fits!$B$50="Row",$AQ7,$AR7)-Fits!$B$121)^2/Fits!$B$122)))&lt;=0,"",($AC7-(IF(Fits!$B$50="Row",Fits!$B$44,Fits!$B$47)*IF(Fits!$B$50="Row",$AQ7,$AR7)+Fits!$B$123))/(SQRT((Fits!$B$129-($AC7-(IF(Fits!$B$50="Row",Fits!$B$44,Fits!$B$47)*IF(Fits!$B$50="Row",$AQ7,$AR7)+Fits!$B$123))^2/(1-(1/Fits!$B$120+(IF(Fits!$B$50="Row",$AQ7,$AR7)-Fits!$B$121)^2/Fits!$B$122)))/(Fits!$B$120-3))*SQRT(1-(1/Fits!$B$120+(IF(Fits!$B$50="Row",$AQ7,$AR7)-Fits!$B$121)^2/Fits!$B$122)))))))</f>
        <v/>
      </c>
      <c r="CD7" s="9" t="str">
        <f aca="false">IF($AU7="","",1)</f>
        <v/>
      </c>
      <c r="CE7" s="24" t="str">
        <f aca="false">IF($AU7="","",$AU7-Fits!$B$133)</f>
        <v/>
      </c>
      <c r="CF7" s="24" t="str">
        <f aca="false">IF($AU7="","",($AV7-(Fits!$B$56*$AU7+Fits!$B$57))-Fits!$B$56*($AU7-Fits!$B$133))</f>
        <v/>
      </c>
      <c r="CG7" s="25" t="str">
        <f aca="false">IF($AU7="","",$AU7^2)</f>
        <v/>
      </c>
      <c r="CH7" s="9" t="str">
        <f aca="false">IF($AW7="","",1)</f>
        <v/>
      </c>
      <c r="CI7" s="24" t="str">
        <f aca="false">IF($AW7="","",$AW7-Fits!$B$153)</f>
        <v/>
      </c>
      <c r="CJ7" s="24" t="str">
        <f aca="false">IF($AW7="","",($AX7-(Fits!$B$63*$AW7+Fits!$B$64))-Fits!$B$63*($AW7-Fits!$B$153))</f>
        <v/>
      </c>
      <c r="CK7" s="25" t="str">
        <f aca="false">IF($AW7="","",$AW7^2)</f>
        <v/>
      </c>
      <c r="CL7" s="26" t="n">
        <f aca="false">IF(OR($Z7="",Fits!$B$55&lt;3,Fits!$B$133="",Fits!$B$134="",Fits!$B$134=0,Fits!$B$136=""),"",SQRT((Fits!$B$136*Fits!$B$56)^2+SUMPRODUCT((Fits!$J$163:$J$175*(Fits!$B$163:$B$175/Fits!$B$55+Fits!$H$163:$H$175*($Z7-Fits!$B$133)/Fits!$B$134))^2)+SUMPRODUCT((Fits!$G$163:$G$175*(($Z7-Fits!$B$133)*Fits!$I$163:$I$175/Fits!$B$134-Fits!$B$163:$B$175*Fits!$B$56/Fits!$B$55))^2)))</f>
        <v>0.252093906220177</v>
      </c>
      <c r="CM7" s="26" t="n">
        <f aca="false">IF($CL7="","",Setup!$B$32*$CL7)</f>
        <v>0.504187812440353</v>
      </c>
      <c r="CN7" s="26" t="n">
        <f aca="false">IF(OR($AE7="",Fits!$B$62&lt;3,Fits!$B$153="",Fits!$B$154="",Fits!$B$154=0,Fits!$B$156=""),"",SQRT((Fits!$B$156*Fits!$B$63)^2+SUMPRODUCT((Fits!$J$183:$J$195*(Fits!$B$183:$B$195/Fits!$B$62+Fits!$H$183:$H$195*($AE7-Fits!$B$153)/Fits!$B$154))^2)+SUMPRODUCT((Fits!$G$183:$G$195*(($AE7-Fits!$B$153)*Fits!$I$183:$I$195/Fits!$B$154-Fits!$B$183:$B$195*Fits!$B$63/Fits!$B$62))^2)))</f>
        <v>0.0379302338197214</v>
      </c>
      <c r="CO7" s="26" t="n">
        <f aca="false">IF($CN7="","",Setup!$B$32*$CN7)</f>
        <v>0.0758604676394428</v>
      </c>
      <c r="CP7" s="9" t="n">
        <f aca="false">IF(OR(NOT(ISNUMBER($BJ7)),$EK7=1),$CP6,IF($BJ7&lt;=Setup!$B$26,$CP6+1,0))</f>
        <v>0</v>
      </c>
      <c r="CQ7" s="9" t="n">
        <f aca="false">IF($BT7="","",$A7)</f>
        <v>2</v>
      </c>
      <c r="CR7" s="9" t="n">
        <f aca="false">IF($BW7="","",$A7)</f>
        <v>2</v>
      </c>
      <c r="CS7" s="9" t="n">
        <f aca="false">IF($B7="","",IF(Setup!$A$37="",0,IF(ISNUMBER(SEARCH(Setup!$A$37,$B7)),37,0)))</f>
        <v>0</v>
      </c>
      <c r="CT7" s="9" t="n">
        <f aca="false">IF($B7="","",IF(Setup!$A$38="",0,IF(ISNUMBER(SEARCH(Setup!$A$38,$B7)),38,0)))</f>
        <v>0</v>
      </c>
      <c r="CU7" s="9" t="n">
        <f aca="false">IF($B7="","",IF(Setup!$A$39="",0,IF(ISNUMBER(SEARCH(Setup!$A$39,$B7)),39,0)))</f>
        <v>0</v>
      </c>
      <c r="CV7" s="9" t="n">
        <f aca="false">IF($B7="","",IF(Setup!$A$40="",0,IF(ISNUMBER(SEARCH(Setup!$A$40,$B7)),40,0)))</f>
        <v>0</v>
      </c>
      <c r="CW7" s="9" t="n">
        <f aca="false">IF($B7="","",IF(Setup!$A$41="",0,IF(ISNUMBER(SEARCH(Setup!$A$41,$B7)),41,0)))</f>
        <v>0</v>
      </c>
      <c r="CX7" s="9" t="n">
        <f aca="false">IF($B7="","",IF(Setup!$A$42="",0,IF(ISNUMBER(SEARCH(Setup!$A$42,$B7)),42,0)))</f>
        <v>0</v>
      </c>
      <c r="CY7" s="9" t="n">
        <f aca="false">IF($B7="","",IF(Setup!$A$43="",0,IF(ISNUMBER(SEARCH(Setup!$A$43,$B7)),43,0)))</f>
        <v>0</v>
      </c>
      <c r="CZ7" s="9" t="n">
        <f aca="false">IF($B7="","",IF(Setup!$A$44="",0,IF(ISNUMBER(SEARCH(Setup!$A$44,$B7)),44,0)))</f>
        <v>44</v>
      </c>
      <c r="DA7" s="9" t="n">
        <f aca="false">IF($B7="","",IF(Setup!$A$45="",0,IF(ISNUMBER(SEARCH(Setup!$A$45,$B7)),45,0)))</f>
        <v>0</v>
      </c>
      <c r="DB7" s="9" t="n">
        <f aca="false">IF($B7="","",IF(Setup!$A$46="",0,IF(ISNUMBER(SEARCH(Setup!$A$46,$B7)),46,0)))</f>
        <v>0</v>
      </c>
      <c r="DC7" s="9" t="n">
        <f aca="false">IF($B7="","",IF(Setup!$A$47="",0,IF(ISNUMBER(SEARCH(Setup!$A$47,$B7)),47,0)))</f>
        <v>0</v>
      </c>
      <c r="DD7" s="9" t="n">
        <f aca="false">IF($B7="","",IF(Setup!$A$48="",0,IF(ISNUMBER(SEARCH(Setup!$A$48,$B7)),48,0)))</f>
        <v>0</v>
      </c>
      <c r="DE7" s="9" t="n">
        <f aca="false">IF($B7="","",IF(Setup!$A$49="",0,IF(ISNUMBER(SEARCH(Setup!$A$49,$B7)),49,0)))</f>
        <v>0</v>
      </c>
      <c r="DF7" s="9" t="n">
        <f aca="false">IF($B7="",NA(),$A7)</f>
        <v>2</v>
      </c>
      <c r="DG7" s="22" t="n">
        <f aca="false">IF($BI7="",NA(),$BI7)</f>
        <v>33.2</v>
      </c>
      <c r="DH7" s="22" t="n">
        <f aca="false">IF($N7="",NA(),$N7)</f>
        <v>37.2</v>
      </c>
      <c r="DI7" s="9" t="e">
        <f aca="false">IF(AND($D7="Drift",$N7&lt;&gt;""),$N7,NA())</f>
        <v>#N/A</v>
      </c>
      <c r="DJ7" s="9" t="str">
        <f aca="false">IF(AND($D7="Drift",$N7&lt;&gt;""),$N7,"")</f>
        <v/>
      </c>
      <c r="DK7" s="9" t="str">
        <f aca="false">IF($DJ7="","",$A7)</f>
        <v/>
      </c>
      <c r="DL7" s="9" t="e">
        <f aca="false">IF($AN7="",NA(),$AM7)</f>
        <v>#N/A</v>
      </c>
      <c r="DM7" s="9" t="e">
        <f aca="false">IF($AN7="",NA(),$AN7)</f>
        <v>#N/A</v>
      </c>
      <c r="DN7" s="9" t="e">
        <f aca="false">IF(AND($D7="Sample",$L7&lt;&gt;""),$L7,NA())</f>
        <v>#N/A</v>
      </c>
      <c r="DO7" s="9" t="e">
        <f aca="false">IF(AND($D7="Sample",$L7&lt;&gt;"",Fits!$B$98&lt;&gt;""),Fits!$B$98,NA())</f>
        <v>#N/A</v>
      </c>
      <c r="DP7" s="9" t="e">
        <f aca="false">IF($AS7="",NA(),$AS7)</f>
        <v>#N/A</v>
      </c>
      <c r="DQ7" s="9" t="e">
        <f aca="false">IF(AND($D7="Drift",$AS7="",$X7&lt;&gt;""),$X7,NA())</f>
        <v>#N/A</v>
      </c>
      <c r="DR7" s="9" t="e">
        <f aca="false">IF(AND($D7="Drift",$Z7&lt;&gt;""),$Z7,NA())</f>
        <v>#N/A</v>
      </c>
      <c r="DS7" s="9" t="e">
        <f aca="false">IF(AND(OR($D7="Sample",$D7="Check"),$AA7&lt;&gt;""),$AA7,NA())</f>
        <v>#N/A</v>
      </c>
      <c r="DT7" s="25" t="n">
        <f aca="false">IF(OR($B7="",Fits!$B$138=""),NA(),Fits!$B$138)</f>
        <v>1.76</v>
      </c>
      <c r="DU7" s="25" t="n">
        <f aca="false">IF(OR($B7="",Fits!$B$139=""),NA(),Fits!$B$139)</f>
        <v>20.68</v>
      </c>
      <c r="DV7" s="24" t="n">
        <f aca="false">IF($BT7="",NA(),$BT7)</f>
        <v>-1.139</v>
      </c>
      <c r="DW7" s="9" t="e">
        <f aca="false">IF($AP7="",NA(),$AO7)</f>
        <v>#N/A</v>
      </c>
      <c r="DX7" s="9" t="e">
        <f aca="false">IF($AP7="",NA(),$AP7)</f>
        <v>#N/A</v>
      </c>
      <c r="DY7" s="9" t="e">
        <f aca="false">IF(AND($D7="Sample",$P7&lt;&gt;""),$P7,NA())</f>
        <v>#N/A</v>
      </c>
      <c r="DZ7" s="9" t="e">
        <f aca="false">IF(AND($D7="Sample",$P7&lt;&gt;"",Fits!$B$105&lt;&gt;""),Fits!$B$105,NA())</f>
        <v>#N/A</v>
      </c>
      <c r="EA7" s="9" t="e">
        <f aca="false">IF($AT7="",NA(),$AT7)</f>
        <v>#N/A</v>
      </c>
      <c r="EB7" s="9" t="e">
        <f aca="false">IF(AND($D7="Drift",$AT7="",$AC7&lt;&gt;""),$AC7,NA())</f>
        <v>#N/A</v>
      </c>
      <c r="EC7" s="9" t="e">
        <f aca="false">IF(AND($D7="Drift",$AE7&lt;&gt;""),$AE7,NA())</f>
        <v>#N/A</v>
      </c>
      <c r="ED7" s="9" t="e">
        <f aca="false">IF(AND(OR($D7="Sample",$D7="Check"),$AF7&lt;&gt;""),$AF7,NA())</f>
        <v>#N/A</v>
      </c>
      <c r="EE7" s="25" t="n">
        <f aca="false">IF(OR($B7="",Fits!$B$158=""),NA(),Fits!$B$158)</f>
        <v>-40.81</v>
      </c>
      <c r="EF7" s="25" t="n">
        <f aca="false">IF(OR($B7="",Fits!$B$159=""),NA(),Fits!$B$159)</f>
        <v>-20.29</v>
      </c>
      <c r="EG7" s="24" t="n">
        <f aca="false">IF($BW7="",NA(),$BW7)</f>
        <v>-25.353</v>
      </c>
      <c r="EH7" s="9" t="e">
        <f aca="false">IF(AND($EN7=1,ISNUMBER($N7)),$N7,NA())</f>
        <v>#N/A</v>
      </c>
      <c r="EI7" s="9" t="n">
        <f aca="false">IF($B7="","",$A7)</f>
        <v>2</v>
      </c>
      <c r="EJ7" s="9" t="n">
        <f aca="false">IF(OR(AND(ISNUMBER($L7),Fits!$B$97&gt;0,$L7&gt;Fits!$B$97),AND(ISNUMBER($P7),Fits!$B$104&gt;0,$P7&gt;Fits!$B$104)),1,0)</f>
        <v>1</v>
      </c>
      <c r="EK7" s="9" t="n">
        <f aca="false">IF($EJ6=1,1,0)</f>
        <v>0</v>
      </c>
      <c r="EL7" s="22" t="n">
        <f aca="false">IF(AND($EK7=0,ISNUMBER($N7)),$N7,$EL6)</f>
        <v>37.2</v>
      </c>
      <c r="EM7" s="9" t="str">
        <f aca="false">IF(AND($EK7=1,ISNUMBER($N7),ISNUMBER($EL7)),$N7-$EL7,"")</f>
        <v/>
      </c>
      <c r="EN7" s="9" t="n">
        <f aca="false">IF(Setup!$B$28="",0,IF(ISNUMBER($EM7),IF($EM7&gt;Setup!$B$28,1,0),0))</f>
        <v>0</v>
      </c>
      <c r="EO7" s="9" t="str">
        <f aca="false">IF($EN7=1,COUNTIF($EN$6:$EN7,1),"")</f>
        <v/>
      </c>
      <c r="EP7" s="9" t="n">
        <f aca="false">IF(AND($EJ6=1,OR($D7="Sample",$D7="Check")),1,0)</f>
        <v>0</v>
      </c>
      <c r="EQ7" s="22" t="n">
        <f aca="false">IF(ISNUMBER($BI7),IF(COUNT($BI$6:$BI7)&lt;=5,$BI7,""),"")</f>
        <v>33.2</v>
      </c>
      <c r="ER7" s="9" t="str">
        <f aca="false">IF(OR(NOT(ISNUMBER($BJ7)),$EK7=1),$ER6,IF($BJ7&lt;=Setup!$B$26,IF($CP6=0,$A7,$ER6),""))</f>
        <v/>
      </c>
    </row>
    <row r="8" customFormat="false" ht="15" hidden="false" customHeight="false" outlineLevel="0" collapsed="false">
      <c r="A8" s="8" t="n">
        <v>3</v>
      </c>
      <c r="B8" s="8" t="str">
        <f aca="false">IFERROR(INDEX(Raw!$B$2:$B$1001,MATCH($A8,Raw!$A$2:$A$1001,0)),"")</f>
        <v>Ace Bypass</v>
      </c>
      <c r="C8" s="9" t="n">
        <f aca="false">IF($B8="","",MAX($CS8:$DE8))</f>
        <v>44</v>
      </c>
      <c r="D8" s="8" t="str">
        <f aca="false">IF($B8="","",IF($C8=0,"Sample",INDEX(Setup!$B$37:$B$49,$C8-36)))</f>
        <v>Exclude</v>
      </c>
      <c r="E8" s="16" t="n">
        <f aca="false">IF($B8="","",IFERROR(IF(INDEX(Raw!$E$2:$E$1001,MATCH($A8,Raw!$A$2:$A$1001,0))=0,"",INDEX(Raw!$E$2:$E$1001,MATCH($A8,Raw!$A$2:$A$1001,0))),""))</f>
        <v>0.49</v>
      </c>
      <c r="F8" s="18"/>
      <c r="G8" s="16" t="n">
        <f aca="false">IF($B8="","",IF($F8&lt;&gt;"",$F8,IF($E8="","",$E8)))</f>
        <v>0.49</v>
      </c>
      <c r="H8" s="9" t="n">
        <f aca="false">IF($B8="","",SUMPRODUCT(MAX((Raw!$A$2:$A$1001=$A8)*(Raw!$R$2:$R$1001="N")*Raw!$D$2:$D$1001)))</f>
        <v>3</v>
      </c>
      <c r="I8" s="9" t="str">
        <f aca="false">IF(OR($H8="",$H8=0),"",$A8&amp;"|N|"&amp;$H8)</f>
        <v>3|N|3</v>
      </c>
      <c r="J8" s="9" t="n">
        <f aca="false">IF($B8="","",SUMPRODUCT(MIN((Raw!$A$2:$A$1001=$A8)*(Raw!$R$2:$R$1001="C")*Raw!$D$2:$D$1001+(1-(Raw!$A$2:$A$1001=$A8)*(Raw!$R$2:$R$1001="C"))*9999)))</f>
        <v>4</v>
      </c>
      <c r="K8" s="9" t="str">
        <f aca="false">IF(OR($J8="",$J8=0,$J8=9999),"",$A8&amp;"|C|"&amp;$J8)</f>
        <v>3|C|4</v>
      </c>
      <c r="L8" s="16" t="n">
        <f aca="false">IF($I8="","",IF(INDEX(Raw!$I$2:$I$1001,MATCH($I8,Raw!$S$2:$S$1001,0))&lt;&gt;0,"",INDEX(Raw!$H$2:$H$1001,MATCH($I8,Raw!$S$2:$S$1001,0))))</f>
        <v>34.829</v>
      </c>
      <c r="M8" s="19" t="n">
        <f aca="false">IF($I8="","",IF(INDEX(Raw!$I$2:$I$1001,MATCH($I8,Raw!$S$2:$S$1001,0))&lt;&gt;0,"",INDEX(Raw!$F$2:$F$1001,MATCH($I8,Raw!$S$2:$S$1001,0))))</f>
        <v>1952</v>
      </c>
      <c r="N8" s="20" t="n">
        <f aca="false">IF($I8="","",IF(INDEX(Raw!$I$2:$I$1001,MATCH($I8,Raw!$S$2:$S$1001,0))&lt;&gt;0,"",INDEX(Raw!$G$2:$G$1001,MATCH($I8,Raw!$S$2:$S$1001,0))))</f>
        <v>36.4</v>
      </c>
      <c r="O8" s="16" t="n">
        <f aca="false">IF($I8="","",IF(INDEX(Raw!$I$2:$I$1001,MATCH($I8,Raw!$S$2:$S$1001,0))&lt;&gt;0,"",INDEX(Raw!$N$2:$N$1001,MATCH($I8,Raw!$S$2:$S$1001,0))))</f>
        <v>-4.515</v>
      </c>
      <c r="P8" s="16" t="n">
        <f aca="false">IF($K8="","",IF(INDEX(Raw!$I$2:$I$1001,MATCH($K8,Raw!$S$2:$S$1001,0))&lt;&gt;0,"",INDEX(Raw!$K$2:$K$1001,MATCH($K8,Raw!$S$2:$S$1001,0))))</f>
        <v>155.895</v>
      </c>
      <c r="Q8" s="19" t="n">
        <f aca="false">IF($K8="","",IF(INDEX(Raw!$I$2:$I$1001,MATCH($K8,Raw!$S$2:$S$1001,0))&lt;&gt;0,"",INDEX(Raw!$J$2:$J$1001,MATCH($K8,Raw!$S$2:$S$1001,0))))</f>
        <v>6715</v>
      </c>
      <c r="R8" s="16" t="n">
        <f aca="false">IF($K8="","",IF(INDEX(Raw!$I$2:$I$1001,MATCH($K8,Raw!$S$2:$S$1001,0))&lt;&gt;0,"",INDEX(Raw!$O$2:$O$1001,MATCH($K8,Raw!$S$2:$S$1001,0))))</f>
        <v>-9.45</v>
      </c>
      <c r="S8" s="21" t="str">
        <f aca="false">IF($B8="","",IF($C8=0,"",IF(INDEX(Setup!$D$37:$D$49,$C8-36)="","",INDEX(Setup!$D$37:$D$49,$C8-36))))</f>
        <v/>
      </c>
      <c r="T8" s="21" t="str">
        <f aca="false">IF($B8="","",IF($C8=0,"",IF(INDEX(Setup!$C$37:$C$49,$C8-36)="","",INDEX(Setup!$C$37:$C$49,$C8-36))))</f>
        <v/>
      </c>
      <c r="U8" s="21" t="n">
        <f aca="false">IF($B8="","",IF($C8=0,"",IF(INDEX(Setup!$F$37:$F$49,$C8-36)="","",INDEX(Setup!$F$37:$F$49,$C8-36))))</f>
        <v>10.36</v>
      </c>
      <c r="V8" s="21" t="n">
        <f aca="false">IF($B8="","",IF($C8=0,"",IF(INDEX(Setup!$E$37:$E$49,$C8-36)="","",INDEX(Setup!$E$37:$E$49,$C8-36))))</f>
        <v>71.09</v>
      </c>
      <c r="W8" s="16" t="n">
        <f aca="false">IF($O8="","",IF(OR(Fits!$C$5&lt;&gt;"Yes",$D8="Blank",$L8&lt;=Fits!$B$6),$O8,($L8*$O8-Fits!$B$6*Fits!$B$7)/($L8-Fits!$B$6)))</f>
        <v>-4.515</v>
      </c>
      <c r="X8" s="16" t="n">
        <f aca="false">IF($W8="","",$W8-Fits!$B$20*($L8-Fits!$B$16))</f>
        <v>-4.515</v>
      </c>
      <c r="Y8" s="22" t="n">
        <f aca="false">IF($W8="","",IF(OR(Fits!$B$38="Row",$BI8=""),$A8,$BI8))</f>
        <v>3</v>
      </c>
      <c r="Z8" s="16" t="n">
        <f aca="false">IF($X8="","",$X8-Fits!$B$39*($Y8-Fits!$B$40))</f>
        <v>-4.9689799998295</v>
      </c>
      <c r="AA8" s="23" t="n">
        <f aca="false">IF(OR($Z8="",Fits!$B$55&lt;2),"",Fits!$B$56*$Z8+Fits!$B$57)</f>
        <v>-4.07387454946544</v>
      </c>
      <c r="AB8" s="16" t="n">
        <f aca="false">IF($R8="","",IF(OR(Fits!$C$9&lt;&gt;"Yes",$D8="Blank",$P8&lt;=Fits!$B$10),$R8,($P8*$R8-Fits!$B$10*Fits!$B$11)/($P8-Fits!$B$10)))</f>
        <v>-9.45</v>
      </c>
      <c r="AC8" s="16" t="n">
        <f aca="false">IF($AB8="","",$AB8-Fits!$B$28*($P8-Fits!$B$24))</f>
        <v>-9.49909143236982</v>
      </c>
      <c r="AD8" s="22" t="n">
        <f aca="false">IF($AB8="","",IF(OR(Fits!$B$50="Row",$BI8=""),$A8,$BI8))</f>
        <v>3</v>
      </c>
      <c r="AE8" s="16" t="n">
        <f aca="false">IF($AC8="","",$AC8-Fits!$B$51*($AD8-Fits!$B$52))</f>
        <v>-9.41916321152157</v>
      </c>
      <c r="AF8" s="23" t="n">
        <f aca="false">IF(OR($AE8="",Fits!$B$62&lt;2),"",Fits!$B$63*$AE8+Fits!$B$64)</f>
        <v>-26.5446908409081</v>
      </c>
      <c r="AG8" s="21" t="n">
        <f aca="false">IF(OR($L8="",Fits!$B$69&lt;3),"",($L8-Fits!$B$71)/Fits!$B$70)</f>
        <v>54.2555009270791</v>
      </c>
      <c r="AH8" s="21" t="n">
        <f aca="false">IF(OR($P8="",Fits!$B$75&lt;3),"",($P8-Fits!$B$77)/Fits!$B$76)</f>
        <v>351.093712796917</v>
      </c>
      <c r="AI8" s="23" t="n">
        <f aca="false">IF(OR($AG8="",$G8="",$G8=0),"",$AG8/($G8*1000)*100)</f>
        <v>11.072551209608</v>
      </c>
      <c r="AJ8" s="23" t="n">
        <f aca="false">IF(OR($AH8="",$G8="",$G8=0),"",$AH8/($G8*1000)*100)</f>
        <v>71.6517781218199</v>
      </c>
      <c r="AK8" s="23" t="n">
        <f aca="false">IF(OR($AG8="",$AH8="",$AG8&lt;=0),"",($AH8/Setup!$B$52)/($AG8/Setup!$B$53))</f>
        <v>7.54649409460983</v>
      </c>
      <c r="AL8" s="23" t="n">
        <f aca="false">IF(OR($AG8="",$AH8="",$AG8&lt;=0),"",$AH8/$AG8)</f>
        <v>6.47111733921316</v>
      </c>
      <c r="AM8" s="9" t="str">
        <f aca="false">IF($D8="Linearity",IF($L8="","",$L8),"")</f>
        <v/>
      </c>
      <c r="AN8" s="9" t="str">
        <f aca="false">IF($D8="Linearity",IF($W8="","",$W8),"")</f>
        <v/>
      </c>
      <c r="AO8" s="9" t="str">
        <f aca="false">IF($D8="Linearity",IF($P8="","",$P8),"")</f>
        <v/>
      </c>
      <c r="AP8" s="9" t="str">
        <f aca="false">IF($D8="Linearity",IF($AB8="","",$AB8),"")</f>
        <v/>
      </c>
      <c r="AQ8" s="9" t="str">
        <f aca="false">IF($D8="Drift",IF($A8&lt;IF(Setup!$B$14="",0,Setup!$B$14),"",$A8),"")</f>
        <v/>
      </c>
      <c r="AR8" s="9" t="str">
        <f aca="false">IF($D8="Drift",IF($A8&lt;IF(Setup!$B$14="",0,Setup!$B$14),"",IF($BI8="","",$BI8)),"")</f>
        <v/>
      </c>
      <c r="AS8" s="9" t="str">
        <f aca="false">IF($D8="Drift",IF($A8&lt;IF(Setup!$B$14="",0,Setup!$B$14),"",IF(OR($X8="",$BX8=1),"",$X8)),"")</f>
        <v/>
      </c>
      <c r="AT8" s="9" t="str">
        <f aca="false">IF($D8="Drift",IF($A8&lt;IF(Setup!$B$14="",0,Setup!$B$14),"",IF(OR($AC8="",$BY8=1),"",$AC8)),"")</f>
        <v/>
      </c>
      <c r="AU8" s="9" t="str">
        <f aca="false">IF($D8="Anchor",IF(OR($Z8="",$S8=""),"",$Z8),"")</f>
        <v/>
      </c>
      <c r="AV8" s="9" t="str">
        <f aca="false">IF($D8="Anchor",IF(OR($Z8="",$S8=""),"",$S8),"")</f>
        <v/>
      </c>
      <c r="AW8" s="9" t="str">
        <f aca="false">IF($D8="Anchor",IF(OR($AE8="",$T8=""),"",$AE8),"")</f>
        <v/>
      </c>
      <c r="AX8" s="9" t="str">
        <f aca="false">IF($D8="Anchor",IF(OR($AE8="",$T8=""),"",$T8),"")</f>
        <v/>
      </c>
      <c r="AY8" s="9" t="str">
        <f aca="false">IF(OR($D8="Blank",$D8="Exclude",$D8="Sample",$D8="",$G8="",$U8="",$L8=""),"",$G8*1000*$U8/100)</f>
        <v/>
      </c>
      <c r="AZ8" s="9" t="str">
        <f aca="false">IF($AY8="","",$L8)</f>
        <v/>
      </c>
      <c r="BA8" s="9" t="str">
        <f aca="false">IF(OR($D8="Blank",$D8="Exclude",$D8="Sample",$D8="",$G8="",$V8="",$P8=""),"",$G8*1000*$V8/100)</f>
        <v/>
      </c>
      <c r="BB8" s="9" t="str">
        <f aca="false">IF($BA8="","",$P8)</f>
        <v/>
      </c>
      <c r="BC8" s="9" t="str">
        <f aca="false">IF(AND($D8="Blank",$L8&lt;&gt;""),$O8,"")</f>
        <v/>
      </c>
      <c r="BD8" s="9" t="str">
        <f aca="false">IF($BC8="","",$L8)</f>
        <v/>
      </c>
      <c r="BE8" s="9" t="str">
        <f aca="false">IF(AND($D8="Blank",$P8&lt;&gt;""),$R8,"")</f>
        <v/>
      </c>
      <c r="BF8" s="9" t="str">
        <f aca="false">IF($BE8="","",$P8)</f>
        <v/>
      </c>
      <c r="BG8" s="9" t="str">
        <f aca="false">IF(AND($D8="Drift",$BX8&lt;&gt;1),IF($AA8="","",$AA8),"")</f>
        <v/>
      </c>
      <c r="BH8" s="9" t="str">
        <f aca="false">IF(AND($D8="Drift",$BY8&lt;&gt;1),IF($AF8="","",$AF8),"")</f>
        <v/>
      </c>
      <c r="BI8" s="20" t="n">
        <f aca="false">IF($B8="","",IFERROR(INDEX(Raw!$G$2:$G$1001,MATCH($A8&amp;"|N|"&amp;SUMPRODUCT(MAX((Raw!$A$2:$A$1001=$A8)*(Raw!$R$2:$R$1001="N")*(Raw!$I$2:$I$1001=1)*Raw!$D$2:$D$1001)),Raw!$S$2:$S$1001,0)),""))</f>
        <v>32.7</v>
      </c>
      <c r="BJ8" s="21" t="n">
        <f aca="false">IF(OR($BI8="",Fits!$B$85&lt;=0),"",($BI8-Fits!$B$83)/Fits!$B$85)</f>
        <v>0.864864864864865</v>
      </c>
      <c r="BK8" s="9" t="str">
        <f aca="false">IF($AS8="","",IF($A8&gt;=Fits!$B$86,"",$A8))</f>
        <v/>
      </c>
      <c r="BL8" s="9" t="str">
        <f aca="false">IF($BK8="","",$X8)</f>
        <v/>
      </c>
      <c r="BM8" s="9" t="str">
        <f aca="false">IF($AS8="","",IF($A8&lt;Fits!$B$86,"",$A8))</f>
        <v/>
      </c>
      <c r="BN8" s="9" t="str">
        <f aca="false">IF($BM8="","",$X8)</f>
        <v/>
      </c>
      <c r="BO8" s="9" t="str">
        <f aca="false">IF(AND($D8="Drift",$BX8&lt;&gt;1),IF($O8="","",$O8),"")</f>
        <v/>
      </c>
      <c r="BP8" s="9" t="str">
        <f aca="false">IF(AND($D8="Drift",$BX8&lt;&gt;1),IF($W8="","",$W8),"")</f>
        <v/>
      </c>
      <c r="BQ8" s="9" t="str">
        <f aca="false">IF(AND($D8="Drift",$BX8&lt;&gt;1),IF($X8="","",$X8),"")</f>
        <v/>
      </c>
      <c r="BR8" s="9" t="str">
        <f aca="false">IF(AND($D8="Drift",$BX8&lt;&gt;1),IF($Z8="","",$Z8),"")</f>
        <v/>
      </c>
      <c r="BS8" s="9" t="n">
        <f aca="false">IF(OR($B8="",$H8=""),"",SUMPRODUCT(MIN((Raw!$A$2:$A$1001=$A8)*(Raw!$R$2:$R$1001="N")*(Raw!$I$2:$I$1001=0)*(Raw!$D$2:$D$1001&lt;$H8)*Raw!$D$2:$D$1001+(1-(Raw!$A$2:$A$1001=$A8)*(Raw!$R$2:$R$1001="N")*(Raw!$I$2:$I$1001=0)*(Raw!$D$2:$D$1001&lt;$H8))*9999)))</f>
        <v>1</v>
      </c>
      <c r="BT8" s="16" t="n">
        <f aca="false">IF(OR($BS8="",$BS8=9999,$BS8=0),"",IFERROR(INDEX(Raw!$N$2:$N$1001,MATCH($A8&amp;"|N|"&amp;$BS8,Raw!$S$2:$S$1001,0)),""))</f>
        <v>-1.2</v>
      </c>
      <c r="BU8" s="9" t="n">
        <f aca="false">IF($B8="","",SUMPRODUCT(MIN((Raw!$A$2:$A$1001=$A8)*(Raw!$R$2:$R$1001="C")*(Raw!$I$2:$I$1001=1)*Raw!$D$2:$D$1001+(1-(Raw!$A$2:$A$1001=$A8)*(Raw!$R$2:$R$1001="C")*(Raw!$I$2:$I$1001=1))*9999)))</f>
        <v>5</v>
      </c>
      <c r="BV8" s="9" t="n">
        <f aca="false">IF(OR($BU8="",$BU8=9999),"",SUMPRODUCT(MIN((Raw!$A$2:$A$1001=$A8)*(Raw!$R$2:$R$1001="C")*(Raw!$I$2:$I$1001=0)*(Raw!$D$2:$D$1001&gt;$BU8)*Raw!$D$2:$D$1001+(1-(Raw!$A$2:$A$1001=$A8)*(Raw!$R$2:$R$1001="C")*(Raw!$I$2:$I$1001=0)*(Raw!$D$2:$D$1001&gt;$BU8))*9999)))</f>
        <v>6</v>
      </c>
      <c r="BW8" s="16" t="n">
        <f aca="false">IF(OR($BV8="",$BV8=9999,$BV8=0),"",IFERROR(INDEX(Raw!$O$2:$O$1001,MATCH($A8&amp;"|C|"&amp;$BV8,Raw!$S$2:$S$1001,0)),""))</f>
        <v>-25.401</v>
      </c>
      <c r="BX8" s="9" t="n">
        <f aca="false">IF($B8="","",IF(ISNUMBER(SEARCH(","&amp;$A8&amp;",",","&amp;SUBSTITUTE(Setup!$B$16," ","")&amp;",")),1,0))</f>
        <v>0</v>
      </c>
      <c r="BY8" s="9" t="n">
        <f aca="false">IF($B8="","",IF(ISNUMBER(SEARCH(","&amp;$A8&amp;",",","&amp;SUBSTITUTE(Setup!$B$17," ","")&amp;",")),1,0))</f>
        <v>0</v>
      </c>
      <c r="BZ8" s="22" t="str">
        <f aca="false">IF($AS8="","",IF(Fits!$B$38="Row",$AQ8,IF($AR8="","",$AR8)))</f>
        <v/>
      </c>
      <c r="CA8" s="22" t="str">
        <f aca="false">IF($AT8="","",IF(Fits!$B$50="Row",$AQ8,IF($AR8="","",$AR8)))</f>
        <v/>
      </c>
      <c r="CB8" s="20" t="str">
        <f aca="false">IF(OR($D8&lt;&gt;"Drift",$X8="",$A8&lt;IF(Setup!$B$14="",0,Setup!$B$14),Fits!$B$107&lt;3,Fits!$B$110="",Fits!$B$109=0,IF(Fits!$B$38="Row",$AQ8,$AR8)=""),"",IF($BX8=1,IF(OR(Fits!$B$111="",Fits!$B$111=0),"",($X8-(IF(Fits!$B$38="Row",Fits!$B$32,Fits!$B$35)*IF(Fits!$B$38="Row",$AQ8,$AR8)+Fits!$B$110))/(Fits!$B$111*SQRT(1+(1/Fits!$B$107+(IF(Fits!$B$38="Row",$AQ8,$AR8)-Fits!$B$108)^2/Fits!$B$109)))),IF(OR(Fits!$B$107&lt;4,(1/Fits!$B$107+(IF(Fits!$B$38="Row",$AQ8,$AR8)-Fits!$B$108)^2/Fits!$B$109)&gt;=1),"",IF((Fits!$B$116-($X8-(IF(Fits!$B$38="Row",Fits!$B$32,Fits!$B$35)*IF(Fits!$B$38="Row",$AQ8,$AR8)+Fits!$B$110))^2/(1-(1/Fits!$B$107+(IF(Fits!$B$38="Row",$AQ8,$AR8)-Fits!$B$108)^2/Fits!$B$109)))&lt;=0,"",($X8-(IF(Fits!$B$38="Row",Fits!$B$32,Fits!$B$35)*IF(Fits!$B$38="Row",$AQ8,$AR8)+Fits!$B$110))/(SQRT((Fits!$B$116-($X8-(IF(Fits!$B$38="Row",Fits!$B$32,Fits!$B$35)*IF(Fits!$B$38="Row",$AQ8,$AR8)+Fits!$B$110))^2/(1-(1/Fits!$B$107+(IF(Fits!$B$38="Row",$AQ8,$AR8)-Fits!$B$108)^2/Fits!$B$109)))/(Fits!$B$107-3))*SQRT(1-(1/Fits!$B$107+(IF(Fits!$B$38="Row",$AQ8,$AR8)-Fits!$B$108)^2/Fits!$B$109)))))))</f>
        <v/>
      </c>
      <c r="CC8" s="20" t="str">
        <f aca="false">IF(OR($D8&lt;&gt;"Drift",$AC8="",$A8&lt;IF(Setup!$B$14="",0,Setup!$B$14),Fits!$B$120&lt;3,Fits!$B$123="",Fits!$B$122=0,IF(Fits!$B$50="Row",$AQ8,$AR8)=""),"",IF($BY8=1,IF(OR(Fits!$B$124="",Fits!$B$124=0),"",($AC8-(IF(Fits!$B$50="Row",Fits!$B$44,Fits!$B$47)*IF(Fits!$B$50="Row",$AQ8,$AR8)+Fits!$B$123))/(Fits!$B$124*SQRT(1+(1/Fits!$B$120+(IF(Fits!$B$50="Row",$AQ8,$AR8)-Fits!$B$121)^2/Fits!$B$122)))),IF(OR(Fits!$B$120&lt;4,(1/Fits!$B$120+(IF(Fits!$B$50="Row",$AQ8,$AR8)-Fits!$B$121)^2/Fits!$B$122)&gt;=1),"",IF((Fits!$B$129-($AC8-(IF(Fits!$B$50="Row",Fits!$B$44,Fits!$B$47)*IF(Fits!$B$50="Row",$AQ8,$AR8)+Fits!$B$123))^2/(1-(1/Fits!$B$120+(IF(Fits!$B$50="Row",$AQ8,$AR8)-Fits!$B$121)^2/Fits!$B$122)))&lt;=0,"",($AC8-(IF(Fits!$B$50="Row",Fits!$B$44,Fits!$B$47)*IF(Fits!$B$50="Row",$AQ8,$AR8)+Fits!$B$123))/(SQRT((Fits!$B$129-($AC8-(IF(Fits!$B$50="Row",Fits!$B$44,Fits!$B$47)*IF(Fits!$B$50="Row",$AQ8,$AR8)+Fits!$B$123))^2/(1-(1/Fits!$B$120+(IF(Fits!$B$50="Row",$AQ8,$AR8)-Fits!$B$121)^2/Fits!$B$122)))/(Fits!$B$120-3))*SQRT(1-(1/Fits!$B$120+(IF(Fits!$B$50="Row",$AQ8,$AR8)-Fits!$B$121)^2/Fits!$B$122)))))))</f>
        <v/>
      </c>
      <c r="CD8" s="9" t="str">
        <f aca="false">IF($AU8="","",1)</f>
        <v/>
      </c>
      <c r="CE8" s="24" t="str">
        <f aca="false">IF($AU8="","",$AU8-Fits!$B$133)</f>
        <v/>
      </c>
      <c r="CF8" s="24" t="str">
        <f aca="false">IF($AU8="","",($AV8-(Fits!$B$56*$AU8+Fits!$B$57))-Fits!$B$56*($AU8-Fits!$B$133))</f>
        <v/>
      </c>
      <c r="CG8" s="25" t="str">
        <f aca="false">IF($AU8="","",$AU8^2)</f>
        <v/>
      </c>
      <c r="CH8" s="9" t="str">
        <f aca="false">IF($AW8="","",1)</f>
        <v/>
      </c>
      <c r="CI8" s="24" t="str">
        <f aca="false">IF($AW8="","",$AW8-Fits!$B$153)</f>
        <v/>
      </c>
      <c r="CJ8" s="24" t="str">
        <f aca="false">IF($AW8="","",($AX8-(Fits!$B$63*$AW8+Fits!$B$64))-Fits!$B$63*($AW8-Fits!$B$153))</f>
        <v/>
      </c>
      <c r="CK8" s="25" t="str">
        <f aca="false">IF($AW8="","",$AW8^2)</f>
        <v/>
      </c>
      <c r="CL8" s="26" t="n">
        <f aca="false">IF(OR($Z8="",Fits!$B$55&lt;3,Fits!$B$133="",Fits!$B$134="",Fits!$B$134=0,Fits!$B$136=""),"",SQRT((Fits!$B$136*Fits!$B$56)^2+SUMPRODUCT((Fits!$J$163:$J$175*(Fits!$B$163:$B$175/Fits!$B$55+Fits!$H$163:$H$175*($Z8-Fits!$B$133)/Fits!$B$134))^2)+SUMPRODUCT((Fits!$G$163:$G$175*(($Z8-Fits!$B$133)*Fits!$I$163:$I$175/Fits!$B$134-Fits!$B$163:$B$175*Fits!$B$56/Fits!$B$55))^2)))</f>
        <v>0.24923781635262</v>
      </c>
      <c r="CM8" s="26" t="n">
        <f aca="false">IF($CL8="","",Setup!$B$32*$CL8)</f>
        <v>0.498475632705239</v>
      </c>
      <c r="CN8" s="26" t="n">
        <f aca="false">IF(OR($AE8="",Fits!$B$62&lt;3,Fits!$B$153="",Fits!$B$154="",Fits!$B$154=0,Fits!$B$156=""),"",SQRT((Fits!$B$156*Fits!$B$63)^2+SUMPRODUCT((Fits!$J$183:$J$195*(Fits!$B$183:$B$195/Fits!$B$62+Fits!$H$183:$H$195*($AE8-Fits!$B$153)/Fits!$B$154))^2)+SUMPRODUCT((Fits!$G$183:$G$195*(($AE8-Fits!$B$153)*Fits!$I$183:$I$195/Fits!$B$154-Fits!$B$183:$B$195*Fits!$B$63/Fits!$B$62))^2)))</f>
        <v>0.0379414414075808</v>
      </c>
      <c r="CO8" s="26" t="n">
        <f aca="false">IF($CN8="","",Setup!$B$32*$CN8)</f>
        <v>0.0758828828151617</v>
      </c>
      <c r="CP8" s="9" t="n">
        <f aca="false">IF(OR(NOT(ISNUMBER($BJ8)),$EK8=1),$CP7,IF($BJ8&lt;=Setup!$B$26,$CP7+1,0))</f>
        <v>0</v>
      </c>
      <c r="CQ8" s="9" t="n">
        <f aca="false">IF($BT8="","",$A8)</f>
        <v>3</v>
      </c>
      <c r="CR8" s="9" t="n">
        <f aca="false">IF($BW8="","",$A8)</f>
        <v>3</v>
      </c>
      <c r="CS8" s="9" t="n">
        <f aca="false">IF($B8="","",IF(Setup!$A$37="",0,IF(ISNUMBER(SEARCH(Setup!$A$37,$B8)),37,0)))</f>
        <v>0</v>
      </c>
      <c r="CT8" s="9" t="n">
        <f aca="false">IF($B8="","",IF(Setup!$A$38="",0,IF(ISNUMBER(SEARCH(Setup!$A$38,$B8)),38,0)))</f>
        <v>0</v>
      </c>
      <c r="CU8" s="9" t="n">
        <f aca="false">IF($B8="","",IF(Setup!$A$39="",0,IF(ISNUMBER(SEARCH(Setup!$A$39,$B8)),39,0)))</f>
        <v>0</v>
      </c>
      <c r="CV8" s="9" t="n">
        <f aca="false">IF($B8="","",IF(Setup!$A$40="",0,IF(ISNUMBER(SEARCH(Setup!$A$40,$B8)),40,0)))</f>
        <v>0</v>
      </c>
      <c r="CW8" s="9" t="n">
        <f aca="false">IF($B8="","",IF(Setup!$A$41="",0,IF(ISNUMBER(SEARCH(Setup!$A$41,$B8)),41,0)))</f>
        <v>0</v>
      </c>
      <c r="CX8" s="9" t="n">
        <f aca="false">IF($B8="","",IF(Setup!$A$42="",0,IF(ISNUMBER(SEARCH(Setup!$A$42,$B8)),42,0)))</f>
        <v>0</v>
      </c>
      <c r="CY8" s="9" t="n">
        <f aca="false">IF($B8="","",IF(Setup!$A$43="",0,IF(ISNUMBER(SEARCH(Setup!$A$43,$B8)),43,0)))</f>
        <v>0</v>
      </c>
      <c r="CZ8" s="9" t="n">
        <f aca="false">IF($B8="","",IF(Setup!$A$44="",0,IF(ISNUMBER(SEARCH(Setup!$A$44,$B8)),44,0)))</f>
        <v>44</v>
      </c>
      <c r="DA8" s="9" t="n">
        <f aca="false">IF($B8="","",IF(Setup!$A$45="",0,IF(ISNUMBER(SEARCH(Setup!$A$45,$B8)),45,0)))</f>
        <v>0</v>
      </c>
      <c r="DB8" s="9" t="n">
        <f aca="false">IF($B8="","",IF(Setup!$A$46="",0,IF(ISNUMBER(SEARCH(Setup!$A$46,$B8)),46,0)))</f>
        <v>0</v>
      </c>
      <c r="DC8" s="9" t="n">
        <f aca="false">IF($B8="","",IF(Setup!$A$47="",0,IF(ISNUMBER(SEARCH(Setup!$A$47,$B8)),47,0)))</f>
        <v>0</v>
      </c>
      <c r="DD8" s="9" t="n">
        <f aca="false">IF($B8="","",IF(Setup!$A$48="",0,IF(ISNUMBER(SEARCH(Setup!$A$48,$B8)),48,0)))</f>
        <v>0</v>
      </c>
      <c r="DE8" s="9" t="n">
        <f aca="false">IF($B8="","",IF(Setup!$A$49="",0,IF(ISNUMBER(SEARCH(Setup!$A$49,$B8)),49,0)))</f>
        <v>0</v>
      </c>
      <c r="DF8" s="9" t="n">
        <f aca="false">IF($B8="",NA(),$A8)</f>
        <v>3</v>
      </c>
      <c r="DG8" s="22" t="n">
        <f aca="false">IF($BI8="",NA(),$BI8)</f>
        <v>32.7</v>
      </c>
      <c r="DH8" s="22" t="n">
        <f aca="false">IF($N8="",NA(),$N8)</f>
        <v>36.4</v>
      </c>
      <c r="DI8" s="9" t="e">
        <f aca="false">IF(AND($D8="Drift",$N8&lt;&gt;""),$N8,NA())</f>
        <v>#N/A</v>
      </c>
      <c r="DJ8" s="9" t="str">
        <f aca="false">IF(AND($D8="Drift",$N8&lt;&gt;""),$N8,"")</f>
        <v/>
      </c>
      <c r="DK8" s="9" t="str">
        <f aca="false">IF($DJ8="","",$A8)</f>
        <v/>
      </c>
      <c r="DL8" s="9" t="e">
        <f aca="false">IF($AN8="",NA(),$AM8)</f>
        <v>#N/A</v>
      </c>
      <c r="DM8" s="9" t="e">
        <f aca="false">IF($AN8="",NA(),$AN8)</f>
        <v>#N/A</v>
      </c>
      <c r="DN8" s="9" t="e">
        <f aca="false">IF(AND($D8="Sample",$L8&lt;&gt;""),$L8,NA())</f>
        <v>#N/A</v>
      </c>
      <c r="DO8" s="9" t="e">
        <f aca="false">IF(AND($D8="Sample",$L8&lt;&gt;"",Fits!$B$98&lt;&gt;""),Fits!$B$98,NA())</f>
        <v>#N/A</v>
      </c>
      <c r="DP8" s="9" t="e">
        <f aca="false">IF($AS8="",NA(),$AS8)</f>
        <v>#N/A</v>
      </c>
      <c r="DQ8" s="9" t="e">
        <f aca="false">IF(AND($D8="Drift",$AS8="",$X8&lt;&gt;""),$X8,NA())</f>
        <v>#N/A</v>
      </c>
      <c r="DR8" s="9" t="e">
        <f aca="false">IF(AND($D8="Drift",$Z8&lt;&gt;""),$Z8,NA())</f>
        <v>#N/A</v>
      </c>
      <c r="DS8" s="9" t="e">
        <f aca="false">IF(AND(OR($D8="Sample",$D8="Check"),$AA8&lt;&gt;""),$AA8,NA())</f>
        <v>#N/A</v>
      </c>
      <c r="DT8" s="25" t="n">
        <f aca="false">IF(OR($B8="",Fits!$B$138=""),NA(),Fits!$B$138)</f>
        <v>1.76</v>
      </c>
      <c r="DU8" s="25" t="n">
        <f aca="false">IF(OR($B8="",Fits!$B$139=""),NA(),Fits!$B$139)</f>
        <v>20.68</v>
      </c>
      <c r="DV8" s="24" t="n">
        <f aca="false">IF($BT8="",NA(),$BT8)</f>
        <v>-1.2</v>
      </c>
      <c r="DW8" s="9" t="e">
        <f aca="false">IF($AP8="",NA(),$AO8)</f>
        <v>#N/A</v>
      </c>
      <c r="DX8" s="9" t="e">
        <f aca="false">IF($AP8="",NA(),$AP8)</f>
        <v>#N/A</v>
      </c>
      <c r="DY8" s="9" t="e">
        <f aca="false">IF(AND($D8="Sample",$P8&lt;&gt;""),$P8,NA())</f>
        <v>#N/A</v>
      </c>
      <c r="DZ8" s="9" t="e">
        <f aca="false">IF(AND($D8="Sample",$P8&lt;&gt;"",Fits!$B$105&lt;&gt;""),Fits!$B$105,NA())</f>
        <v>#N/A</v>
      </c>
      <c r="EA8" s="9" t="e">
        <f aca="false">IF($AT8="",NA(),$AT8)</f>
        <v>#N/A</v>
      </c>
      <c r="EB8" s="9" t="e">
        <f aca="false">IF(AND($D8="Drift",$AT8="",$AC8&lt;&gt;""),$AC8,NA())</f>
        <v>#N/A</v>
      </c>
      <c r="EC8" s="9" t="e">
        <f aca="false">IF(AND($D8="Drift",$AE8&lt;&gt;""),$AE8,NA())</f>
        <v>#N/A</v>
      </c>
      <c r="ED8" s="9" t="e">
        <f aca="false">IF(AND(OR($D8="Sample",$D8="Check"),$AF8&lt;&gt;""),$AF8,NA())</f>
        <v>#N/A</v>
      </c>
      <c r="EE8" s="25" t="n">
        <f aca="false">IF(OR($B8="",Fits!$B$158=""),NA(),Fits!$B$158)</f>
        <v>-40.81</v>
      </c>
      <c r="EF8" s="25" t="n">
        <f aca="false">IF(OR($B8="",Fits!$B$159=""),NA(),Fits!$B$159)</f>
        <v>-20.29</v>
      </c>
      <c r="EG8" s="24" t="n">
        <f aca="false">IF($BW8="",NA(),$BW8)</f>
        <v>-25.401</v>
      </c>
      <c r="EH8" s="9" t="e">
        <f aca="false">IF(AND($EN8=1,ISNUMBER($N8)),$N8,NA())</f>
        <v>#N/A</v>
      </c>
      <c r="EI8" s="9" t="n">
        <f aca="false">IF($B8="","",$A8)</f>
        <v>3</v>
      </c>
      <c r="EJ8" s="9" t="n">
        <f aca="false">IF(OR(AND(ISNUMBER($L8),Fits!$B$97&gt;0,$L8&gt;Fits!$B$97),AND(ISNUMBER($P8),Fits!$B$104&gt;0,$P8&gt;Fits!$B$104)),1,0)</f>
        <v>0</v>
      </c>
      <c r="EK8" s="9" t="n">
        <f aca="false">IF(OR($EJ7=1,$EJ6=1),1,0)</f>
        <v>1</v>
      </c>
      <c r="EL8" s="22" t="n">
        <f aca="false">IF(AND($EK8=0,ISNUMBER($N8)),$N8,$EL7)</f>
        <v>37.2</v>
      </c>
      <c r="EM8" s="9" t="n">
        <f aca="false">IF(AND($EK8=1,ISNUMBER($N8),ISNUMBER($EL8)),$N8-$EL8,"")</f>
        <v>-0.800000000000004</v>
      </c>
      <c r="EN8" s="9" t="n">
        <f aca="false">IF(Setup!$B$28="",0,IF(ISNUMBER($EM8),IF($EM8&gt;Setup!$B$28,1,0),0))</f>
        <v>0</v>
      </c>
      <c r="EO8" s="9" t="str">
        <f aca="false">IF($EN8=1,COUNTIF($EN$6:$EN8,1),"")</f>
        <v/>
      </c>
      <c r="EP8" s="9" t="n">
        <f aca="false">IF(AND($EJ7=1,OR($D8="Sample",$D8="Check")),1,0)</f>
        <v>0</v>
      </c>
      <c r="EQ8" s="22" t="n">
        <f aca="false">IF(ISNUMBER($BI8),IF(COUNT($BI$6:$BI8)&lt;=5,$BI8,""),"")</f>
        <v>32.7</v>
      </c>
      <c r="ER8" s="9" t="str">
        <f aca="false">IF(OR(NOT(ISNUMBER($BJ8)),$EK8=1),$ER7,IF($BJ8&lt;=Setup!$B$26,IF($CP7=0,$A8,$ER7),""))</f>
        <v/>
      </c>
    </row>
    <row r="9" customFormat="false" ht="15" hidden="false" customHeight="false" outlineLevel="0" collapsed="false">
      <c r="A9" s="8" t="n">
        <v>4</v>
      </c>
      <c r="B9" s="8" t="str">
        <f aca="false">IFERROR(INDEX(Raw!$B$2:$B$1001,MATCH($A9,Raw!$A$2:$A$1001,0)),"")</f>
        <v>Blank Capsule</v>
      </c>
      <c r="C9" s="9" t="n">
        <f aca="false">IF($B9="","",MAX($CS9:$DE9))</f>
        <v>45</v>
      </c>
      <c r="D9" s="8" t="str">
        <f aca="false">IF($B9="","",IF($C9=0,"Sample",INDEX(Setup!$B$37:$B$49,$C9-36)))</f>
        <v>Blank</v>
      </c>
      <c r="E9" s="16" t="str">
        <f aca="false">IF($B9="","",IFERROR(IF(INDEX(Raw!$E$2:$E$1001,MATCH($A9,Raw!$A$2:$A$1001,0))=0,"",INDEX(Raw!$E$2:$E$1001,MATCH($A9,Raw!$A$2:$A$1001,0))),""))</f>
        <v/>
      </c>
      <c r="F9" s="18"/>
      <c r="G9" s="16" t="str">
        <f aca="false">IF($B9="","",IF($F9&lt;&gt;"",$F9,IF($E9="","",$E9)))</f>
        <v/>
      </c>
      <c r="H9" s="9" t="n">
        <f aca="false">IF($B9="","",SUMPRODUCT(MAX((Raw!$A$2:$A$1001=$A9)*(Raw!$R$2:$R$1001="N")*Raw!$D$2:$D$1001)))</f>
        <v>3</v>
      </c>
      <c r="I9" s="9" t="str">
        <f aca="false">IF(OR($H9="",$H9=0),"",$A9&amp;"|N|"&amp;$H9)</f>
        <v>4|N|3</v>
      </c>
      <c r="J9" s="9" t="n">
        <f aca="false">IF($B9="","",SUMPRODUCT(MIN((Raw!$A$2:$A$1001=$A9)*(Raw!$R$2:$R$1001="C")*Raw!$D$2:$D$1001+(1-(Raw!$A$2:$A$1001=$A9)*(Raw!$R$2:$R$1001="C"))*9999)))</f>
        <v>4</v>
      </c>
      <c r="K9" s="9" t="str">
        <f aca="false">IF(OR($J9="",$J9=0,$J9=9999),"",$A9&amp;"|C|"&amp;$J9)</f>
        <v>4|C|4</v>
      </c>
      <c r="L9" s="16" t="n">
        <f aca="false">IF($I9="","",IF(INDEX(Raw!$I$2:$I$1001,MATCH($I9,Raw!$S$2:$S$1001,0))&lt;&gt;0,"",INDEX(Raw!$H$2:$H$1001,MATCH($I9,Raw!$S$2:$S$1001,0))))</f>
        <v>1.676</v>
      </c>
      <c r="M9" s="19" t="n">
        <f aca="false">IF($I9="","",IF(INDEX(Raw!$I$2:$I$1001,MATCH($I9,Raw!$S$2:$S$1001,0))&lt;&gt;0,"",INDEX(Raw!$F$2:$F$1001,MATCH($I9,Raw!$S$2:$S$1001,0))))</f>
        <v>61</v>
      </c>
      <c r="N9" s="20" t="n">
        <f aca="false">IF($I9="","",IF(INDEX(Raw!$I$2:$I$1001,MATCH($I9,Raw!$S$2:$S$1001,0))&lt;&gt;0,"",INDEX(Raw!$G$2:$G$1001,MATCH($I9,Raw!$S$2:$S$1001,0))))</f>
        <v>35.2</v>
      </c>
      <c r="O9" s="16" t="n">
        <f aca="false">IF($I9="","",IF(INDEX(Raw!$I$2:$I$1001,MATCH($I9,Raw!$S$2:$S$1001,0))&lt;&gt;0,"",INDEX(Raw!$N$2:$N$1001,MATCH($I9,Raw!$S$2:$S$1001,0))))</f>
        <v>15.781</v>
      </c>
      <c r="P9" s="16" t="str">
        <f aca="false">IF($K9="","",IF(INDEX(Raw!$I$2:$I$1001,MATCH($K9,Raw!$S$2:$S$1001,0))&lt;&gt;0,"",INDEX(Raw!$K$2:$K$1001,MATCH($K9,Raw!$S$2:$S$1001,0))))</f>
        <v/>
      </c>
      <c r="Q9" s="19" t="str">
        <f aca="false">IF($K9="","",IF(INDEX(Raw!$I$2:$I$1001,MATCH($K9,Raw!$S$2:$S$1001,0))&lt;&gt;0,"",INDEX(Raw!$J$2:$J$1001,MATCH($K9,Raw!$S$2:$S$1001,0))))</f>
        <v/>
      </c>
      <c r="R9" s="16" t="str">
        <f aca="false">IF($K9="","",IF(INDEX(Raw!$I$2:$I$1001,MATCH($K9,Raw!$S$2:$S$1001,0))&lt;&gt;0,"",INDEX(Raw!$O$2:$O$1001,MATCH($K9,Raw!$S$2:$S$1001,0))))</f>
        <v/>
      </c>
      <c r="S9" s="21" t="str">
        <f aca="false">IF($B9="","",IF($C9=0,"",IF(INDEX(Setup!$D$37:$D$49,$C9-36)="","",INDEX(Setup!$D$37:$D$49,$C9-36))))</f>
        <v/>
      </c>
      <c r="T9" s="21" t="str">
        <f aca="false">IF($B9="","",IF($C9=0,"",IF(INDEX(Setup!$C$37:$C$49,$C9-36)="","",INDEX(Setup!$C$37:$C$49,$C9-36))))</f>
        <v/>
      </c>
      <c r="U9" s="21" t="str">
        <f aca="false">IF($B9="","",IF($C9=0,"",IF(INDEX(Setup!$F$37:$F$49,$C9-36)="","",INDEX(Setup!$F$37:$F$49,$C9-36))))</f>
        <v/>
      </c>
      <c r="V9" s="21" t="str">
        <f aca="false">IF($B9="","",IF($C9=0,"",IF(INDEX(Setup!$E$37:$E$49,$C9-36)="","",INDEX(Setup!$E$37:$E$49,$C9-36))))</f>
        <v/>
      </c>
      <c r="W9" s="16" t="n">
        <f aca="false">IF($O9="","",IF(OR(Fits!$C$5&lt;&gt;"Yes",$D9="Blank",$L9&lt;=Fits!$B$6),$O9,($L9*$O9-Fits!$B$6*Fits!$B$7)/($L9-Fits!$B$6)))</f>
        <v>15.781</v>
      </c>
      <c r="X9" s="16" t="n">
        <f aca="false">IF($W9="","",$W9-Fits!$B$20*($L9-Fits!$B$16))</f>
        <v>15.781</v>
      </c>
      <c r="Y9" s="22" t="n">
        <f aca="false">IF($W9="","",IF(OR(Fits!$B$38="Row",$BI9=""),$A9,$BI9))</f>
        <v>4</v>
      </c>
      <c r="Z9" s="16" t="n">
        <f aca="false">IF($X9="","",$X9-Fits!$B$39*($Y9-Fits!$B$40))</f>
        <v>15.341774350165</v>
      </c>
      <c r="AA9" s="23" t="n">
        <f aca="false">IF(OR($Z9="",Fits!$B$55&lt;2),"",Fits!$B$56*$Z9+Fits!$B$57)</f>
        <v>16.7771000257819</v>
      </c>
      <c r="AB9" s="16" t="str">
        <f aca="false">IF($R9="","",IF(OR(Fits!$C$9&lt;&gt;"Yes",$D9="Blank",$P9&lt;=Fits!$B$10),$R9,($P9*$R9-Fits!$B$10*Fits!$B$11)/($P9-Fits!$B$10)))</f>
        <v/>
      </c>
      <c r="AC9" s="16" t="str">
        <f aca="false">IF($AB9="","",$AB9-Fits!$B$28*($P9-Fits!$B$24))</f>
        <v/>
      </c>
      <c r="AD9" s="22" t="str">
        <f aca="false">IF($AB9="","",IF(OR(Fits!$B$50="Row",$BI9=""),$A9,$BI9))</f>
        <v/>
      </c>
      <c r="AE9" s="16" t="str">
        <f aca="false">IF($AC9="","",$AC9-Fits!$B$51*($AD9-Fits!$B$52))</f>
        <v/>
      </c>
      <c r="AF9" s="23" t="str">
        <f aca="false">IF(OR($AE9="",Fits!$B$62&lt;2),"",Fits!$B$63*$AE9+Fits!$B$64)</f>
        <v/>
      </c>
      <c r="AG9" s="21" t="n">
        <f aca="false">IF(OR($L9="",Fits!$B$69&lt;3),"",($L9-Fits!$B$71)/Fits!$B$70)</f>
        <v>-0.51021755320379</v>
      </c>
      <c r="AH9" s="21" t="str">
        <f aca="false">IF(OR($P9="",Fits!$B$75&lt;3),"",($P9-Fits!$B$77)/Fits!$B$76)</f>
        <v/>
      </c>
      <c r="AI9" s="23" t="str">
        <f aca="false">IF(OR($AG9="",$G9="",$G9=0),"",$AG9/($G9*1000)*100)</f>
        <v/>
      </c>
      <c r="AJ9" s="23" t="str">
        <f aca="false">IF(OR($AH9="",$G9="",$G9=0),"",$AH9/($G9*1000)*100)</f>
        <v/>
      </c>
      <c r="AK9" s="23" t="str">
        <f aca="false">IF(OR($AG9="",$AH9="",$AG9&lt;=0),"",($AH9/Setup!$B$52)/($AG9/Setup!$B$53))</f>
        <v/>
      </c>
      <c r="AL9" s="23" t="str">
        <f aca="false">IF(OR($AG9="",$AH9="",$AG9&lt;=0),"",$AH9/$AG9)</f>
        <v/>
      </c>
      <c r="AM9" s="9" t="str">
        <f aca="false">IF($D9="Linearity",IF($L9="","",$L9),"")</f>
        <v/>
      </c>
      <c r="AN9" s="9" t="str">
        <f aca="false">IF($D9="Linearity",IF($W9="","",$W9),"")</f>
        <v/>
      </c>
      <c r="AO9" s="9" t="str">
        <f aca="false">IF($D9="Linearity",IF($P9="","",$P9),"")</f>
        <v/>
      </c>
      <c r="AP9" s="9" t="str">
        <f aca="false">IF($D9="Linearity",IF($AB9="","",$AB9),"")</f>
        <v/>
      </c>
      <c r="AQ9" s="9" t="str">
        <f aca="false">IF($D9="Drift",IF($A9&lt;IF(Setup!$B$14="",0,Setup!$B$14),"",$A9),"")</f>
        <v/>
      </c>
      <c r="AR9" s="9" t="str">
        <f aca="false">IF($D9="Drift",IF($A9&lt;IF(Setup!$B$14="",0,Setup!$B$14),"",IF($BI9="","",$BI9)),"")</f>
        <v/>
      </c>
      <c r="AS9" s="9" t="str">
        <f aca="false">IF($D9="Drift",IF($A9&lt;IF(Setup!$B$14="",0,Setup!$B$14),"",IF(OR($X9="",$BX9=1),"",$X9)),"")</f>
        <v/>
      </c>
      <c r="AT9" s="9" t="str">
        <f aca="false">IF($D9="Drift",IF($A9&lt;IF(Setup!$B$14="",0,Setup!$B$14),"",IF(OR($AC9="",$BY9=1),"",$AC9)),"")</f>
        <v/>
      </c>
      <c r="AU9" s="9" t="str">
        <f aca="false">IF($D9="Anchor",IF(OR($Z9="",$S9=""),"",$Z9),"")</f>
        <v/>
      </c>
      <c r="AV9" s="9" t="str">
        <f aca="false">IF($D9="Anchor",IF(OR($Z9="",$S9=""),"",$S9),"")</f>
        <v/>
      </c>
      <c r="AW9" s="9" t="str">
        <f aca="false">IF($D9="Anchor",IF(OR($AE9="",$T9=""),"",$AE9),"")</f>
        <v/>
      </c>
      <c r="AX9" s="9" t="str">
        <f aca="false">IF($D9="Anchor",IF(OR($AE9="",$T9=""),"",$T9),"")</f>
        <v/>
      </c>
      <c r="AY9" s="9" t="str">
        <f aca="false">IF(OR($D9="Blank",$D9="Exclude",$D9="Sample",$D9="",$G9="",$U9="",$L9=""),"",$G9*1000*$U9/100)</f>
        <v/>
      </c>
      <c r="AZ9" s="9" t="str">
        <f aca="false">IF($AY9="","",$L9)</f>
        <v/>
      </c>
      <c r="BA9" s="9" t="str">
        <f aca="false">IF(OR($D9="Blank",$D9="Exclude",$D9="Sample",$D9="",$G9="",$V9="",$P9=""),"",$G9*1000*$V9/100)</f>
        <v/>
      </c>
      <c r="BB9" s="9" t="str">
        <f aca="false">IF($BA9="","",$P9)</f>
        <v/>
      </c>
      <c r="BC9" s="24" t="n">
        <f aca="false">IF(AND($D9="Blank",$L9&lt;&gt;""),$O9,"")</f>
        <v>15.781</v>
      </c>
      <c r="BD9" s="24" t="n">
        <f aca="false">IF($BC9="","",$L9)</f>
        <v>1.676</v>
      </c>
      <c r="BE9" s="9" t="str">
        <f aca="false">IF(AND($D9="Blank",$P9&lt;&gt;""),$R9,"")</f>
        <v/>
      </c>
      <c r="BF9" s="9" t="str">
        <f aca="false">IF($BE9="","",$P9)</f>
        <v/>
      </c>
      <c r="BG9" s="9" t="str">
        <f aca="false">IF(AND($D9="Drift",$BX9&lt;&gt;1),IF($AA9="","",$AA9),"")</f>
        <v/>
      </c>
      <c r="BH9" s="9" t="str">
        <f aca="false">IF(AND($D9="Drift",$BY9&lt;&gt;1),IF($AF9="","",$AF9),"")</f>
        <v/>
      </c>
      <c r="BI9" s="20" t="n">
        <f aca="false">IF($B9="","",IFERROR(INDEX(Raw!$G$2:$G$1001,MATCH($A9&amp;"|N|"&amp;SUMPRODUCT(MAX((Raw!$A$2:$A$1001=$A9)*(Raw!$R$2:$R$1001="N")*(Raw!$I$2:$I$1001=1)*Raw!$D$2:$D$1001)),Raw!$S$2:$S$1001,0)),""))</f>
        <v>31.8</v>
      </c>
      <c r="BJ9" s="21" t="n">
        <f aca="false">IF(OR($BI9="",Fits!$B$85&lt;=0),"",($BI9-Fits!$B$83)/Fits!$B$85)</f>
        <v>0.783783783783784</v>
      </c>
      <c r="BK9" s="9" t="str">
        <f aca="false">IF($AS9="","",IF($A9&gt;=Fits!$B$86,"",$A9))</f>
        <v/>
      </c>
      <c r="BL9" s="9" t="str">
        <f aca="false">IF($BK9="","",$X9)</f>
        <v/>
      </c>
      <c r="BM9" s="9" t="str">
        <f aca="false">IF($AS9="","",IF($A9&lt;Fits!$B$86,"",$A9))</f>
        <v/>
      </c>
      <c r="BN9" s="9" t="str">
        <f aca="false">IF($BM9="","",$X9)</f>
        <v/>
      </c>
      <c r="BO9" s="9" t="str">
        <f aca="false">IF(AND($D9="Drift",$BX9&lt;&gt;1),IF($O9="","",$O9),"")</f>
        <v/>
      </c>
      <c r="BP9" s="9" t="str">
        <f aca="false">IF(AND($D9="Drift",$BX9&lt;&gt;1),IF($W9="","",$W9),"")</f>
        <v/>
      </c>
      <c r="BQ9" s="9" t="str">
        <f aca="false">IF(AND($D9="Drift",$BX9&lt;&gt;1),IF($X9="","",$X9),"")</f>
        <v/>
      </c>
      <c r="BR9" s="9" t="str">
        <f aca="false">IF(AND($D9="Drift",$BX9&lt;&gt;1),IF($Z9="","",$Z9),"")</f>
        <v/>
      </c>
      <c r="BS9" s="9" t="n">
        <f aca="false">IF(OR($B9="",$H9=""),"",SUMPRODUCT(MIN((Raw!$A$2:$A$1001=$A9)*(Raw!$R$2:$R$1001="N")*(Raw!$I$2:$I$1001=0)*(Raw!$D$2:$D$1001&lt;$H9)*Raw!$D$2:$D$1001+(1-(Raw!$A$2:$A$1001=$A9)*(Raw!$R$2:$R$1001="N")*(Raw!$I$2:$I$1001=0)*(Raw!$D$2:$D$1001&lt;$H9))*9999)))</f>
        <v>1</v>
      </c>
      <c r="BT9" s="16" t="n">
        <f aca="false">IF(OR($BS9="",$BS9=9999,$BS9=0),"",IFERROR(INDEX(Raw!$N$2:$N$1001,MATCH($A9&amp;"|N|"&amp;$BS9,Raw!$S$2:$S$1001,0)),""))</f>
        <v>-1.133</v>
      </c>
      <c r="BU9" s="9" t="n">
        <f aca="false">IF($B9="","",SUMPRODUCT(MIN((Raw!$A$2:$A$1001=$A9)*(Raw!$R$2:$R$1001="C")*(Raw!$I$2:$I$1001=1)*Raw!$D$2:$D$1001+(1-(Raw!$A$2:$A$1001=$A9)*(Raw!$R$2:$R$1001="C")*(Raw!$I$2:$I$1001=1))*9999)))</f>
        <v>4</v>
      </c>
      <c r="BV9" s="9" t="n">
        <f aca="false">IF(OR($BU9="",$BU9=9999),"",SUMPRODUCT(MIN((Raw!$A$2:$A$1001=$A9)*(Raw!$R$2:$R$1001="C")*(Raw!$I$2:$I$1001=0)*(Raw!$D$2:$D$1001&gt;$BU9)*Raw!$D$2:$D$1001+(1-(Raw!$A$2:$A$1001=$A9)*(Raw!$R$2:$R$1001="C")*(Raw!$I$2:$I$1001=0)*(Raw!$D$2:$D$1001&gt;$BU9))*9999)))</f>
        <v>5</v>
      </c>
      <c r="BW9" s="16" t="n">
        <f aca="false">IF(OR($BV9="",$BV9=9999,$BV9=0),"",IFERROR(INDEX(Raw!$O$2:$O$1001,MATCH($A9&amp;"|C|"&amp;$BV9,Raw!$S$2:$S$1001,0)),""))</f>
        <v>-25.478</v>
      </c>
      <c r="BX9" s="9" t="n">
        <f aca="false">IF($B9="","",IF(ISNUMBER(SEARCH(","&amp;$A9&amp;",",","&amp;SUBSTITUTE(Setup!$B$16," ","")&amp;",")),1,0))</f>
        <v>0</v>
      </c>
      <c r="BY9" s="9" t="n">
        <f aca="false">IF($B9="","",IF(ISNUMBER(SEARCH(","&amp;$A9&amp;",",","&amp;SUBSTITUTE(Setup!$B$17," ","")&amp;",")),1,0))</f>
        <v>0</v>
      </c>
      <c r="BZ9" s="22" t="str">
        <f aca="false">IF($AS9="","",IF(Fits!$B$38="Row",$AQ9,IF($AR9="","",$AR9)))</f>
        <v/>
      </c>
      <c r="CA9" s="22" t="str">
        <f aca="false">IF($AT9="","",IF(Fits!$B$50="Row",$AQ9,IF($AR9="","",$AR9)))</f>
        <v/>
      </c>
      <c r="CB9" s="20" t="str">
        <f aca="false">IF(OR($D9&lt;&gt;"Drift",$X9="",$A9&lt;IF(Setup!$B$14="",0,Setup!$B$14),Fits!$B$107&lt;3,Fits!$B$110="",Fits!$B$109=0,IF(Fits!$B$38="Row",$AQ9,$AR9)=""),"",IF($BX9=1,IF(OR(Fits!$B$111="",Fits!$B$111=0),"",($X9-(IF(Fits!$B$38="Row",Fits!$B$32,Fits!$B$35)*IF(Fits!$B$38="Row",$AQ9,$AR9)+Fits!$B$110))/(Fits!$B$111*SQRT(1+(1/Fits!$B$107+(IF(Fits!$B$38="Row",$AQ9,$AR9)-Fits!$B$108)^2/Fits!$B$109)))),IF(OR(Fits!$B$107&lt;4,(1/Fits!$B$107+(IF(Fits!$B$38="Row",$AQ9,$AR9)-Fits!$B$108)^2/Fits!$B$109)&gt;=1),"",IF((Fits!$B$116-($X9-(IF(Fits!$B$38="Row",Fits!$B$32,Fits!$B$35)*IF(Fits!$B$38="Row",$AQ9,$AR9)+Fits!$B$110))^2/(1-(1/Fits!$B$107+(IF(Fits!$B$38="Row",$AQ9,$AR9)-Fits!$B$108)^2/Fits!$B$109)))&lt;=0,"",($X9-(IF(Fits!$B$38="Row",Fits!$B$32,Fits!$B$35)*IF(Fits!$B$38="Row",$AQ9,$AR9)+Fits!$B$110))/(SQRT((Fits!$B$116-($X9-(IF(Fits!$B$38="Row",Fits!$B$32,Fits!$B$35)*IF(Fits!$B$38="Row",$AQ9,$AR9)+Fits!$B$110))^2/(1-(1/Fits!$B$107+(IF(Fits!$B$38="Row",$AQ9,$AR9)-Fits!$B$108)^2/Fits!$B$109)))/(Fits!$B$107-3))*SQRT(1-(1/Fits!$B$107+(IF(Fits!$B$38="Row",$AQ9,$AR9)-Fits!$B$108)^2/Fits!$B$109)))))))</f>
        <v/>
      </c>
      <c r="CC9" s="20" t="str">
        <f aca="false">IF(OR($D9&lt;&gt;"Drift",$AC9="",$A9&lt;IF(Setup!$B$14="",0,Setup!$B$14),Fits!$B$120&lt;3,Fits!$B$123="",Fits!$B$122=0,IF(Fits!$B$50="Row",$AQ9,$AR9)=""),"",IF($BY9=1,IF(OR(Fits!$B$124="",Fits!$B$124=0),"",($AC9-(IF(Fits!$B$50="Row",Fits!$B$44,Fits!$B$47)*IF(Fits!$B$50="Row",$AQ9,$AR9)+Fits!$B$123))/(Fits!$B$124*SQRT(1+(1/Fits!$B$120+(IF(Fits!$B$50="Row",$AQ9,$AR9)-Fits!$B$121)^2/Fits!$B$122)))),IF(OR(Fits!$B$120&lt;4,(1/Fits!$B$120+(IF(Fits!$B$50="Row",$AQ9,$AR9)-Fits!$B$121)^2/Fits!$B$122)&gt;=1),"",IF((Fits!$B$129-($AC9-(IF(Fits!$B$50="Row",Fits!$B$44,Fits!$B$47)*IF(Fits!$B$50="Row",$AQ9,$AR9)+Fits!$B$123))^2/(1-(1/Fits!$B$120+(IF(Fits!$B$50="Row",$AQ9,$AR9)-Fits!$B$121)^2/Fits!$B$122)))&lt;=0,"",($AC9-(IF(Fits!$B$50="Row",Fits!$B$44,Fits!$B$47)*IF(Fits!$B$50="Row",$AQ9,$AR9)+Fits!$B$123))/(SQRT((Fits!$B$129-($AC9-(IF(Fits!$B$50="Row",Fits!$B$44,Fits!$B$47)*IF(Fits!$B$50="Row",$AQ9,$AR9)+Fits!$B$123))^2/(1-(1/Fits!$B$120+(IF(Fits!$B$50="Row",$AQ9,$AR9)-Fits!$B$121)^2/Fits!$B$122)))/(Fits!$B$120-3))*SQRT(1-(1/Fits!$B$120+(IF(Fits!$B$50="Row",$AQ9,$AR9)-Fits!$B$121)^2/Fits!$B$122)))))))</f>
        <v/>
      </c>
      <c r="CD9" s="9" t="str">
        <f aca="false">IF($AU9="","",1)</f>
        <v/>
      </c>
      <c r="CE9" s="24" t="str">
        <f aca="false">IF($AU9="","",$AU9-Fits!$B$133)</f>
        <v/>
      </c>
      <c r="CF9" s="24" t="str">
        <f aca="false">IF($AU9="","",($AV9-(Fits!$B$56*$AU9+Fits!$B$57))-Fits!$B$56*($AU9-Fits!$B$133))</f>
        <v/>
      </c>
      <c r="CG9" s="25" t="str">
        <f aca="false">IF($AU9="","",$AU9^2)</f>
        <v/>
      </c>
      <c r="CH9" s="9" t="str">
        <f aca="false">IF($AW9="","",1)</f>
        <v/>
      </c>
      <c r="CI9" s="24" t="str">
        <f aca="false">IF($AW9="","",$AW9-Fits!$B$153)</f>
        <v/>
      </c>
      <c r="CJ9" s="24" t="str">
        <f aca="false">IF($AW9="","",($AX9-(Fits!$B$63*$AW9+Fits!$B$64))-Fits!$B$63*($AW9-Fits!$B$153))</f>
        <v/>
      </c>
      <c r="CK9" s="25" t="str">
        <f aca="false">IF($AW9="","",$AW9^2)</f>
        <v/>
      </c>
      <c r="CL9" s="26" t="n">
        <f aca="false">IF(OR($Z9="",Fits!$B$55&lt;3,Fits!$B$133="",Fits!$B$134="",Fits!$B$134=0,Fits!$B$136=""),"",SQRT((Fits!$B$136*Fits!$B$56)^2+SUMPRODUCT((Fits!$J$163:$J$175*(Fits!$B$163:$B$175/Fits!$B$55+Fits!$H$163:$H$175*($Z9-Fits!$B$133)/Fits!$B$134))^2)+SUMPRODUCT((Fits!$G$163:$G$175*(($Z9-Fits!$B$133)*Fits!$I$163:$I$175/Fits!$B$134-Fits!$B$163:$B$175*Fits!$B$56/Fits!$B$55))^2)))</f>
        <v>0.19096135950823</v>
      </c>
      <c r="CM9" s="26" t="n">
        <f aca="false">IF($CL9="","",Setup!$B$32*$CL9)</f>
        <v>0.381922719016459</v>
      </c>
      <c r="CN9" s="26" t="str">
        <f aca="false">IF(OR($AE9="",Fits!$B$62&lt;3,Fits!$B$153="",Fits!$B$154="",Fits!$B$154=0,Fits!$B$156=""),"",SQRT((Fits!$B$156*Fits!$B$63)^2+SUMPRODUCT((Fits!$J$183:$J$195*(Fits!$B$183:$B$195/Fits!$B$62+Fits!$H$183:$H$195*($AE9-Fits!$B$153)/Fits!$B$154))^2)+SUMPRODUCT((Fits!$G$183:$G$195*(($AE9-Fits!$B$153)*Fits!$I$183:$I$195/Fits!$B$154-Fits!$B$183:$B$195*Fits!$B$63/Fits!$B$62))^2)))</f>
        <v/>
      </c>
      <c r="CO9" s="26" t="str">
        <f aca="false">IF($CN9="","",Setup!$B$32*$CN9)</f>
        <v/>
      </c>
      <c r="CP9" s="9" t="n">
        <f aca="false">IF(OR(NOT(ISNUMBER($BJ9)),$EK9=1),$CP8,IF($BJ9&lt;=Setup!$B$26,$CP8+1,0))</f>
        <v>0</v>
      </c>
      <c r="CQ9" s="9" t="n">
        <f aca="false">IF($BT9="","",$A9)</f>
        <v>4</v>
      </c>
      <c r="CR9" s="9" t="n">
        <f aca="false">IF($BW9="","",$A9)</f>
        <v>4</v>
      </c>
      <c r="CS9" s="9" t="n">
        <f aca="false">IF($B9="","",IF(Setup!$A$37="",0,IF(ISNUMBER(SEARCH(Setup!$A$37,$B9)),37,0)))</f>
        <v>0</v>
      </c>
      <c r="CT9" s="9" t="n">
        <f aca="false">IF($B9="","",IF(Setup!$A$38="",0,IF(ISNUMBER(SEARCH(Setup!$A$38,$B9)),38,0)))</f>
        <v>0</v>
      </c>
      <c r="CU9" s="9" t="n">
        <f aca="false">IF($B9="","",IF(Setup!$A$39="",0,IF(ISNUMBER(SEARCH(Setup!$A$39,$B9)),39,0)))</f>
        <v>0</v>
      </c>
      <c r="CV9" s="9" t="n">
        <f aca="false">IF($B9="","",IF(Setup!$A$40="",0,IF(ISNUMBER(SEARCH(Setup!$A$40,$B9)),40,0)))</f>
        <v>0</v>
      </c>
      <c r="CW9" s="9" t="n">
        <f aca="false">IF($B9="","",IF(Setup!$A$41="",0,IF(ISNUMBER(SEARCH(Setup!$A$41,$B9)),41,0)))</f>
        <v>0</v>
      </c>
      <c r="CX9" s="9" t="n">
        <f aca="false">IF($B9="","",IF(Setup!$A$42="",0,IF(ISNUMBER(SEARCH(Setup!$A$42,$B9)),42,0)))</f>
        <v>0</v>
      </c>
      <c r="CY9" s="9" t="n">
        <f aca="false">IF($B9="","",IF(Setup!$A$43="",0,IF(ISNUMBER(SEARCH(Setup!$A$43,$B9)),43,0)))</f>
        <v>0</v>
      </c>
      <c r="CZ9" s="9" t="n">
        <f aca="false">IF($B9="","",IF(Setup!$A$44="",0,IF(ISNUMBER(SEARCH(Setup!$A$44,$B9)),44,0)))</f>
        <v>0</v>
      </c>
      <c r="DA9" s="9" t="n">
        <f aca="false">IF($B9="","",IF(Setup!$A$45="",0,IF(ISNUMBER(SEARCH(Setup!$A$45,$B9)),45,0)))</f>
        <v>45</v>
      </c>
      <c r="DB9" s="9" t="n">
        <f aca="false">IF($B9="","",IF(Setup!$A$46="",0,IF(ISNUMBER(SEARCH(Setup!$A$46,$B9)),46,0)))</f>
        <v>0</v>
      </c>
      <c r="DC9" s="9" t="n">
        <f aca="false">IF($B9="","",IF(Setup!$A$47="",0,IF(ISNUMBER(SEARCH(Setup!$A$47,$B9)),47,0)))</f>
        <v>0</v>
      </c>
      <c r="DD9" s="9" t="n">
        <f aca="false">IF($B9="","",IF(Setup!$A$48="",0,IF(ISNUMBER(SEARCH(Setup!$A$48,$B9)),48,0)))</f>
        <v>0</v>
      </c>
      <c r="DE9" s="9" t="n">
        <f aca="false">IF($B9="","",IF(Setup!$A$49="",0,IF(ISNUMBER(SEARCH(Setup!$A$49,$B9)),49,0)))</f>
        <v>0</v>
      </c>
      <c r="DF9" s="9" t="n">
        <f aca="false">IF($B9="",NA(),$A9)</f>
        <v>4</v>
      </c>
      <c r="DG9" s="22" t="n">
        <f aca="false">IF($BI9="",NA(),$BI9)</f>
        <v>31.8</v>
      </c>
      <c r="DH9" s="22" t="n">
        <f aca="false">IF($N9="",NA(),$N9)</f>
        <v>35.2</v>
      </c>
      <c r="DI9" s="9" t="e">
        <f aca="false">IF(AND($D9="Drift",$N9&lt;&gt;""),$N9,NA())</f>
        <v>#N/A</v>
      </c>
      <c r="DJ9" s="9" t="str">
        <f aca="false">IF(AND($D9="Drift",$N9&lt;&gt;""),$N9,"")</f>
        <v/>
      </c>
      <c r="DK9" s="9" t="str">
        <f aca="false">IF($DJ9="","",$A9)</f>
        <v/>
      </c>
      <c r="DL9" s="9" t="e">
        <f aca="false">IF($AN9="",NA(),$AM9)</f>
        <v>#N/A</v>
      </c>
      <c r="DM9" s="9" t="e">
        <f aca="false">IF($AN9="",NA(),$AN9)</f>
        <v>#N/A</v>
      </c>
      <c r="DN9" s="9" t="e">
        <f aca="false">IF(AND($D9="Sample",$L9&lt;&gt;""),$L9,NA())</f>
        <v>#N/A</v>
      </c>
      <c r="DO9" s="9" t="e">
        <f aca="false">IF(AND($D9="Sample",$L9&lt;&gt;"",Fits!$B$98&lt;&gt;""),Fits!$B$98,NA())</f>
        <v>#N/A</v>
      </c>
      <c r="DP9" s="9" t="e">
        <f aca="false">IF($AS9="",NA(),$AS9)</f>
        <v>#N/A</v>
      </c>
      <c r="DQ9" s="9" t="e">
        <f aca="false">IF(AND($D9="Drift",$AS9="",$X9&lt;&gt;""),$X9,NA())</f>
        <v>#N/A</v>
      </c>
      <c r="DR9" s="9" t="e">
        <f aca="false">IF(AND($D9="Drift",$Z9&lt;&gt;""),$Z9,NA())</f>
        <v>#N/A</v>
      </c>
      <c r="DS9" s="9" t="e">
        <f aca="false">IF(AND(OR($D9="Sample",$D9="Check"),$AA9&lt;&gt;""),$AA9,NA())</f>
        <v>#N/A</v>
      </c>
      <c r="DT9" s="25" t="n">
        <f aca="false">IF(OR($B9="",Fits!$B$138=""),NA(),Fits!$B$138)</f>
        <v>1.76</v>
      </c>
      <c r="DU9" s="25" t="n">
        <f aca="false">IF(OR($B9="",Fits!$B$139=""),NA(),Fits!$B$139)</f>
        <v>20.68</v>
      </c>
      <c r="DV9" s="24" t="n">
        <f aca="false">IF($BT9="",NA(),$BT9)</f>
        <v>-1.133</v>
      </c>
      <c r="DW9" s="9" t="e">
        <f aca="false">IF($AP9="",NA(),$AO9)</f>
        <v>#N/A</v>
      </c>
      <c r="DX9" s="9" t="e">
        <f aca="false">IF($AP9="",NA(),$AP9)</f>
        <v>#N/A</v>
      </c>
      <c r="DY9" s="9" t="e">
        <f aca="false">IF(AND($D9="Sample",$P9&lt;&gt;""),$P9,NA())</f>
        <v>#N/A</v>
      </c>
      <c r="DZ9" s="9" t="e">
        <f aca="false">IF(AND($D9="Sample",$P9&lt;&gt;"",Fits!$B$105&lt;&gt;""),Fits!$B$105,NA())</f>
        <v>#N/A</v>
      </c>
      <c r="EA9" s="9" t="e">
        <f aca="false">IF($AT9="",NA(),$AT9)</f>
        <v>#N/A</v>
      </c>
      <c r="EB9" s="9" t="e">
        <f aca="false">IF(AND($D9="Drift",$AT9="",$AC9&lt;&gt;""),$AC9,NA())</f>
        <v>#N/A</v>
      </c>
      <c r="EC9" s="9" t="e">
        <f aca="false">IF(AND($D9="Drift",$AE9&lt;&gt;""),$AE9,NA())</f>
        <v>#N/A</v>
      </c>
      <c r="ED9" s="9" t="e">
        <f aca="false">IF(AND(OR($D9="Sample",$D9="Check"),$AF9&lt;&gt;""),$AF9,NA())</f>
        <v>#N/A</v>
      </c>
      <c r="EE9" s="25" t="n">
        <f aca="false">IF(OR($B9="",Fits!$B$158=""),NA(),Fits!$B$158)</f>
        <v>-40.81</v>
      </c>
      <c r="EF9" s="25" t="n">
        <f aca="false">IF(OR($B9="",Fits!$B$159=""),NA(),Fits!$B$159)</f>
        <v>-20.29</v>
      </c>
      <c r="EG9" s="24" t="n">
        <f aca="false">IF($BW9="",NA(),$BW9)</f>
        <v>-25.478</v>
      </c>
      <c r="EH9" s="9" t="e">
        <f aca="false">IF(AND($EN9=1,ISNUMBER($N9)),$N9,NA())</f>
        <v>#N/A</v>
      </c>
      <c r="EI9" s="9" t="n">
        <f aca="false">IF($B9="","",$A9)</f>
        <v>4</v>
      </c>
      <c r="EJ9" s="9" t="n">
        <f aca="false">IF(OR(AND(ISNUMBER($L9),Fits!$B$97&gt;0,$L9&gt;Fits!$B$97),AND(ISNUMBER($P9),Fits!$B$104&gt;0,$P9&gt;Fits!$B$104)),1,0)</f>
        <v>0</v>
      </c>
      <c r="EK9" s="9" t="n">
        <f aca="false">IF(OR($EJ8=1,$EJ7=1),1,0)</f>
        <v>1</v>
      </c>
      <c r="EL9" s="22" t="n">
        <f aca="false">IF(AND($EK9=0,ISNUMBER($N9)),$N9,$EL8)</f>
        <v>37.2</v>
      </c>
      <c r="EM9" s="9" t="n">
        <f aca="false">IF(AND($EK9=1,ISNUMBER($N9),ISNUMBER($EL9)),$N9-$EL9,"")</f>
        <v>-2</v>
      </c>
      <c r="EN9" s="9" t="n">
        <f aca="false">IF(Setup!$B$28="",0,IF(ISNUMBER($EM9),IF($EM9&gt;Setup!$B$28,1,0),0))</f>
        <v>0</v>
      </c>
      <c r="EO9" s="9" t="str">
        <f aca="false">IF($EN9=1,COUNTIF($EN$6:$EN9,1),"")</f>
        <v/>
      </c>
      <c r="EP9" s="9" t="n">
        <f aca="false">IF(AND($EJ8=1,OR($D9="Sample",$D9="Check")),1,0)</f>
        <v>0</v>
      </c>
      <c r="EQ9" s="22" t="n">
        <f aca="false">IF(ISNUMBER($BI9),IF(COUNT($BI$6:$BI9)&lt;=5,$BI9,""),"")</f>
        <v>31.8</v>
      </c>
      <c r="ER9" s="9" t="str">
        <f aca="false">IF(OR(NOT(ISNUMBER($BJ9)),$EK9=1),$ER8,IF($BJ9&lt;=Setup!$B$26,IF($CP8=0,$A9,$ER8),""))</f>
        <v/>
      </c>
    </row>
    <row r="10" customFormat="false" ht="15" hidden="false" customHeight="false" outlineLevel="0" collapsed="false">
      <c r="A10" s="8" t="n">
        <v>5</v>
      </c>
      <c r="B10" s="8" t="str">
        <f aca="false">IFERROR(INDEX(Raw!$B$2:$B$1001,MATCH($A10,Raw!$A$2:$A$1001,0)),"")</f>
        <v>Blank Capsule</v>
      </c>
      <c r="C10" s="9" t="n">
        <f aca="false">IF($B10="","",MAX($CS10:$DE10))</f>
        <v>45</v>
      </c>
      <c r="D10" s="8" t="str">
        <f aca="false">IF($B10="","",IF($C10=0,"Sample",INDEX(Setup!$B$37:$B$49,$C10-36)))</f>
        <v>Blank</v>
      </c>
      <c r="E10" s="16" t="str">
        <f aca="false">IF($B10="","",IFERROR(IF(INDEX(Raw!$E$2:$E$1001,MATCH($A10,Raw!$A$2:$A$1001,0))=0,"",INDEX(Raw!$E$2:$E$1001,MATCH($A10,Raw!$A$2:$A$1001,0))),""))</f>
        <v/>
      </c>
      <c r="F10" s="18"/>
      <c r="G10" s="16" t="str">
        <f aca="false">IF($B10="","",IF($F10&lt;&gt;"",$F10,IF($E10="","",$E10)))</f>
        <v/>
      </c>
      <c r="H10" s="9" t="n">
        <f aca="false">IF($B10="","",SUMPRODUCT(MAX((Raw!$A$2:$A$1001=$A10)*(Raw!$R$2:$R$1001="N")*Raw!$D$2:$D$1001)))</f>
        <v>2</v>
      </c>
      <c r="I10" s="9" t="str">
        <f aca="false">IF(OR($H10="",$H10=0),"",$A10&amp;"|N|"&amp;$H10)</f>
        <v>5|N|2</v>
      </c>
      <c r="J10" s="9" t="n">
        <f aca="false">IF($B10="","",SUMPRODUCT(MIN((Raw!$A$2:$A$1001=$A10)*(Raw!$R$2:$R$1001="C")*Raw!$D$2:$D$1001+(1-(Raw!$A$2:$A$1001=$A10)*(Raw!$R$2:$R$1001="C"))*9999)))</f>
        <v>3</v>
      </c>
      <c r="K10" s="9" t="str">
        <f aca="false">IF(OR($J10="",$J10=0,$J10=9999),"",$A10&amp;"|C|"&amp;$J10)</f>
        <v>5|C|3</v>
      </c>
      <c r="L10" s="16" t="str">
        <f aca="false">IF($I10="","",IF(INDEX(Raw!$I$2:$I$1001,MATCH($I10,Raw!$S$2:$S$1001,0))&lt;&gt;0,"",INDEX(Raw!$H$2:$H$1001,MATCH($I10,Raw!$S$2:$S$1001,0))))</f>
        <v/>
      </c>
      <c r="M10" s="19" t="str">
        <f aca="false">IF($I10="","",IF(INDEX(Raw!$I$2:$I$1001,MATCH($I10,Raw!$S$2:$S$1001,0))&lt;&gt;0,"",INDEX(Raw!$F$2:$F$1001,MATCH($I10,Raw!$S$2:$S$1001,0))))</f>
        <v/>
      </c>
      <c r="N10" s="20" t="str">
        <f aca="false">IF($I10="","",IF(INDEX(Raw!$I$2:$I$1001,MATCH($I10,Raw!$S$2:$S$1001,0))&lt;&gt;0,"",INDEX(Raw!$G$2:$G$1001,MATCH($I10,Raw!$S$2:$S$1001,0))))</f>
        <v/>
      </c>
      <c r="O10" s="16" t="str">
        <f aca="false">IF($I10="","",IF(INDEX(Raw!$I$2:$I$1001,MATCH($I10,Raw!$S$2:$S$1001,0))&lt;&gt;0,"",INDEX(Raw!$N$2:$N$1001,MATCH($I10,Raw!$S$2:$S$1001,0))))</f>
        <v/>
      </c>
      <c r="P10" s="16" t="str">
        <f aca="false">IF($K10="","",IF(INDEX(Raw!$I$2:$I$1001,MATCH($K10,Raw!$S$2:$S$1001,0))&lt;&gt;0,"",INDEX(Raw!$K$2:$K$1001,MATCH($K10,Raw!$S$2:$S$1001,0))))</f>
        <v/>
      </c>
      <c r="Q10" s="19" t="str">
        <f aca="false">IF($K10="","",IF(INDEX(Raw!$I$2:$I$1001,MATCH($K10,Raw!$S$2:$S$1001,0))&lt;&gt;0,"",INDEX(Raw!$J$2:$J$1001,MATCH($K10,Raw!$S$2:$S$1001,0))))</f>
        <v/>
      </c>
      <c r="R10" s="16" t="str">
        <f aca="false">IF($K10="","",IF(INDEX(Raw!$I$2:$I$1001,MATCH($K10,Raw!$S$2:$S$1001,0))&lt;&gt;0,"",INDEX(Raw!$O$2:$O$1001,MATCH($K10,Raw!$S$2:$S$1001,0))))</f>
        <v/>
      </c>
      <c r="S10" s="21" t="str">
        <f aca="false">IF($B10="","",IF($C10=0,"",IF(INDEX(Setup!$D$37:$D$49,$C10-36)="","",INDEX(Setup!$D$37:$D$49,$C10-36))))</f>
        <v/>
      </c>
      <c r="T10" s="21" t="str">
        <f aca="false">IF($B10="","",IF($C10=0,"",IF(INDEX(Setup!$C$37:$C$49,$C10-36)="","",INDEX(Setup!$C$37:$C$49,$C10-36))))</f>
        <v/>
      </c>
      <c r="U10" s="21" t="str">
        <f aca="false">IF($B10="","",IF($C10=0,"",IF(INDEX(Setup!$F$37:$F$49,$C10-36)="","",INDEX(Setup!$F$37:$F$49,$C10-36))))</f>
        <v/>
      </c>
      <c r="V10" s="21" t="str">
        <f aca="false">IF($B10="","",IF($C10=0,"",IF(INDEX(Setup!$E$37:$E$49,$C10-36)="","",INDEX(Setup!$E$37:$E$49,$C10-36))))</f>
        <v/>
      </c>
      <c r="W10" s="16" t="str">
        <f aca="false">IF($O10="","",IF(OR(Fits!$C$5&lt;&gt;"Yes",$D10="Blank",$L10&lt;=Fits!$B$6),$O10,($L10*$O10-Fits!$B$6*Fits!$B$7)/($L10-Fits!$B$6)))</f>
        <v/>
      </c>
      <c r="X10" s="16" t="str">
        <f aca="false">IF($W10="","",$W10-Fits!$B$20*($L10-Fits!$B$16))</f>
        <v/>
      </c>
      <c r="Y10" s="22" t="str">
        <f aca="false">IF($W10="","",IF(OR(Fits!$B$38="Row",$BI10=""),$A10,$BI10))</f>
        <v/>
      </c>
      <c r="Z10" s="16" t="str">
        <f aca="false">IF($X10="","",$X10-Fits!$B$39*($Y10-Fits!$B$40))</f>
        <v/>
      </c>
      <c r="AA10" s="23" t="str">
        <f aca="false">IF(OR($Z10="",Fits!$B$55&lt;2),"",Fits!$B$56*$Z10+Fits!$B$57)</f>
        <v/>
      </c>
      <c r="AB10" s="16" t="str">
        <f aca="false">IF($R10="","",IF(OR(Fits!$C$9&lt;&gt;"Yes",$D10="Blank",$P10&lt;=Fits!$B$10),$R10,($P10*$R10-Fits!$B$10*Fits!$B$11)/($P10-Fits!$B$10)))</f>
        <v/>
      </c>
      <c r="AC10" s="16" t="str">
        <f aca="false">IF($AB10="","",$AB10-Fits!$B$28*($P10-Fits!$B$24))</f>
        <v/>
      </c>
      <c r="AD10" s="22" t="str">
        <f aca="false">IF($AB10="","",IF(OR(Fits!$B$50="Row",$BI10=""),$A10,$BI10))</f>
        <v/>
      </c>
      <c r="AE10" s="16" t="str">
        <f aca="false">IF($AC10="","",$AC10-Fits!$B$51*($AD10-Fits!$B$52))</f>
        <v/>
      </c>
      <c r="AF10" s="23" t="str">
        <f aca="false">IF(OR($AE10="",Fits!$B$62&lt;2),"",Fits!$B$63*$AE10+Fits!$B$64)</f>
        <v/>
      </c>
      <c r="AG10" s="21" t="str">
        <f aca="false">IF(OR($L10="",Fits!$B$69&lt;3),"",($L10-Fits!$B$71)/Fits!$B$70)</f>
        <v/>
      </c>
      <c r="AH10" s="21" t="str">
        <f aca="false">IF(OR($P10="",Fits!$B$75&lt;3),"",($P10-Fits!$B$77)/Fits!$B$76)</f>
        <v/>
      </c>
      <c r="AI10" s="23" t="str">
        <f aca="false">IF(OR($AG10="",$G10="",$G10=0),"",$AG10/($G10*1000)*100)</f>
        <v/>
      </c>
      <c r="AJ10" s="23" t="str">
        <f aca="false">IF(OR($AH10="",$G10="",$G10=0),"",$AH10/($G10*1000)*100)</f>
        <v/>
      </c>
      <c r="AK10" s="23" t="str">
        <f aca="false">IF(OR($AG10="",$AH10="",$AG10&lt;=0),"",($AH10/Setup!$B$52)/($AG10/Setup!$B$53))</f>
        <v/>
      </c>
      <c r="AL10" s="23" t="str">
        <f aca="false">IF(OR($AG10="",$AH10="",$AG10&lt;=0),"",$AH10/$AG10)</f>
        <v/>
      </c>
      <c r="AM10" s="9" t="str">
        <f aca="false">IF($D10="Linearity",IF($L10="","",$L10),"")</f>
        <v/>
      </c>
      <c r="AN10" s="9" t="str">
        <f aca="false">IF($D10="Linearity",IF($W10="","",$W10),"")</f>
        <v/>
      </c>
      <c r="AO10" s="9" t="str">
        <f aca="false">IF($D10="Linearity",IF($P10="","",$P10),"")</f>
        <v/>
      </c>
      <c r="AP10" s="9" t="str">
        <f aca="false">IF($D10="Linearity",IF($AB10="","",$AB10),"")</f>
        <v/>
      </c>
      <c r="AQ10" s="9" t="str">
        <f aca="false">IF($D10="Drift",IF($A10&lt;IF(Setup!$B$14="",0,Setup!$B$14),"",$A10),"")</f>
        <v/>
      </c>
      <c r="AR10" s="9" t="str">
        <f aca="false">IF($D10="Drift",IF($A10&lt;IF(Setup!$B$14="",0,Setup!$B$14),"",IF($BI10="","",$BI10)),"")</f>
        <v/>
      </c>
      <c r="AS10" s="9" t="str">
        <f aca="false">IF($D10="Drift",IF($A10&lt;IF(Setup!$B$14="",0,Setup!$B$14),"",IF(OR($X10="",$BX10=1),"",$X10)),"")</f>
        <v/>
      </c>
      <c r="AT10" s="9" t="str">
        <f aca="false">IF($D10="Drift",IF($A10&lt;IF(Setup!$B$14="",0,Setup!$B$14),"",IF(OR($AC10="",$BY10=1),"",$AC10)),"")</f>
        <v/>
      </c>
      <c r="AU10" s="9" t="str">
        <f aca="false">IF($D10="Anchor",IF(OR($Z10="",$S10=""),"",$Z10),"")</f>
        <v/>
      </c>
      <c r="AV10" s="9" t="str">
        <f aca="false">IF($D10="Anchor",IF(OR($Z10="",$S10=""),"",$S10),"")</f>
        <v/>
      </c>
      <c r="AW10" s="9" t="str">
        <f aca="false">IF($D10="Anchor",IF(OR($AE10="",$T10=""),"",$AE10),"")</f>
        <v/>
      </c>
      <c r="AX10" s="9" t="str">
        <f aca="false">IF($D10="Anchor",IF(OR($AE10="",$T10=""),"",$T10),"")</f>
        <v/>
      </c>
      <c r="AY10" s="9" t="str">
        <f aca="false">IF(OR($D10="Blank",$D10="Exclude",$D10="Sample",$D10="",$G10="",$U10="",$L10=""),"",$G10*1000*$U10/100)</f>
        <v/>
      </c>
      <c r="AZ10" s="9" t="str">
        <f aca="false">IF($AY10="","",$L10)</f>
        <v/>
      </c>
      <c r="BA10" s="9" t="str">
        <f aca="false">IF(OR($D10="Blank",$D10="Exclude",$D10="Sample",$D10="",$G10="",$V10="",$P10=""),"",$G10*1000*$V10/100)</f>
        <v/>
      </c>
      <c r="BB10" s="9" t="str">
        <f aca="false">IF($BA10="","",$P10)</f>
        <v/>
      </c>
      <c r="BC10" s="9" t="str">
        <f aca="false">IF(AND($D10="Blank",$L10&lt;&gt;""),$O10,"")</f>
        <v/>
      </c>
      <c r="BD10" s="9" t="str">
        <f aca="false">IF($BC10="","",$L10)</f>
        <v/>
      </c>
      <c r="BE10" s="9" t="str">
        <f aca="false">IF(AND($D10="Blank",$P10&lt;&gt;""),$R10,"")</f>
        <v/>
      </c>
      <c r="BF10" s="9" t="str">
        <f aca="false">IF($BE10="","",$P10)</f>
        <v/>
      </c>
      <c r="BG10" s="9" t="str">
        <f aca="false">IF(AND($D10="Drift",$BX10&lt;&gt;1),IF($AA10="","",$AA10),"")</f>
        <v/>
      </c>
      <c r="BH10" s="9" t="str">
        <f aca="false">IF(AND($D10="Drift",$BY10&lt;&gt;1),IF($AF10="","",$AF10),"")</f>
        <v/>
      </c>
      <c r="BI10" s="20" t="n">
        <f aca="false">IF($B10="","",IFERROR(INDEX(Raw!$G$2:$G$1001,MATCH($A10&amp;"|N|"&amp;SUMPRODUCT(MAX((Raw!$A$2:$A$1001=$A10)*(Raw!$R$2:$R$1001="N")*(Raw!$I$2:$I$1001=1)*Raw!$D$2:$D$1001)),Raw!$S$2:$S$1001,0)),""))</f>
        <v>30.8</v>
      </c>
      <c r="BJ10" s="21" t="n">
        <f aca="false">IF(OR($BI10="",Fits!$B$85&lt;=0),"",($BI10-Fits!$B$83)/Fits!$B$85)</f>
        <v>0.693693693693694</v>
      </c>
      <c r="BK10" s="9" t="str">
        <f aca="false">IF($AS10="","",IF($A10&gt;=Fits!$B$86,"",$A10))</f>
        <v/>
      </c>
      <c r="BL10" s="9" t="str">
        <f aca="false">IF($BK10="","",$X10)</f>
        <v/>
      </c>
      <c r="BM10" s="9" t="str">
        <f aca="false">IF($AS10="","",IF($A10&lt;Fits!$B$86,"",$A10))</f>
        <v/>
      </c>
      <c r="BN10" s="9" t="str">
        <f aca="false">IF($BM10="","",$X10)</f>
        <v/>
      </c>
      <c r="BO10" s="9" t="str">
        <f aca="false">IF(AND($D10="Drift",$BX10&lt;&gt;1),IF($O10="","",$O10),"")</f>
        <v/>
      </c>
      <c r="BP10" s="9" t="str">
        <f aca="false">IF(AND($D10="Drift",$BX10&lt;&gt;1),IF($W10="","",$W10),"")</f>
        <v/>
      </c>
      <c r="BQ10" s="9" t="str">
        <f aca="false">IF(AND($D10="Drift",$BX10&lt;&gt;1),IF($X10="","",$X10),"")</f>
        <v/>
      </c>
      <c r="BR10" s="9" t="str">
        <f aca="false">IF(AND($D10="Drift",$BX10&lt;&gt;1),IF($Z10="","",$Z10),"")</f>
        <v/>
      </c>
      <c r="BS10" s="9" t="n">
        <f aca="false">IF(OR($B10="",$H10=""),"",SUMPRODUCT(MIN((Raw!$A$2:$A$1001=$A10)*(Raw!$R$2:$R$1001="N")*(Raw!$I$2:$I$1001=0)*(Raw!$D$2:$D$1001&lt;$H10)*Raw!$D$2:$D$1001+(1-(Raw!$A$2:$A$1001=$A10)*(Raw!$R$2:$R$1001="N")*(Raw!$I$2:$I$1001=0)*(Raw!$D$2:$D$1001&lt;$H10))*9999)))</f>
        <v>1</v>
      </c>
      <c r="BT10" s="16" t="n">
        <f aca="false">IF(OR($BS10="",$BS10=9999,$BS10=0),"",IFERROR(INDEX(Raw!$N$2:$N$1001,MATCH($A10&amp;"|N|"&amp;$BS10,Raw!$S$2:$S$1001,0)),""))</f>
        <v>-1.071</v>
      </c>
      <c r="BU10" s="9" t="n">
        <f aca="false">IF($B10="","",SUMPRODUCT(MIN((Raw!$A$2:$A$1001=$A10)*(Raw!$R$2:$R$1001="C")*(Raw!$I$2:$I$1001=1)*Raw!$D$2:$D$1001+(1-(Raw!$A$2:$A$1001=$A10)*(Raw!$R$2:$R$1001="C")*(Raw!$I$2:$I$1001=1))*9999)))</f>
        <v>3</v>
      </c>
      <c r="BV10" s="9" t="n">
        <f aca="false">IF(OR($BU10="",$BU10=9999),"",SUMPRODUCT(MIN((Raw!$A$2:$A$1001=$A10)*(Raw!$R$2:$R$1001="C")*(Raw!$I$2:$I$1001=0)*(Raw!$D$2:$D$1001&gt;$BU10)*Raw!$D$2:$D$1001+(1-(Raw!$A$2:$A$1001=$A10)*(Raw!$R$2:$R$1001="C")*(Raw!$I$2:$I$1001=0)*(Raw!$D$2:$D$1001&gt;$BU10))*9999)))</f>
        <v>4</v>
      </c>
      <c r="BW10" s="16" t="n">
        <f aca="false">IF(OR($BV10="",$BV10=9999,$BV10=0),"",IFERROR(INDEX(Raw!$O$2:$O$1001,MATCH($A10&amp;"|C|"&amp;$BV10,Raw!$S$2:$S$1001,0)),""))</f>
        <v>-25.535</v>
      </c>
      <c r="BX10" s="9" t="n">
        <f aca="false">IF($B10="","",IF(ISNUMBER(SEARCH(","&amp;$A10&amp;",",","&amp;SUBSTITUTE(Setup!$B$16," ","")&amp;",")),1,0))</f>
        <v>0</v>
      </c>
      <c r="BY10" s="9" t="n">
        <f aca="false">IF($B10="","",IF(ISNUMBER(SEARCH(","&amp;$A10&amp;",",","&amp;SUBSTITUTE(Setup!$B$17," ","")&amp;",")),1,0))</f>
        <v>0</v>
      </c>
      <c r="BZ10" s="22" t="str">
        <f aca="false">IF($AS10="","",IF(Fits!$B$38="Row",$AQ10,IF($AR10="","",$AR10)))</f>
        <v/>
      </c>
      <c r="CA10" s="22" t="str">
        <f aca="false">IF($AT10="","",IF(Fits!$B$50="Row",$AQ10,IF($AR10="","",$AR10)))</f>
        <v/>
      </c>
      <c r="CB10" s="20" t="str">
        <f aca="false">IF(OR($D10&lt;&gt;"Drift",$X10="",$A10&lt;IF(Setup!$B$14="",0,Setup!$B$14),Fits!$B$107&lt;3,Fits!$B$110="",Fits!$B$109=0,IF(Fits!$B$38="Row",$AQ10,$AR10)=""),"",IF($BX10=1,IF(OR(Fits!$B$111="",Fits!$B$111=0),"",($X10-(IF(Fits!$B$38="Row",Fits!$B$32,Fits!$B$35)*IF(Fits!$B$38="Row",$AQ10,$AR10)+Fits!$B$110))/(Fits!$B$111*SQRT(1+(1/Fits!$B$107+(IF(Fits!$B$38="Row",$AQ10,$AR10)-Fits!$B$108)^2/Fits!$B$109)))),IF(OR(Fits!$B$107&lt;4,(1/Fits!$B$107+(IF(Fits!$B$38="Row",$AQ10,$AR10)-Fits!$B$108)^2/Fits!$B$109)&gt;=1),"",IF((Fits!$B$116-($X10-(IF(Fits!$B$38="Row",Fits!$B$32,Fits!$B$35)*IF(Fits!$B$38="Row",$AQ10,$AR10)+Fits!$B$110))^2/(1-(1/Fits!$B$107+(IF(Fits!$B$38="Row",$AQ10,$AR10)-Fits!$B$108)^2/Fits!$B$109)))&lt;=0,"",($X10-(IF(Fits!$B$38="Row",Fits!$B$32,Fits!$B$35)*IF(Fits!$B$38="Row",$AQ10,$AR10)+Fits!$B$110))/(SQRT((Fits!$B$116-($X10-(IF(Fits!$B$38="Row",Fits!$B$32,Fits!$B$35)*IF(Fits!$B$38="Row",$AQ10,$AR10)+Fits!$B$110))^2/(1-(1/Fits!$B$107+(IF(Fits!$B$38="Row",$AQ10,$AR10)-Fits!$B$108)^2/Fits!$B$109)))/(Fits!$B$107-3))*SQRT(1-(1/Fits!$B$107+(IF(Fits!$B$38="Row",$AQ10,$AR10)-Fits!$B$108)^2/Fits!$B$109)))))))</f>
        <v/>
      </c>
      <c r="CC10" s="20" t="str">
        <f aca="false">IF(OR($D10&lt;&gt;"Drift",$AC10="",$A10&lt;IF(Setup!$B$14="",0,Setup!$B$14),Fits!$B$120&lt;3,Fits!$B$123="",Fits!$B$122=0,IF(Fits!$B$50="Row",$AQ10,$AR10)=""),"",IF($BY10=1,IF(OR(Fits!$B$124="",Fits!$B$124=0),"",($AC10-(IF(Fits!$B$50="Row",Fits!$B$44,Fits!$B$47)*IF(Fits!$B$50="Row",$AQ10,$AR10)+Fits!$B$123))/(Fits!$B$124*SQRT(1+(1/Fits!$B$120+(IF(Fits!$B$50="Row",$AQ10,$AR10)-Fits!$B$121)^2/Fits!$B$122)))),IF(OR(Fits!$B$120&lt;4,(1/Fits!$B$120+(IF(Fits!$B$50="Row",$AQ10,$AR10)-Fits!$B$121)^2/Fits!$B$122)&gt;=1),"",IF((Fits!$B$129-($AC10-(IF(Fits!$B$50="Row",Fits!$B$44,Fits!$B$47)*IF(Fits!$B$50="Row",$AQ10,$AR10)+Fits!$B$123))^2/(1-(1/Fits!$B$120+(IF(Fits!$B$50="Row",$AQ10,$AR10)-Fits!$B$121)^2/Fits!$B$122)))&lt;=0,"",($AC10-(IF(Fits!$B$50="Row",Fits!$B$44,Fits!$B$47)*IF(Fits!$B$50="Row",$AQ10,$AR10)+Fits!$B$123))/(SQRT((Fits!$B$129-($AC10-(IF(Fits!$B$50="Row",Fits!$B$44,Fits!$B$47)*IF(Fits!$B$50="Row",$AQ10,$AR10)+Fits!$B$123))^2/(1-(1/Fits!$B$120+(IF(Fits!$B$50="Row",$AQ10,$AR10)-Fits!$B$121)^2/Fits!$B$122)))/(Fits!$B$120-3))*SQRT(1-(1/Fits!$B$120+(IF(Fits!$B$50="Row",$AQ10,$AR10)-Fits!$B$121)^2/Fits!$B$122)))))))</f>
        <v/>
      </c>
      <c r="CD10" s="9" t="str">
        <f aca="false">IF($AU10="","",1)</f>
        <v/>
      </c>
      <c r="CE10" s="24" t="str">
        <f aca="false">IF($AU10="","",$AU10-Fits!$B$133)</f>
        <v/>
      </c>
      <c r="CF10" s="24" t="str">
        <f aca="false">IF($AU10="","",($AV10-(Fits!$B$56*$AU10+Fits!$B$57))-Fits!$B$56*($AU10-Fits!$B$133))</f>
        <v/>
      </c>
      <c r="CG10" s="25" t="str">
        <f aca="false">IF($AU10="","",$AU10^2)</f>
        <v/>
      </c>
      <c r="CH10" s="9" t="str">
        <f aca="false">IF($AW10="","",1)</f>
        <v/>
      </c>
      <c r="CI10" s="24" t="str">
        <f aca="false">IF($AW10="","",$AW10-Fits!$B$153)</f>
        <v/>
      </c>
      <c r="CJ10" s="24" t="str">
        <f aca="false">IF($AW10="","",($AX10-(Fits!$B$63*$AW10+Fits!$B$64))-Fits!$B$63*($AW10-Fits!$B$153))</f>
        <v/>
      </c>
      <c r="CK10" s="25" t="str">
        <f aca="false">IF($AW10="","",$AW10^2)</f>
        <v/>
      </c>
      <c r="CL10" s="26" t="str">
        <f aca="false">IF(OR($Z10="",Fits!$B$55&lt;3,Fits!$B$133="",Fits!$B$134="",Fits!$B$134=0,Fits!$B$136=""),"",SQRT((Fits!$B$136*Fits!$B$56)^2+SUMPRODUCT((Fits!$J$163:$J$175*(Fits!$B$163:$B$175/Fits!$B$55+Fits!$H$163:$H$175*($Z10-Fits!$B$133)/Fits!$B$134))^2)+SUMPRODUCT((Fits!$G$163:$G$175*(($Z10-Fits!$B$133)*Fits!$I$163:$I$175/Fits!$B$134-Fits!$B$163:$B$175*Fits!$B$56/Fits!$B$55))^2)))</f>
        <v/>
      </c>
      <c r="CM10" s="26" t="str">
        <f aca="false">IF($CL10="","",Setup!$B$32*$CL10)</f>
        <v/>
      </c>
      <c r="CN10" s="26" t="str">
        <f aca="false">IF(OR($AE10="",Fits!$B$62&lt;3,Fits!$B$153="",Fits!$B$154="",Fits!$B$154=0,Fits!$B$156=""),"",SQRT((Fits!$B$156*Fits!$B$63)^2+SUMPRODUCT((Fits!$J$183:$J$195*(Fits!$B$183:$B$195/Fits!$B$62+Fits!$H$183:$H$195*($AE10-Fits!$B$153)/Fits!$B$154))^2)+SUMPRODUCT((Fits!$G$183:$G$195*(($AE10-Fits!$B$153)*Fits!$I$183:$I$195/Fits!$B$154-Fits!$B$183:$B$195*Fits!$B$63/Fits!$B$62))^2)))</f>
        <v/>
      </c>
      <c r="CO10" s="26" t="str">
        <f aca="false">IF($CN10="","",Setup!$B$32*$CN10)</f>
        <v/>
      </c>
      <c r="CP10" s="9" t="n">
        <f aca="false">IF(OR(NOT(ISNUMBER($BJ10)),$EK10=1),$CP9,IF($BJ10&lt;=Setup!$B$26,$CP9+1,0))</f>
        <v>0</v>
      </c>
      <c r="CQ10" s="9" t="n">
        <f aca="false">IF($BT10="","",$A10)</f>
        <v>5</v>
      </c>
      <c r="CR10" s="9" t="n">
        <f aca="false">IF($BW10="","",$A10)</f>
        <v>5</v>
      </c>
      <c r="CS10" s="9" t="n">
        <f aca="false">IF($B10="","",IF(Setup!$A$37="",0,IF(ISNUMBER(SEARCH(Setup!$A$37,$B10)),37,0)))</f>
        <v>0</v>
      </c>
      <c r="CT10" s="9" t="n">
        <f aca="false">IF($B10="","",IF(Setup!$A$38="",0,IF(ISNUMBER(SEARCH(Setup!$A$38,$B10)),38,0)))</f>
        <v>0</v>
      </c>
      <c r="CU10" s="9" t="n">
        <f aca="false">IF($B10="","",IF(Setup!$A$39="",0,IF(ISNUMBER(SEARCH(Setup!$A$39,$B10)),39,0)))</f>
        <v>0</v>
      </c>
      <c r="CV10" s="9" t="n">
        <f aca="false">IF($B10="","",IF(Setup!$A$40="",0,IF(ISNUMBER(SEARCH(Setup!$A$40,$B10)),40,0)))</f>
        <v>0</v>
      </c>
      <c r="CW10" s="9" t="n">
        <f aca="false">IF($B10="","",IF(Setup!$A$41="",0,IF(ISNUMBER(SEARCH(Setup!$A$41,$B10)),41,0)))</f>
        <v>0</v>
      </c>
      <c r="CX10" s="9" t="n">
        <f aca="false">IF($B10="","",IF(Setup!$A$42="",0,IF(ISNUMBER(SEARCH(Setup!$A$42,$B10)),42,0)))</f>
        <v>0</v>
      </c>
      <c r="CY10" s="9" t="n">
        <f aca="false">IF($B10="","",IF(Setup!$A$43="",0,IF(ISNUMBER(SEARCH(Setup!$A$43,$B10)),43,0)))</f>
        <v>0</v>
      </c>
      <c r="CZ10" s="9" t="n">
        <f aca="false">IF($B10="","",IF(Setup!$A$44="",0,IF(ISNUMBER(SEARCH(Setup!$A$44,$B10)),44,0)))</f>
        <v>0</v>
      </c>
      <c r="DA10" s="9" t="n">
        <f aca="false">IF($B10="","",IF(Setup!$A$45="",0,IF(ISNUMBER(SEARCH(Setup!$A$45,$B10)),45,0)))</f>
        <v>45</v>
      </c>
      <c r="DB10" s="9" t="n">
        <f aca="false">IF($B10="","",IF(Setup!$A$46="",0,IF(ISNUMBER(SEARCH(Setup!$A$46,$B10)),46,0)))</f>
        <v>0</v>
      </c>
      <c r="DC10" s="9" t="n">
        <f aca="false">IF($B10="","",IF(Setup!$A$47="",0,IF(ISNUMBER(SEARCH(Setup!$A$47,$B10)),47,0)))</f>
        <v>0</v>
      </c>
      <c r="DD10" s="9" t="n">
        <f aca="false">IF($B10="","",IF(Setup!$A$48="",0,IF(ISNUMBER(SEARCH(Setup!$A$48,$B10)),48,0)))</f>
        <v>0</v>
      </c>
      <c r="DE10" s="9" t="n">
        <f aca="false">IF($B10="","",IF(Setup!$A$49="",0,IF(ISNUMBER(SEARCH(Setup!$A$49,$B10)),49,0)))</f>
        <v>0</v>
      </c>
      <c r="DF10" s="9" t="n">
        <f aca="false">IF($B10="",NA(),$A10)</f>
        <v>5</v>
      </c>
      <c r="DG10" s="22" t="n">
        <f aca="false">IF($BI10="",NA(),$BI10)</f>
        <v>30.8</v>
      </c>
      <c r="DH10" s="9" t="e">
        <f aca="false">IF($N10="",NA(),$N10)</f>
        <v>#N/A</v>
      </c>
      <c r="DI10" s="9" t="e">
        <f aca="false">IF(AND($D10="Drift",$N10&lt;&gt;""),$N10,NA())</f>
        <v>#N/A</v>
      </c>
      <c r="DJ10" s="9" t="str">
        <f aca="false">IF(AND($D10="Drift",$N10&lt;&gt;""),$N10,"")</f>
        <v/>
      </c>
      <c r="DK10" s="9" t="str">
        <f aca="false">IF($DJ10="","",$A10)</f>
        <v/>
      </c>
      <c r="DL10" s="9" t="e">
        <f aca="false">IF($AN10="",NA(),$AM10)</f>
        <v>#N/A</v>
      </c>
      <c r="DM10" s="9" t="e">
        <f aca="false">IF($AN10="",NA(),$AN10)</f>
        <v>#N/A</v>
      </c>
      <c r="DN10" s="9" t="e">
        <f aca="false">IF(AND($D10="Sample",$L10&lt;&gt;""),$L10,NA())</f>
        <v>#N/A</v>
      </c>
      <c r="DO10" s="9" t="e">
        <f aca="false">IF(AND($D10="Sample",$L10&lt;&gt;"",Fits!$B$98&lt;&gt;""),Fits!$B$98,NA())</f>
        <v>#N/A</v>
      </c>
      <c r="DP10" s="9" t="e">
        <f aca="false">IF($AS10="",NA(),$AS10)</f>
        <v>#N/A</v>
      </c>
      <c r="DQ10" s="9" t="e">
        <f aca="false">IF(AND($D10="Drift",$AS10="",$X10&lt;&gt;""),$X10,NA())</f>
        <v>#N/A</v>
      </c>
      <c r="DR10" s="9" t="e">
        <f aca="false">IF(AND($D10="Drift",$Z10&lt;&gt;""),$Z10,NA())</f>
        <v>#N/A</v>
      </c>
      <c r="DS10" s="9" t="e">
        <f aca="false">IF(AND(OR($D10="Sample",$D10="Check"),$AA10&lt;&gt;""),$AA10,NA())</f>
        <v>#N/A</v>
      </c>
      <c r="DT10" s="25" t="n">
        <f aca="false">IF(OR($B10="",Fits!$B$138=""),NA(),Fits!$B$138)</f>
        <v>1.76</v>
      </c>
      <c r="DU10" s="25" t="n">
        <f aca="false">IF(OR($B10="",Fits!$B$139=""),NA(),Fits!$B$139)</f>
        <v>20.68</v>
      </c>
      <c r="DV10" s="24" t="n">
        <f aca="false">IF($BT10="",NA(),$BT10)</f>
        <v>-1.071</v>
      </c>
      <c r="DW10" s="9" t="e">
        <f aca="false">IF($AP10="",NA(),$AO10)</f>
        <v>#N/A</v>
      </c>
      <c r="DX10" s="9" t="e">
        <f aca="false">IF($AP10="",NA(),$AP10)</f>
        <v>#N/A</v>
      </c>
      <c r="DY10" s="9" t="e">
        <f aca="false">IF(AND($D10="Sample",$P10&lt;&gt;""),$P10,NA())</f>
        <v>#N/A</v>
      </c>
      <c r="DZ10" s="9" t="e">
        <f aca="false">IF(AND($D10="Sample",$P10&lt;&gt;"",Fits!$B$105&lt;&gt;""),Fits!$B$105,NA())</f>
        <v>#N/A</v>
      </c>
      <c r="EA10" s="9" t="e">
        <f aca="false">IF($AT10="",NA(),$AT10)</f>
        <v>#N/A</v>
      </c>
      <c r="EB10" s="9" t="e">
        <f aca="false">IF(AND($D10="Drift",$AT10="",$AC10&lt;&gt;""),$AC10,NA())</f>
        <v>#N/A</v>
      </c>
      <c r="EC10" s="9" t="e">
        <f aca="false">IF(AND($D10="Drift",$AE10&lt;&gt;""),$AE10,NA())</f>
        <v>#N/A</v>
      </c>
      <c r="ED10" s="9" t="e">
        <f aca="false">IF(AND(OR($D10="Sample",$D10="Check"),$AF10&lt;&gt;""),$AF10,NA())</f>
        <v>#N/A</v>
      </c>
      <c r="EE10" s="25" t="n">
        <f aca="false">IF(OR($B10="",Fits!$B$158=""),NA(),Fits!$B$158)</f>
        <v>-40.81</v>
      </c>
      <c r="EF10" s="25" t="n">
        <f aca="false">IF(OR($B10="",Fits!$B$159=""),NA(),Fits!$B$159)</f>
        <v>-20.29</v>
      </c>
      <c r="EG10" s="24" t="n">
        <f aca="false">IF($BW10="",NA(),$BW10)</f>
        <v>-25.535</v>
      </c>
      <c r="EH10" s="9" t="e">
        <f aca="false">IF(AND($EN10=1,ISNUMBER($N10)),$N10,NA())</f>
        <v>#N/A</v>
      </c>
      <c r="EI10" s="9" t="n">
        <f aca="false">IF($B10="","",$A10)</f>
        <v>5</v>
      </c>
      <c r="EJ10" s="9" t="n">
        <f aca="false">IF(OR(AND(ISNUMBER($L10),Fits!$B$97&gt;0,$L10&gt;Fits!$B$97),AND(ISNUMBER($P10),Fits!$B$104&gt;0,$P10&gt;Fits!$B$104)),1,0)</f>
        <v>0</v>
      </c>
      <c r="EK10" s="9" t="n">
        <f aca="false">IF(OR($EJ9=1,$EJ8=1),1,0)</f>
        <v>0</v>
      </c>
      <c r="EL10" s="22" t="n">
        <f aca="false">IF(AND($EK10=0,ISNUMBER($N10)),$N10,$EL9)</f>
        <v>37.2</v>
      </c>
      <c r="EM10" s="9" t="str">
        <f aca="false">IF(AND($EK10=1,ISNUMBER($N10),ISNUMBER($EL10)),$N10-$EL10,"")</f>
        <v/>
      </c>
      <c r="EN10" s="9" t="n">
        <f aca="false">IF(Setup!$B$28="",0,IF(ISNUMBER($EM10),IF($EM10&gt;Setup!$B$28,1,0),0))</f>
        <v>0</v>
      </c>
      <c r="EO10" s="9" t="str">
        <f aca="false">IF($EN10=1,COUNTIF($EN$6:$EN10,1),"")</f>
        <v/>
      </c>
      <c r="EP10" s="9" t="n">
        <f aca="false">IF(AND($EJ9=1,OR($D10="Sample",$D10="Check")),1,0)</f>
        <v>0</v>
      </c>
      <c r="EQ10" s="22" t="n">
        <f aca="false">IF(ISNUMBER($BI10),IF(COUNT($BI$6:$BI10)&lt;=5,$BI10,""),"")</f>
        <v>30.8</v>
      </c>
      <c r="ER10" s="9" t="str">
        <f aca="false">IF(OR(NOT(ISNUMBER($BJ10)),$EK10=1),$ER9,IF($BJ10&lt;=Setup!$B$26,IF($CP9=0,$A10,$ER9),""))</f>
        <v/>
      </c>
    </row>
    <row r="11" customFormat="false" ht="15" hidden="false" customHeight="false" outlineLevel="0" collapsed="false">
      <c r="A11" s="8" t="n">
        <v>6</v>
      </c>
      <c r="B11" s="8" t="str">
        <f aca="false">IFERROR(INDEX(Raw!$B$2:$B$1001,MATCH($A11,Raw!$A$2:$A$1001,0)),"")</f>
        <v>Ace Lin1</v>
      </c>
      <c r="C11" s="9" t="n">
        <f aca="false">IF($B11="","",MAX($CS11:$DE11))</f>
        <v>42</v>
      </c>
      <c r="D11" s="8" t="str">
        <f aca="false">IF($B11="","",IF($C11=0,"Sample",INDEX(Setup!$B$37:$B$49,$C11-36)))</f>
        <v>Linearity</v>
      </c>
      <c r="E11" s="16" t="n">
        <f aca="false">IF($B11="","",IFERROR(IF(INDEX(Raw!$E$2:$E$1001,MATCH($A11,Raw!$A$2:$A$1001,0))=0,"",INDEX(Raw!$E$2:$E$1001,MATCH($A11,Raw!$A$2:$A$1001,0))),""))</f>
        <v>0.126</v>
      </c>
      <c r="F11" s="18"/>
      <c r="G11" s="16" t="n">
        <f aca="false">IF($B11="","",IF($F11&lt;&gt;"",$F11,IF($E11="","",$E11)))</f>
        <v>0.126</v>
      </c>
      <c r="H11" s="9" t="n">
        <f aca="false">IF($B11="","",SUMPRODUCT(MAX((Raw!$A$2:$A$1001=$A11)*(Raw!$R$2:$R$1001="N")*Raw!$D$2:$D$1001)))</f>
        <v>3</v>
      </c>
      <c r="I11" s="9" t="str">
        <f aca="false">IF(OR($H11="",$H11=0),"",$A11&amp;"|N|"&amp;$H11)</f>
        <v>6|N|3</v>
      </c>
      <c r="J11" s="9" t="n">
        <f aca="false">IF($B11="","",SUMPRODUCT(MIN((Raw!$A$2:$A$1001=$A11)*(Raw!$R$2:$R$1001="C")*Raw!$D$2:$D$1001+(1-(Raw!$A$2:$A$1001=$A11)*(Raw!$R$2:$R$1001="C"))*9999)))</f>
        <v>4</v>
      </c>
      <c r="K11" s="9" t="str">
        <f aca="false">IF(OR($J11="",$J11=0,$J11=9999),"",$A11&amp;"|C|"&amp;$J11)</f>
        <v>6|C|4</v>
      </c>
      <c r="L11" s="16" t="n">
        <f aca="false">IF($I11="","",IF(INDEX(Raw!$I$2:$I$1001,MATCH($I11,Raw!$S$2:$S$1001,0))&lt;&gt;0,"",INDEX(Raw!$H$2:$H$1001,MATCH($I11,Raw!$S$2:$S$1001,0))))</f>
        <v>8.889</v>
      </c>
      <c r="M11" s="19" t="n">
        <f aca="false">IF($I11="","",IF(INDEX(Raw!$I$2:$I$1001,MATCH($I11,Raw!$S$2:$S$1001,0))&lt;&gt;0,"",INDEX(Raw!$F$2:$F$1001,MATCH($I11,Raw!$S$2:$S$1001,0))))</f>
        <v>466</v>
      </c>
      <c r="N11" s="20" t="n">
        <f aca="false">IF($I11="","",IF(INDEX(Raw!$I$2:$I$1001,MATCH($I11,Raw!$S$2:$S$1001,0))&lt;&gt;0,"",INDEX(Raw!$G$2:$G$1001,MATCH($I11,Raw!$S$2:$S$1001,0))))</f>
        <v>33.1</v>
      </c>
      <c r="O11" s="16" t="n">
        <f aca="false">IF($I11="","",IF(INDEX(Raw!$I$2:$I$1001,MATCH($I11,Raw!$S$2:$S$1001,0))&lt;&gt;0,"",INDEX(Raw!$N$2:$N$1001,MATCH($I11,Raw!$S$2:$S$1001,0))))</f>
        <v>-3.024</v>
      </c>
      <c r="P11" s="16" t="n">
        <f aca="false">IF($K11="","",IF(INDEX(Raw!$I$2:$I$1001,MATCH($K11,Raw!$S$2:$S$1001,0))&lt;&gt;0,"",INDEX(Raw!$K$2:$K$1001,MATCH($K11,Raw!$S$2:$S$1001,0))))</f>
        <v>37.895</v>
      </c>
      <c r="Q11" s="19" t="n">
        <f aca="false">IF($K11="","",IF(INDEX(Raw!$I$2:$I$1001,MATCH($K11,Raw!$S$2:$S$1001,0))&lt;&gt;0,"",INDEX(Raw!$J$2:$J$1001,MATCH($K11,Raw!$S$2:$S$1001,0))))</f>
        <v>1684</v>
      </c>
      <c r="R11" s="16" t="n">
        <f aca="false">IF($K11="","",IF(INDEX(Raw!$I$2:$I$1001,MATCH($K11,Raw!$S$2:$S$1001,0))&lt;&gt;0,"",INDEX(Raw!$O$2:$O$1001,MATCH($K11,Raw!$S$2:$S$1001,0))))</f>
        <v>-9.666</v>
      </c>
      <c r="S11" s="21" t="str">
        <f aca="false">IF($B11="","",IF($C11=0,"",IF(INDEX(Setup!$D$37:$D$49,$C11-36)="","",INDEX(Setup!$D$37:$D$49,$C11-36))))</f>
        <v/>
      </c>
      <c r="T11" s="21" t="str">
        <f aca="false">IF($B11="","",IF($C11=0,"",IF(INDEX(Setup!$C$37:$C$49,$C11-36)="","",INDEX(Setup!$C$37:$C$49,$C11-36))))</f>
        <v/>
      </c>
      <c r="U11" s="21" t="n">
        <f aca="false">IF($B11="","",IF($C11=0,"",IF(INDEX(Setup!$F$37:$F$49,$C11-36)="","",INDEX(Setup!$F$37:$F$49,$C11-36))))</f>
        <v>10.36</v>
      </c>
      <c r="V11" s="21" t="n">
        <f aca="false">IF($B11="","",IF($C11=0,"",IF(INDEX(Setup!$E$37:$E$49,$C11-36)="","",INDEX(Setup!$E$37:$E$49,$C11-36))))</f>
        <v>71.09</v>
      </c>
      <c r="W11" s="16" t="n">
        <f aca="false">IF($O11="","",IF(OR(Fits!$C$5&lt;&gt;"Yes",$D11="Blank",$L11&lt;=Fits!$B$6),$O11,($L11*$O11-Fits!$B$6*Fits!$B$7)/($L11-Fits!$B$6)))</f>
        <v>-3.024</v>
      </c>
      <c r="X11" s="16" t="n">
        <f aca="false">IF($W11="","",$W11-Fits!$B$20*($L11-Fits!$B$16))</f>
        <v>-3.024</v>
      </c>
      <c r="Y11" s="22" t="n">
        <f aca="false">IF($W11="","",IF(OR(Fits!$B$38="Row",$BI11=""),$A11,$BI11))</f>
        <v>6</v>
      </c>
      <c r="Z11" s="16" t="n">
        <f aca="false">IF($X11="","",$X11-Fits!$B$39*($Y11-Fits!$B$40))</f>
        <v>-3.43371694984612</v>
      </c>
      <c r="AA11" s="23" t="n">
        <f aca="false">IF(OR($Z11="",Fits!$B$55&lt;2),"",Fits!$B$56*$Z11+Fits!$B$57)</f>
        <v>-2.497776967372</v>
      </c>
      <c r="AB11" s="16" t="n">
        <f aca="false">IF($R11="","",IF(OR(Fits!$C$9&lt;&gt;"Yes",$D11="Blank",$P11&lt;=Fits!$B$10),$R11,($P11*$R11-Fits!$B$10*Fits!$B$11)/($P11-Fits!$B$10)))</f>
        <v>-9.666</v>
      </c>
      <c r="AC11" s="16" t="n">
        <f aca="false">IF($AB11="","",$AB11-Fits!$B$28*($P11-Fits!$B$24))</f>
        <v>-9.51062682514328</v>
      </c>
      <c r="AD11" s="22" t="n">
        <f aca="false">IF($AB11="","",IF(OR(Fits!$B$50="Row",$BI11=""),$A11,$BI11))</f>
        <v>6</v>
      </c>
      <c r="AE11" s="16" t="n">
        <f aca="false">IF($AC11="","",$AC11-Fits!$B$51*($AD11-Fits!$B$52))</f>
        <v>-9.43849160582774</v>
      </c>
      <c r="AF11" s="23" t="n">
        <f aca="false">IF(OR($AE11="",Fits!$B$62&lt;2),"",Fits!$B$63*$AE11+Fits!$B$64)</f>
        <v>-26.5642927434111</v>
      </c>
      <c r="AG11" s="21" t="n">
        <f aca="false">IF(OR($L11="",Fits!$B$69&lt;3),"",($L11-Fits!$B$71)/Fits!$B$70)</f>
        <v>11.4049975826295</v>
      </c>
      <c r="AH11" s="21" t="n">
        <f aca="false">IF(OR($P11="",Fits!$B$75&lt;3),"",($P11-Fits!$B$77)/Fits!$B$76)</f>
        <v>82.3305721635415</v>
      </c>
      <c r="AI11" s="23" t="n">
        <f aca="false">IF(OR($AG11="",$G11="",$G11=0),"",$AG11/($G11*1000)*100)</f>
        <v>9.05158538303928</v>
      </c>
      <c r="AJ11" s="23" t="n">
        <f aca="false">IF(OR($AH11="",$G11="",$G11=0),"",$AH11/($G11*1000)*100)</f>
        <v>65.3417239393187</v>
      </c>
      <c r="AK11" s="23" t="n">
        <f aca="false">IF(OR($AG11="",$AH11="",$AG11&lt;=0),"",($AH11/Setup!$B$52)/($AG11/Setup!$B$53))</f>
        <v>8.41844536505427</v>
      </c>
      <c r="AL11" s="23" t="n">
        <f aca="false">IF(OR($AG11="",$AH11="",$AG11&lt;=0),"",$AH11/$AG11)</f>
        <v>7.2188153979915</v>
      </c>
      <c r="AM11" s="24" t="n">
        <f aca="false">IF($D11="Linearity",IF($L11="","",$L11),"")</f>
        <v>8.889</v>
      </c>
      <c r="AN11" s="24" t="n">
        <f aca="false">IF($D11="Linearity",IF($W11="","",$W11),"")</f>
        <v>-3.024</v>
      </c>
      <c r="AO11" s="24" t="n">
        <f aca="false">IF($D11="Linearity",IF($P11="","",$P11),"")</f>
        <v>37.895</v>
      </c>
      <c r="AP11" s="24" t="n">
        <f aca="false">IF($D11="Linearity",IF($AB11="","",$AB11),"")</f>
        <v>-9.666</v>
      </c>
      <c r="AQ11" s="9" t="str">
        <f aca="false">IF($D11="Drift",IF($A11&lt;IF(Setup!$B$14="",0,Setup!$B$14),"",$A11),"")</f>
        <v/>
      </c>
      <c r="AR11" s="9" t="str">
        <f aca="false">IF($D11="Drift",IF($A11&lt;IF(Setup!$B$14="",0,Setup!$B$14),"",IF($BI11="","",$BI11)),"")</f>
        <v/>
      </c>
      <c r="AS11" s="9" t="str">
        <f aca="false">IF($D11="Drift",IF($A11&lt;IF(Setup!$B$14="",0,Setup!$B$14),"",IF(OR($X11="",$BX11=1),"",$X11)),"")</f>
        <v/>
      </c>
      <c r="AT11" s="9" t="str">
        <f aca="false">IF($D11="Drift",IF($A11&lt;IF(Setup!$B$14="",0,Setup!$B$14),"",IF(OR($AC11="",$BY11=1),"",$AC11)),"")</f>
        <v/>
      </c>
      <c r="AU11" s="9" t="str">
        <f aca="false">IF($D11="Anchor",IF(OR($Z11="",$S11=""),"",$Z11),"")</f>
        <v/>
      </c>
      <c r="AV11" s="9" t="str">
        <f aca="false">IF($D11="Anchor",IF(OR($Z11="",$S11=""),"",$S11),"")</f>
        <v/>
      </c>
      <c r="AW11" s="9" t="str">
        <f aca="false">IF($D11="Anchor",IF(OR($AE11="",$T11=""),"",$AE11),"")</f>
        <v/>
      </c>
      <c r="AX11" s="9" t="str">
        <f aca="false">IF($D11="Anchor",IF(OR($AE11="",$T11=""),"",$T11),"")</f>
        <v/>
      </c>
      <c r="AY11" s="9" t="n">
        <f aca="false">IF(OR($D11="Blank",$D11="Exclude",$D11="Sample",$D11="",$G11="",$U11="",$L11=""),"",$G11*1000*$U11/100)</f>
        <v>13.0536</v>
      </c>
      <c r="AZ11" s="24" t="n">
        <f aca="false">IF($AY11="","",$L11)</f>
        <v>8.889</v>
      </c>
      <c r="BA11" s="9" t="n">
        <f aca="false">IF(OR($D11="Blank",$D11="Exclude",$D11="Sample",$D11="",$G11="",$V11="",$P11=""),"",$G11*1000*$V11/100)</f>
        <v>89.5734</v>
      </c>
      <c r="BB11" s="24" t="n">
        <f aca="false">IF($BA11="","",$P11)</f>
        <v>37.895</v>
      </c>
      <c r="BC11" s="9" t="str">
        <f aca="false">IF(AND($D11="Blank",$L11&lt;&gt;""),$O11,"")</f>
        <v/>
      </c>
      <c r="BD11" s="9" t="str">
        <f aca="false">IF($BC11="","",$L11)</f>
        <v/>
      </c>
      <c r="BE11" s="9" t="str">
        <f aca="false">IF(AND($D11="Blank",$P11&lt;&gt;""),$R11,"")</f>
        <v/>
      </c>
      <c r="BF11" s="9" t="str">
        <f aca="false">IF($BE11="","",$P11)</f>
        <v/>
      </c>
      <c r="BG11" s="9" t="str">
        <f aca="false">IF(AND($D11="Drift",$BX11&lt;&gt;1),IF($AA11="","",$AA11),"")</f>
        <v/>
      </c>
      <c r="BH11" s="9" t="str">
        <f aca="false">IF(AND($D11="Drift",$BY11&lt;&gt;1),IF($AF11="","",$AF11),"")</f>
        <v/>
      </c>
      <c r="BI11" s="20" t="n">
        <f aca="false">IF($B11="","",IFERROR(INDEX(Raw!$G$2:$G$1001,MATCH($A11&amp;"|N|"&amp;SUMPRODUCT(MAX((Raw!$A$2:$A$1001=$A11)*(Raw!$R$2:$R$1001="N")*(Raw!$I$2:$I$1001=1)*Raw!$D$2:$D$1001)),Raw!$S$2:$S$1001,0)),""))</f>
        <v>30</v>
      </c>
      <c r="BJ11" s="21" t="n">
        <f aca="false">IF(OR($BI11="",Fits!$B$85&lt;=0),"",($BI11-Fits!$B$83)/Fits!$B$85)</f>
        <v>0.621621621621621</v>
      </c>
      <c r="BK11" s="9" t="str">
        <f aca="false">IF($AS11="","",IF($A11&gt;=Fits!$B$86,"",$A11))</f>
        <v/>
      </c>
      <c r="BL11" s="9" t="str">
        <f aca="false">IF($BK11="","",$X11)</f>
        <v/>
      </c>
      <c r="BM11" s="9" t="str">
        <f aca="false">IF($AS11="","",IF($A11&lt;Fits!$B$86,"",$A11))</f>
        <v/>
      </c>
      <c r="BN11" s="9" t="str">
        <f aca="false">IF($BM11="","",$X11)</f>
        <v/>
      </c>
      <c r="BO11" s="9" t="str">
        <f aca="false">IF(AND($D11="Drift",$BX11&lt;&gt;1),IF($O11="","",$O11),"")</f>
        <v/>
      </c>
      <c r="BP11" s="9" t="str">
        <f aca="false">IF(AND($D11="Drift",$BX11&lt;&gt;1),IF($W11="","",$W11),"")</f>
        <v/>
      </c>
      <c r="BQ11" s="9" t="str">
        <f aca="false">IF(AND($D11="Drift",$BX11&lt;&gt;1),IF($X11="","",$X11),"")</f>
        <v/>
      </c>
      <c r="BR11" s="9" t="str">
        <f aca="false">IF(AND($D11="Drift",$BX11&lt;&gt;1),IF($Z11="","",$Z11),"")</f>
        <v/>
      </c>
      <c r="BS11" s="9" t="n">
        <f aca="false">IF(OR($B11="",$H11=""),"",SUMPRODUCT(MIN((Raw!$A$2:$A$1001=$A11)*(Raw!$R$2:$R$1001="N")*(Raw!$I$2:$I$1001=0)*(Raw!$D$2:$D$1001&lt;$H11)*Raw!$D$2:$D$1001+(1-(Raw!$A$2:$A$1001=$A11)*(Raw!$R$2:$R$1001="N")*(Raw!$I$2:$I$1001=0)*(Raw!$D$2:$D$1001&lt;$H11))*9999)))</f>
        <v>1</v>
      </c>
      <c r="BT11" s="16" t="n">
        <f aca="false">IF(OR($BS11="",$BS11=9999,$BS11=0),"",IFERROR(INDEX(Raw!$N$2:$N$1001,MATCH($A11&amp;"|N|"&amp;$BS11,Raw!$S$2:$S$1001,0)),""))</f>
        <v>-1.207</v>
      </c>
      <c r="BU11" s="9" t="n">
        <f aca="false">IF($B11="","",SUMPRODUCT(MIN((Raw!$A$2:$A$1001=$A11)*(Raw!$R$2:$R$1001="C")*(Raw!$I$2:$I$1001=1)*Raw!$D$2:$D$1001+(1-(Raw!$A$2:$A$1001=$A11)*(Raw!$R$2:$R$1001="C")*(Raw!$I$2:$I$1001=1))*9999)))</f>
        <v>5</v>
      </c>
      <c r="BV11" s="9" t="n">
        <f aca="false">IF(OR($BU11="",$BU11=9999),"",SUMPRODUCT(MIN((Raw!$A$2:$A$1001=$A11)*(Raw!$R$2:$R$1001="C")*(Raw!$I$2:$I$1001=0)*(Raw!$D$2:$D$1001&gt;$BU11)*Raw!$D$2:$D$1001+(1-(Raw!$A$2:$A$1001=$A11)*(Raw!$R$2:$R$1001="C")*(Raw!$I$2:$I$1001=0)*(Raw!$D$2:$D$1001&gt;$BU11))*9999)))</f>
        <v>6</v>
      </c>
      <c r="BW11" s="16" t="n">
        <f aca="false">IF(OR($BV11="",$BV11=9999,$BV11=0),"",IFERROR(INDEX(Raw!$O$2:$O$1001,MATCH($A11&amp;"|C|"&amp;$BV11,Raw!$S$2:$S$1001,0)),""))</f>
        <v>-25.438</v>
      </c>
      <c r="BX11" s="9" t="n">
        <f aca="false">IF($B11="","",IF(ISNUMBER(SEARCH(","&amp;$A11&amp;",",","&amp;SUBSTITUTE(Setup!$B$16," ","")&amp;",")),1,0))</f>
        <v>0</v>
      </c>
      <c r="BY11" s="9" t="n">
        <f aca="false">IF($B11="","",IF(ISNUMBER(SEARCH(","&amp;$A11&amp;",",","&amp;SUBSTITUTE(Setup!$B$17," ","")&amp;",")),1,0))</f>
        <v>0</v>
      </c>
      <c r="BZ11" s="22" t="str">
        <f aca="false">IF($AS11="","",IF(Fits!$B$38="Row",$AQ11,IF($AR11="","",$AR11)))</f>
        <v/>
      </c>
      <c r="CA11" s="22" t="str">
        <f aca="false">IF($AT11="","",IF(Fits!$B$50="Row",$AQ11,IF($AR11="","",$AR11)))</f>
        <v/>
      </c>
      <c r="CB11" s="20" t="str">
        <f aca="false">IF(OR($D11&lt;&gt;"Drift",$X11="",$A11&lt;IF(Setup!$B$14="",0,Setup!$B$14),Fits!$B$107&lt;3,Fits!$B$110="",Fits!$B$109=0,IF(Fits!$B$38="Row",$AQ11,$AR11)=""),"",IF($BX11=1,IF(OR(Fits!$B$111="",Fits!$B$111=0),"",($X11-(IF(Fits!$B$38="Row",Fits!$B$32,Fits!$B$35)*IF(Fits!$B$38="Row",$AQ11,$AR11)+Fits!$B$110))/(Fits!$B$111*SQRT(1+(1/Fits!$B$107+(IF(Fits!$B$38="Row",$AQ11,$AR11)-Fits!$B$108)^2/Fits!$B$109)))),IF(OR(Fits!$B$107&lt;4,(1/Fits!$B$107+(IF(Fits!$B$38="Row",$AQ11,$AR11)-Fits!$B$108)^2/Fits!$B$109)&gt;=1),"",IF((Fits!$B$116-($X11-(IF(Fits!$B$38="Row",Fits!$B$32,Fits!$B$35)*IF(Fits!$B$38="Row",$AQ11,$AR11)+Fits!$B$110))^2/(1-(1/Fits!$B$107+(IF(Fits!$B$38="Row",$AQ11,$AR11)-Fits!$B$108)^2/Fits!$B$109)))&lt;=0,"",($X11-(IF(Fits!$B$38="Row",Fits!$B$32,Fits!$B$35)*IF(Fits!$B$38="Row",$AQ11,$AR11)+Fits!$B$110))/(SQRT((Fits!$B$116-($X11-(IF(Fits!$B$38="Row",Fits!$B$32,Fits!$B$35)*IF(Fits!$B$38="Row",$AQ11,$AR11)+Fits!$B$110))^2/(1-(1/Fits!$B$107+(IF(Fits!$B$38="Row",$AQ11,$AR11)-Fits!$B$108)^2/Fits!$B$109)))/(Fits!$B$107-3))*SQRT(1-(1/Fits!$B$107+(IF(Fits!$B$38="Row",$AQ11,$AR11)-Fits!$B$108)^2/Fits!$B$109)))))))</f>
        <v/>
      </c>
      <c r="CC11" s="20" t="str">
        <f aca="false">IF(OR($D11&lt;&gt;"Drift",$AC11="",$A11&lt;IF(Setup!$B$14="",0,Setup!$B$14),Fits!$B$120&lt;3,Fits!$B$123="",Fits!$B$122=0,IF(Fits!$B$50="Row",$AQ11,$AR11)=""),"",IF($BY11=1,IF(OR(Fits!$B$124="",Fits!$B$124=0),"",($AC11-(IF(Fits!$B$50="Row",Fits!$B$44,Fits!$B$47)*IF(Fits!$B$50="Row",$AQ11,$AR11)+Fits!$B$123))/(Fits!$B$124*SQRT(1+(1/Fits!$B$120+(IF(Fits!$B$50="Row",$AQ11,$AR11)-Fits!$B$121)^2/Fits!$B$122)))),IF(OR(Fits!$B$120&lt;4,(1/Fits!$B$120+(IF(Fits!$B$50="Row",$AQ11,$AR11)-Fits!$B$121)^2/Fits!$B$122)&gt;=1),"",IF((Fits!$B$129-($AC11-(IF(Fits!$B$50="Row",Fits!$B$44,Fits!$B$47)*IF(Fits!$B$50="Row",$AQ11,$AR11)+Fits!$B$123))^2/(1-(1/Fits!$B$120+(IF(Fits!$B$50="Row",$AQ11,$AR11)-Fits!$B$121)^2/Fits!$B$122)))&lt;=0,"",($AC11-(IF(Fits!$B$50="Row",Fits!$B$44,Fits!$B$47)*IF(Fits!$B$50="Row",$AQ11,$AR11)+Fits!$B$123))/(SQRT((Fits!$B$129-($AC11-(IF(Fits!$B$50="Row",Fits!$B$44,Fits!$B$47)*IF(Fits!$B$50="Row",$AQ11,$AR11)+Fits!$B$123))^2/(1-(1/Fits!$B$120+(IF(Fits!$B$50="Row",$AQ11,$AR11)-Fits!$B$121)^2/Fits!$B$122)))/(Fits!$B$120-3))*SQRT(1-(1/Fits!$B$120+(IF(Fits!$B$50="Row",$AQ11,$AR11)-Fits!$B$121)^2/Fits!$B$122)))))))</f>
        <v/>
      </c>
      <c r="CD11" s="9" t="str">
        <f aca="false">IF($AU11="","",1)</f>
        <v/>
      </c>
      <c r="CE11" s="24" t="str">
        <f aca="false">IF($AU11="","",$AU11-Fits!$B$133)</f>
        <v/>
      </c>
      <c r="CF11" s="24" t="str">
        <f aca="false">IF($AU11="","",($AV11-(Fits!$B$56*$AU11+Fits!$B$57))-Fits!$B$56*($AU11-Fits!$B$133))</f>
        <v/>
      </c>
      <c r="CG11" s="25" t="str">
        <f aca="false">IF($AU11="","",$AU11^2)</f>
        <v/>
      </c>
      <c r="CH11" s="9" t="str">
        <f aca="false">IF($AW11="","",1)</f>
        <v/>
      </c>
      <c r="CI11" s="24" t="str">
        <f aca="false">IF($AW11="","",$AW11-Fits!$B$153)</f>
        <v/>
      </c>
      <c r="CJ11" s="24" t="str">
        <f aca="false">IF($AW11="","",($AX11-(Fits!$B$63*$AW11+Fits!$B$64))-Fits!$B$63*($AW11-Fits!$B$153))</f>
        <v/>
      </c>
      <c r="CK11" s="25" t="str">
        <f aca="false">IF($AW11="","",$AW11^2)</f>
        <v/>
      </c>
      <c r="CL11" s="26" t="n">
        <f aca="false">IF(OR($Z11="",Fits!$B$55&lt;3,Fits!$B$133="",Fits!$B$134="",Fits!$B$134=0,Fits!$B$136=""),"",SQRT((Fits!$B$136*Fits!$B$56)^2+SUMPRODUCT((Fits!$J$163:$J$175*(Fits!$B$163:$B$175/Fits!$B$55+Fits!$H$163:$H$175*($Z11-Fits!$B$133)/Fits!$B$134))^2)+SUMPRODUCT((Fits!$G$163:$G$175*(($Z11-Fits!$B$133)*Fits!$I$163:$I$175/Fits!$B$134-Fits!$B$163:$B$175*Fits!$B$56/Fits!$B$55))^2)))</f>
        <v>0.240563465454055</v>
      </c>
      <c r="CM11" s="26" t="n">
        <f aca="false">IF($CL11="","",Setup!$B$32*$CL11)</f>
        <v>0.481126930908111</v>
      </c>
      <c r="CN11" s="26" t="n">
        <f aca="false">IF(OR($AE11="",Fits!$B$62&lt;3,Fits!$B$153="",Fits!$B$154="",Fits!$B$154=0,Fits!$B$156=""),"",SQRT((Fits!$B$156*Fits!$B$63)^2+SUMPRODUCT((Fits!$J$183:$J$195*(Fits!$B$183:$B$195/Fits!$B$62+Fits!$H$183:$H$195*($AE11-Fits!$B$153)/Fits!$B$154))^2)+SUMPRODUCT((Fits!$G$183:$G$195*(($AE11-Fits!$B$153)*Fits!$I$183:$I$195/Fits!$B$154-Fits!$B$183:$B$195*Fits!$B$63/Fits!$B$62))^2)))</f>
        <v>0.0379243352077285</v>
      </c>
      <c r="CO11" s="26" t="n">
        <f aca="false">IF($CN11="","",Setup!$B$32*$CN11)</f>
        <v>0.075848670415457</v>
      </c>
      <c r="CP11" s="9" t="n">
        <f aca="false">IF(OR(NOT(ISNUMBER($BJ11)),$EK11=1),$CP10,IF($BJ11&lt;=Setup!$B$26,$CP10+1,0))</f>
        <v>0</v>
      </c>
      <c r="CQ11" s="9" t="n">
        <f aca="false">IF($BT11="","",$A11)</f>
        <v>6</v>
      </c>
      <c r="CR11" s="9" t="n">
        <f aca="false">IF($BW11="","",$A11)</f>
        <v>6</v>
      </c>
      <c r="CS11" s="9" t="n">
        <f aca="false">IF($B11="","",IF(Setup!$A$37="",0,IF(ISNUMBER(SEARCH(Setup!$A$37,$B11)),37,0)))</f>
        <v>0</v>
      </c>
      <c r="CT11" s="9" t="n">
        <f aca="false">IF($B11="","",IF(Setup!$A$38="",0,IF(ISNUMBER(SEARCH(Setup!$A$38,$B11)),38,0)))</f>
        <v>0</v>
      </c>
      <c r="CU11" s="9" t="n">
        <f aca="false">IF($B11="","",IF(Setup!$A$39="",0,IF(ISNUMBER(SEARCH(Setup!$A$39,$B11)),39,0)))</f>
        <v>0</v>
      </c>
      <c r="CV11" s="9" t="n">
        <f aca="false">IF($B11="","",IF(Setup!$A$40="",0,IF(ISNUMBER(SEARCH(Setup!$A$40,$B11)),40,0)))</f>
        <v>0</v>
      </c>
      <c r="CW11" s="9" t="n">
        <f aca="false">IF($B11="","",IF(Setup!$A$41="",0,IF(ISNUMBER(SEARCH(Setup!$A$41,$B11)),41,0)))</f>
        <v>0</v>
      </c>
      <c r="CX11" s="9" t="n">
        <f aca="false">IF($B11="","",IF(Setup!$A$42="",0,IF(ISNUMBER(SEARCH(Setup!$A$42,$B11)),42,0)))</f>
        <v>42</v>
      </c>
      <c r="CY11" s="9" t="n">
        <f aca="false">IF($B11="","",IF(Setup!$A$43="",0,IF(ISNUMBER(SEARCH(Setup!$A$43,$B11)),43,0)))</f>
        <v>0</v>
      </c>
      <c r="CZ11" s="9" t="n">
        <f aca="false">IF($B11="","",IF(Setup!$A$44="",0,IF(ISNUMBER(SEARCH(Setup!$A$44,$B11)),44,0)))</f>
        <v>0</v>
      </c>
      <c r="DA11" s="9" t="n">
        <f aca="false">IF($B11="","",IF(Setup!$A$45="",0,IF(ISNUMBER(SEARCH(Setup!$A$45,$B11)),45,0)))</f>
        <v>0</v>
      </c>
      <c r="DB11" s="9" t="n">
        <f aca="false">IF($B11="","",IF(Setup!$A$46="",0,IF(ISNUMBER(SEARCH(Setup!$A$46,$B11)),46,0)))</f>
        <v>0</v>
      </c>
      <c r="DC11" s="9" t="n">
        <f aca="false">IF($B11="","",IF(Setup!$A$47="",0,IF(ISNUMBER(SEARCH(Setup!$A$47,$B11)),47,0)))</f>
        <v>0</v>
      </c>
      <c r="DD11" s="9" t="n">
        <f aca="false">IF($B11="","",IF(Setup!$A$48="",0,IF(ISNUMBER(SEARCH(Setup!$A$48,$B11)),48,0)))</f>
        <v>0</v>
      </c>
      <c r="DE11" s="9" t="n">
        <f aca="false">IF($B11="","",IF(Setup!$A$49="",0,IF(ISNUMBER(SEARCH(Setup!$A$49,$B11)),49,0)))</f>
        <v>0</v>
      </c>
      <c r="DF11" s="9" t="n">
        <f aca="false">IF($B11="",NA(),$A11)</f>
        <v>6</v>
      </c>
      <c r="DG11" s="22" t="n">
        <f aca="false">IF($BI11="",NA(),$BI11)</f>
        <v>30</v>
      </c>
      <c r="DH11" s="22" t="n">
        <f aca="false">IF($N11="",NA(),$N11)</f>
        <v>33.1</v>
      </c>
      <c r="DI11" s="9" t="e">
        <f aca="false">IF(AND($D11="Drift",$N11&lt;&gt;""),$N11,NA())</f>
        <v>#N/A</v>
      </c>
      <c r="DJ11" s="9" t="str">
        <f aca="false">IF(AND($D11="Drift",$N11&lt;&gt;""),$N11,"")</f>
        <v/>
      </c>
      <c r="DK11" s="9" t="str">
        <f aca="false">IF($DJ11="","",$A11)</f>
        <v/>
      </c>
      <c r="DL11" s="24" t="n">
        <f aca="false">IF($AN11="",NA(),$AM11)</f>
        <v>8.889</v>
      </c>
      <c r="DM11" s="24" t="n">
        <f aca="false">IF($AN11="",NA(),$AN11)</f>
        <v>-3.024</v>
      </c>
      <c r="DN11" s="9" t="e">
        <f aca="false">IF(AND($D11="Sample",$L11&lt;&gt;""),$L11,NA())</f>
        <v>#N/A</v>
      </c>
      <c r="DO11" s="9" t="e">
        <f aca="false">IF(AND($D11="Sample",$L11&lt;&gt;"",Fits!$B$98&lt;&gt;""),Fits!$B$98,NA())</f>
        <v>#N/A</v>
      </c>
      <c r="DP11" s="9" t="e">
        <f aca="false">IF($AS11="",NA(),$AS11)</f>
        <v>#N/A</v>
      </c>
      <c r="DQ11" s="9" t="e">
        <f aca="false">IF(AND($D11="Drift",$AS11="",$X11&lt;&gt;""),$X11,NA())</f>
        <v>#N/A</v>
      </c>
      <c r="DR11" s="9" t="e">
        <f aca="false">IF(AND($D11="Drift",$Z11&lt;&gt;""),$Z11,NA())</f>
        <v>#N/A</v>
      </c>
      <c r="DS11" s="9" t="e">
        <f aca="false">IF(AND(OR($D11="Sample",$D11="Check"),$AA11&lt;&gt;""),$AA11,NA())</f>
        <v>#N/A</v>
      </c>
      <c r="DT11" s="25" t="n">
        <f aca="false">IF(OR($B11="",Fits!$B$138=""),NA(),Fits!$B$138)</f>
        <v>1.76</v>
      </c>
      <c r="DU11" s="25" t="n">
        <f aca="false">IF(OR($B11="",Fits!$B$139=""),NA(),Fits!$B$139)</f>
        <v>20.68</v>
      </c>
      <c r="DV11" s="24" t="n">
        <f aca="false">IF($BT11="",NA(),$BT11)</f>
        <v>-1.207</v>
      </c>
      <c r="DW11" s="24" t="n">
        <f aca="false">IF($AP11="",NA(),$AO11)</f>
        <v>37.895</v>
      </c>
      <c r="DX11" s="24" t="n">
        <f aca="false">IF($AP11="",NA(),$AP11)</f>
        <v>-9.666</v>
      </c>
      <c r="DY11" s="9" t="e">
        <f aca="false">IF(AND($D11="Sample",$P11&lt;&gt;""),$P11,NA())</f>
        <v>#N/A</v>
      </c>
      <c r="DZ11" s="9" t="e">
        <f aca="false">IF(AND($D11="Sample",$P11&lt;&gt;"",Fits!$B$105&lt;&gt;""),Fits!$B$105,NA())</f>
        <v>#N/A</v>
      </c>
      <c r="EA11" s="9" t="e">
        <f aca="false">IF($AT11="",NA(),$AT11)</f>
        <v>#N/A</v>
      </c>
      <c r="EB11" s="9" t="e">
        <f aca="false">IF(AND($D11="Drift",$AT11="",$AC11&lt;&gt;""),$AC11,NA())</f>
        <v>#N/A</v>
      </c>
      <c r="EC11" s="9" t="e">
        <f aca="false">IF(AND($D11="Drift",$AE11&lt;&gt;""),$AE11,NA())</f>
        <v>#N/A</v>
      </c>
      <c r="ED11" s="9" t="e">
        <f aca="false">IF(AND(OR($D11="Sample",$D11="Check"),$AF11&lt;&gt;""),$AF11,NA())</f>
        <v>#N/A</v>
      </c>
      <c r="EE11" s="25" t="n">
        <f aca="false">IF(OR($B11="",Fits!$B$158=""),NA(),Fits!$B$158)</f>
        <v>-40.81</v>
      </c>
      <c r="EF11" s="25" t="n">
        <f aca="false">IF(OR($B11="",Fits!$B$159=""),NA(),Fits!$B$159)</f>
        <v>-20.29</v>
      </c>
      <c r="EG11" s="24" t="n">
        <f aca="false">IF($BW11="",NA(),$BW11)</f>
        <v>-25.438</v>
      </c>
      <c r="EH11" s="9" t="e">
        <f aca="false">IF(AND($EN11=1,ISNUMBER($N11)),$N11,NA())</f>
        <v>#N/A</v>
      </c>
      <c r="EI11" s="9" t="n">
        <f aca="false">IF($B11="","",$A11)</f>
        <v>6</v>
      </c>
      <c r="EJ11" s="9" t="n">
        <f aca="false">IF(OR(AND(ISNUMBER($L11),Fits!$B$97&gt;0,$L11&gt;Fits!$B$97),AND(ISNUMBER($P11),Fits!$B$104&gt;0,$P11&gt;Fits!$B$104)),1,0)</f>
        <v>0</v>
      </c>
      <c r="EK11" s="9" t="n">
        <f aca="false">IF(OR($EJ10=1,$EJ9=1),1,0)</f>
        <v>0</v>
      </c>
      <c r="EL11" s="22" t="n">
        <f aca="false">IF(AND($EK11=0,ISNUMBER($N11)),$N11,$EL10)</f>
        <v>33.1</v>
      </c>
      <c r="EM11" s="9" t="str">
        <f aca="false">IF(AND($EK11=1,ISNUMBER($N11),ISNUMBER($EL11)),$N11-$EL11,"")</f>
        <v/>
      </c>
      <c r="EN11" s="9" t="n">
        <f aca="false">IF(Setup!$B$28="",0,IF(ISNUMBER($EM11),IF($EM11&gt;Setup!$B$28,1,0),0))</f>
        <v>0</v>
      </c>
      <c r="EO11" s="9" t="str">
        <f aca="false">IF($EN11=1,COUNTIF($EN$6:$EN11,1),"")</f>
        <v/>
      </c>
      <c r="EP11" s="9" t="n">
        <f aca="false">IF(AND($EJ10=1,OR($D11="Sample",$D11="Check")),1,0)</f>
        <v>0</v>
      </c>
      <c r="EQ11" s="9" t="str">
        <f aca="false">IF(ISNUMBER($BI11),IF(COUNT($BI$6:$BI11)&lt;=5,$BI11,""),"")</f>
        <v/>
      </c>
      <c r="ER11" s="9" t="str">
        <f aca="false">IF(OR(NOT(ISNUMBER($BJ11)),$EK11=1),$ER10,IF($BJ11&lt;=Setup!$B$26,IF($CP10=0,$A11,$ER10),""))</f>
        <v/>
      </c>
    </row>
    <row r="12" customFormat="false" ht="15" hidden="false" customHeight="false" outlineLevel="0" collapsed="false">
      <c r="A12" s="8" t="n">
        <v>7</v>
      </c>
      <c r="B12" s="8" t="str">
        <f aca="false">IFERROR(INDEX(Raw!$B$2:$B$1001,MATCH($A12,Raw!$A$2:$A$1001,0)),"")</f>
        <v>Ace Lin2</v>
      </c>
      <c r="C12" s="9" t="n">
        <f aca="false">IF($B12="","",MAX($CS12:$DE12))</f>
        <v>42</v>
      </c>
      <c r="D12" s="8" t="str">
        <f aca="false">IF($B12="","",IF($C12=0,"Sample",INDEX(Setup!$B$37:$B$49,$C12-36)))</f>
        <v>Linearity</v>
      </c>
      <c r="E12" s="16" t="n">
        <f aca="false">IF($B12="","",IFERROR(IF(INDEX(Raw!$E$2:$E$1001,MATCH($A12,Raw!$A$2:$A$1001,0))=0,"",INDEX(Raw!$E$2:$E$1001,MATCH($A12,Raw!$A$2:$A$1001,0))),""))</f>
        <v>0.177</v>
      </c>
      <c r="F12" s="18"/>
      <c r="G12" s="16" t="n">
        <f aca="false">IF($B12="","",IF($F12&lt;&gt;"",$F12,IF($E12="","",$E12)))</f>
        <v>0.177</v>
      </c>
      <c r="H12" s="9" t="n">
        <f aca="false">IF($B12="","",SUMPRODUCT(MAX((Raw!$A$2:$A$1001=$A12)*(Raw!$R$2:$R$1001="N")*Raw!$D$2:$D$1001)))</f>
        <v>3</v>
      </c>
      <c r="I12" s="9" t="str">
        <f aca="false">IF(OR($H12="",$H12=0),"",$A12&amp;"|N|"&amp;$H12)</f>
        <v>7|N|3</v>
      </c>
      <c r="J12" s="9" t="n">
        <f aca="false">IF($B12="","",SUMPRODUCT(MIN((Raw!$A$2:$A$1001=$A12)*(Raw!$R$2:$R$1001="C")*Raw!$D$2:$D$1001+(1-(Raw!$A$2:$A$1001=$A12)*(Raw!$R$2:$R$1001="C"))*9999)))</f>
        <v>4</v>
      </c>
      <c r="K12" s="9" t="str">
        <f aca="false">IF(OR($J12="",$J12=0,$J12=9999),"",$A12&amp;"|C|"&amp;$J12)</f>
        <v>7|C|4</v>
      </c>
      <c r="L12" s="16" t="n">
        <f aca="false">IF($I12="","",IF(INDEX(Raw!$I$2:$I$1001,MATCH($I12,Raw!$S$2:$S$1001,0))&lt;&gt;0,"",INDEX(Raw!$H$2:$H$1001,MATCH($I12,Raw!$S$2:$S$1001,0))))</f>
        <v>12.058</v>
      </c>
      <c r="M12" s="19" t="n">
        <f aca="false">IF($I12="","",IF(INDEX(Raw!$I$2:$I$1001,MATCH($I12,Raw!$S$2:$S$1001,0))&lt;&gt;0,"",INDEX(Raw!$F$2:$F$1001,MATCH($I12,Raw!$S$2:$S$1001,0))))</f>
        <v>659</v>
      </c>
      <c r="N12" s="20" t="n">
        <f aca="false">IF($I12="","",IF(INDEX(Raw!$I$2:$I$1001,MATCH($I12,Raw!$S$2:$S$1001,0))&lt;&gt;0,"",INDEX(Raw!$G$2:$G$1001,MATCH($I12,Raw!$S$2:$S$1001,0))))</f>
        <v>32.3</v>
      </c>
      <c r="O12" s="16" t="n">
        <f aca="false">IF($I12="","",IF(INDEX(Raw!$I$2:$I$1001,MATCH($I12,Raw!$S$2:$S$1001,0))&lt;&gt;0,"",INDEX(Raw!$N$2:$N$1001,MATCH($I12,Raw!$S$2:$S$1001,0))))</f>
        <v>-4.102</v>
      </c>
      <c r="P12" s="16" t="n">
        <f aca="false">IF($K12="","",IF(INDEX(Raw!$I$2:$I$1001,MATCH($K12,Raw!$S$2:$S$1001,0))&lt;&gt;0,"",INDEX(Raw!$K$2:$K$1001,MATCH($K12,Raw!$S$2:$S$1001,0))))</f>
        <v>54.07</v>
      </c>
      <c r="Q12" s="19" t="n">
        <f aca="false">IF($K12="","",IF(INDEX(Raw!$I$2:$I$1001,MATCH($K12,Raw!$S$2:$S$1001,0))&lt;&gt;0,"",INDEX(Raw!$J$2:$J$1001,MATCH($K12,Raw!$S$2:$S$1001,0))))</f>
        <v>2402</v>
      </c>
      <c r="R12" s="16" t="n">
        <f aca="false">IF($K12="","",IF(INDEX(Raw!$I$2:$I$1001,MATCH($K12,Raw!$S$2:$S$1001,0))&lt;&gt;0,"",INDEX(Raw!$O$2:$O$1001,MATCH($K12,Raw!$S$2:$S$1001,0))))</f>
        <v>-9.667</v>
      </c>
      <c r="S12" s="21" t="str">
        <f aca="false">IF($B12="","",IF($C12=0,"",IF(INDEX(Setup!$D$37:$D$49,$C12-36)="","",INDEX(Setup!$D$37:$D$49,$C12-36))))</f>
        <v/>
      </c>
      <c r="T12" s="21" t="str">
        <f aca="false">IF($B12="","",IF($C12=0,"",IF(INDEX(Setup!$C$37:$C$49,$C12-36)="","",INDEX(Setup!$C$37:$C$49,$C12-36))))</f>
        <v/>
      </c>
      <c r="U12" s="21" t="n">
        <f aca="false">IF($B12="","",IF($C12=0,"",IF(INDEX(Setup!$F$37:$F$49,$C12-36)="","",INDEX(Setup!$F$37:$F$49,$C12-36))))</f>
        <v>10.36</v>
      </c>
      <c r="V12" s="21" t="n">
        <f aca="false">IF($B12="","",IF($C12=0,"",IF(INDEX(Setup!$E$37:$E$49,$C12-36)="","",INDEX(Setup!$E$37:$E$49,$C12-36))))</f>
        <v>71.09</v>
      </c>
      <c r="W12" s="16" t="n">
        <f aca="false">IF($O12="","",IF(OR(Fits!$C$5&lt;&gt;"Yes",$D12="Blank",$L12&lt;=Fits!$B$6),$O12,($L12*$O12-Fits!$B$6*Fits!$B$7)/($L12-Fits!$B$6)))</f>
        <v>-4.102</v>
      </c>
      <c r="X12" s="16" t="n">
        <f aca="false">IF($W12="","",$W12-Fits!$B$20*($L12-Fits!$B$16))</f>
        <v>-4.102</v>
      </c>
      <c r="Y12" s="22" t="n">
        <f aca="false">IF($W12="","",IF(OR(Fits!$B$38="Row",$BI12=""),$A12,$BI12))</f>
        <v>7</v>
      </c>
      <c r="Z12" s="16" t="n">
        <f aca="false">IF($X12="","",$X12-Fits!$B$39*($Y12-Fits!$B$40))</f>
        <v>-4.49696259985166</v>
      </c>
      <c r="AA12" s="23" t="n">
        <f aca="false">IF(OR($Z12="",Fits!$B$55&lt;2),"",Fits!$B$56*$Z12+Fits!$B$57)</f>
        <v>-3.58930255197019</v>
      </c>
      <c r="AB12" s="16" t="n">
        <f aca="false">IF($R12="","",IF(OR(Fits!$C$9&lt;&gt;"Yes",$D12="Blank",$P12&lt;=Fits!$B$10),$R12,($P12*$R12-Fits!$B$10*Fits!$B$11)/($P12-Fits!$B$10)))</f>
        <v>-9.667</v>
      </c>
      <c r="AC12" s="16" t="n">
        <f aca="false">IF($AB12="","",$AB12-Fits!$B$28*($P12-Fits!$B$24))</f>
        <v>-9.53965407109149</v>
      </c>
      <c r="AD12" s="22" t="n">
        <f aca="false">IF($AB12="","",IF(OR(Fits!$B$50="Row",$BI12=""),$A12,$BI12))</f>
        <v>7</v>
      </c>
      <c r="AE12" s="16" t="n">
        <f aca="false">IF($AC12="","",$AC12-Fits!$B$51*($AD12-Fits!$B$52))</f>
        <v>-9.47011651895352</v>
      </c>
      <c r="AF12" s="23" t="n">
        <f aca="false">IF(OR($AE12="",Fits!$B$62&lt;2),"",Fits!$B$63*$AE12+Fits!$B$64)</f>
        <v>-26.5963651677386</v>
      </c>
      <c r="AG12" s="21" t="n">
        <f aca="false">IF(OR($L12="",Fits!$B$69&lt;3),"",($L12-Fits!$B$71)/Fits!$B$70)</f>
        <v>16.6398952348485</v>
      </c>
      <c r="AH12" s="21" t="n">
        <f aca="false">IF(OR($P12="",Fits!$B$75&lt;3),"",($P12-Fits!$B$77)/Fits!$B$76)</f>
        <v>119.171621313922</v>
      </c>
      <c r="AI12" s="23" t="n">
        <f aca="false">IF(OR($AG12="",$G12="",$G12=0),"",$AG12/($G12*1000)*100)</f>
        <v>9.40107075415169</v>
      </c>
      <c r="AJ12" s="23" t="n">
        <f aca="false">IF(OR($AH12="",$G12="",$G12=0),"",$AH12/($G12*1000)*100)</f>
        <v>67.3285996123851</v>
      </c>
      <c r="AK12" s="23" t="n">
        <f aca="false">IF(OR($AG12="",$AH12="",$AG12&lt;=0),"",($AH12/Setup!$B$52)/($AG12/Setup!$B$53))</f>
        <v>8.35195646627235</v>
      </c>
      <c r="AL12" s="23" t="n">
        <f aca="false">IF(OR($AG12="",$AH12="",$AG12&lt;=0),"",$AH12/$AG12)</f>
        <v>7.16180117915308</v>
      </c>
      <c r="AM12" s="24" t="n">
        <f aca="false">IF($D12="Linearity",IF($L12="","",$L12),"")</f>
        <v>12.058</v>
      </c>
      <c r="AN12" s="24" t="n">
        <f aca="false">IF($D12="Linearity",IF($W12="","",$W12),"")</f>
        <v>-4.102</v>
      </c>
      <c r="AO12" s="24" t="n">
        <f aca="false">IF($D12="Linearity",IF($P12="","",$P12),"")</f>
        <v>54.07</v>
      </c>
      <c r="AP12" s="24" t="n">
        <f aca="false">IF($D12="Linearity",IF($AB12="","",$AB12),"")</f>
        <v>-9.667</v>
      </c>
      <c r="AQ12" s="9" t="str">
        <f aca="false">IF($D12="Drift",IF($A12&lt;IF(Setup!$B$14="",0,Setup!$B$14),"",$A12),"")</f>
        <v/>
      </c>
      <c r="AR12" s="9" t="str">
        <f aca="false">IF($D12="Drift",IF($A12&lt;IF(Setup!$B$14="",0,Setup!$B$14),"",IF($BI12="","",$BI12)),"")</f>
        <v/>
      </c>
      <c r="AS12" s="9" t="str">
        <f aca="false">IF($D12="Drift",IF($A12&lt;IF(Setup!$B$14="",0,Setup!$B$14),"",IF(OR($X12="",$BX12=1),"",$X12)),"")</f>
        <v/>
      </c>
      <c r="AT12" s="9" t="str">
        <f aca="false">IF($D12="Drift",IF($A12&lt;IF(Setup!$B$14="",0,Setup!$B$14),"",IF(OR($AC12="",$BY12=1),"",$AC12)),"")</f>
        <v/>
      </c>
      <c r="AU12" s="9" t="str">
        <f aca="false">IF($D12="Anchor",IF(OR($Z12="",$S12=""),"",$Z12),"")</f>
        <v/>
      </c>
      <c r="AV12" s="9" t="str">
        <f aca="false">IF($D12="Anchor",IF(OR($Z12="",$S12=""),"",$S12),"")</f>
        <v/>
      </c>
      <c r="AW12" s="9" t="str">
        <f aca="false">IF($D12="Anchor",IF(OR($AE12="",$T12=""),"",$AE12),"")</f>
        <v/>
      </c>
      <c r="AX12" s="9" t="str">
        <f aca="false">IF($D12="Anchor",IF(OR($AE12="",$T12=""),"",$T12),"")</f>
        <v/>
      </c>
      <c r="AY12" s="9" t="n">
        <f aca="false">IF(OR($D12="Blank",$D12="Exclude",$D12="Sample",$D12="",$G12="",$U12="",$L12=""),"",$G12*1000*$U12/100)</f>
        <v>18.3372</v>
      </c>
      <c r="AZ12" s="24" t="n">
        <f aca="false">IF($AY12="","",$L12)</f>
        <v>12.058</v>
      </c>
      <c r="BA12" s="9" t="n">
        <f aca="false">IF(OR($D12="Blank",$D12="Exclude",$D12="Sample",$D12="",$G12="",$V12="",$P12=""),"",$G12*1000*$V12/100)</f>
        <v>125.8293</v>
      </c>
      <c r="BB12" s="24" t="n">
        <f aca="false">IF($BA12="","",$P12)</f>
        <v>54.07</v>
      </c>
      <c r="BC12" s="9" t="str">
        <f aca="false">IF(AND($D12="Blank",$L12&lt;&gt;""),$O12,"")</f>
        <v/>
      </c>
      <c r="BD12" s="9" t="str">
        <f aca="false">IF($BC12="","",$L12)</f>
        <v/>
      </c>
      <c r="BE12" s="9" t="str">
        <f aca="false">IF(AND($D12="Blank",$P12&lt;&gt;""),$R12,"")</f>
        <v/>
      </c>
      <c r="BF12" s="9" t="str">
        <f aca="false">IF($BE12="","",$P12)</f>
        <v/>
      </c>
      <c r="BG12" s="9" t="str">
        <f aca="false">IF(AND($D12="Drift",$BX12&lt;&gt;1),IF($AA12="","",$AA12),"")</f>
        <v/>
      </c>
      <c r="BH12" s="9" t="str">
        <f aca="false">IF(AND($D12="Drift",$BY12&lt;&gt;1),IF($AF12="","",$AF12),"")</f>
        <v/>
      </c>
      <c r="BI12" s="20" t="n">
        <f aca="false">IF($B12="","",IFERROR(INDEX(Raw!$G$2:$G$1001,MATCH($A12&amp;"|N|"&amp;SUMPRODUCT(MAX((Raw!$A$2:$A$1001=$A12)*(Raw!$R$2:$R$1001="N")*(Raw!$I$2:$I$1001=1)*Raw!$D$2:$D$1001)),Raw!$S$2:$S$1001,0)),""))</f>
        <v>29.4</v>
      </c>
      <c r="BJ12" s="21" t="n">
        <f aca="false">IF(OR($BI12="",Fits!$B$85&lt;=0),"",($BI12-Fits!$B$83)/Fits!$B$85)</f>
        <v>0.567567567567567</v>
      </c>
      <c r="BK12" s="9" t="str">
        <f aca="false">IF($AS12="","",IF($A12&gt;=Fits!$B$86,"",$A12))</f>
        <v/>
      </c>
      <c r="BL12" s="9" t="str">
        <f aca="false">IF($BK12="","",$X12)</f>
        <v/>
      </c>
      <c r="BM12" s="9" t="str">
        <f aca="false">IF($AS12="","",IF($A12&lt;Fits!$B$86,"",$A12))</f>
        <v/>
      </c>
      <c r="BN12" s="9" t="str">
        <f aca="false">IF($BM12="","",$X12)</f>
        <v/>
      </c>
      <c r="BO12" s="9" t="str">
        <f aca="false">IF(AND($D12="Drift",$BX12&lt;&gt;1),IF($O12="","",$O12),"")</f>
        <v/>
      </c>
      <c r="BP12" s="9" t="str">
        <f aca="false">IF(AND($D12="Drift",$BX12&lt;&gt;1),IF($W12="","",$W12),"")</f>
        <v/>
      </c>
      <c r="BQ12" s="9" t="str">
        <f aca="false">IF(AND($D12="Drift",$BX12&lt;&gt;1),IF($X12="","",$X12),"")</f>
        <v/>
      </c>
      <c r="BR12" s="9" t="str">
        <f aca="false">IF(AND($D12="Drift",$BX12&lt;&gt;1),IF($Z12="","",$Z12),"")</f>
        <v/>
      </c>
      <c r="BS12" s="9" t="n">
        <f aca="false">IF(OR($B12="",$H12=""),"",SUMPRODUCT(MIN((Raw!$A$2:$A$1001=$A12)*(Raw!$R$2:$R$1001="N")*(Raw!$I$2:$I$1001=0)*(Raw!$D$2:$D$1001&lt;$H12)*Raw!$D$2:$D$1001+(1-(Raw!$A$2:$A$1001=$A12)*(Raw!$R$2:$R$1001="N")*(Raw!$I$2:$I$1001=0)*(Raw!$D$2:$D$1001&lt;$H12))*9999)))</f>
        <v>1</v>
      </c>
      <c r="BT12" s="16" t="n">
        <f aca="false">IF(OR($BS12="",$BS12=9999,$BS12=0),"",IFERROR(INDEX(Raw!$N$2:$N$1001,MATCH($A12&amp;"|N|"&amp;$BS12,Raw!$S$2:$S$1001,0)),""))</f>
        <v>-1.142</v>
      </c>
      <c r="BU12" s="9" t="n">
        <f aca="false">IF($B12="","",SUMPRODUCT(MIN((Raw!$A$2:$A$1001=$A12)*(Raw!$R$2:$R$1001="C")*(Raw!$I$2:$I$1001=1)*Raw!$D$2:$D$1001+(1-(Raw!$A$2:$A$1001=$A12)*(Raw!$R$2:$R$1001="C")*(Raw!$I$2:$I$1001=1))*9999)))</f>
        <v>5</v>
      </c>
      <c r="BV12" s="9" t="n">
        <f aca="false">IF(OR($BU12="",$BU12=9999),"",SUMPRODUCT(MIN((Raw!$A$2:$A$1001=$A12)*(Raw!$R$2:$R$1001="C")*(Raw!$I$2:$I$1001=0)*(Raw!$D$2:$D$1001&gt;$BU12)*Raw!$D$2:$D$1001+(1-(Raw!$A$2:$A$1001=$A12)*(Raw!$R$2:$R$1001="C")*(Raw!$I$2:$I$1001=0)*(Raw!$D$2:$D$1001&gt;$BU12))*9999)))</f>
        <v>6</v>
      </c>
      <c r="BW12" s="16" t="n">
        <f aca="false">IF(OR($BV12="",$BV12=9999,$BV12=0),"",IFERROR(INDEX(Raw!$O$2:$O$1001,MATCH($A12&amp;"|C|"&amp;$BV12,Raw!$S$2:$S$1001,0)),""))</f>
        <v>-25.457</v>
      </c>
      <c r="BX12" s="9" t="n">
        <f aca="false">IF($B12="","",IF(ISNUMBER(SEARCH(","&amp;$A12&amp;",",","&amp;SUBSTITUTE(Setup!$B$16," ","")&amp;",")),1,0))</f>
        <v>0</v>
      </c>
      <c r="BY12" s="9" t="n">
        <f aca="false">IF($B12="","",IF(ISNUMBER(SEARCH(","&amp;$A12&amp;",",","&amp;SUBSTITUTE(Setup!$B$17," ","")&amp;",")),1,0))</f>
        <v>0</v>
      </c>
      <c r="BZ12" s="22" t="str">
        <f aca="false">IF($AS12="","",IF(Fits!$B$38="Row",$AQ12,IF($AR12="","",$AR12)))</f>
        <v/>
      </c>
      <c r="CA12" s="22" t="str">
        <f aca="false">IF($AT12="","",IF(Fits!$B$50="Row",$AQ12,IF($AR12="","",$AR12)))</f>
        <v/>
      </c>
      <c r="CB12" s="20" t="str">
        <f aca="false">IF(OR($D12&lt;&gt;"Drift",$X12="",$A12&lt;IF(Setup!$B$14="",0,Setup!$B$14),Fits!$B$107&lt;3,Fits!$B$110="",Fits!$B$109=0,IF(Fits!$B$38="Row",$AQ12,$AR12)=""),"",IF($BX12=1,IF(OR(Fits!$B$111="",Fits!$B$111=0),"",($X12-(IF(Fits!$B$38="Row",Fits!$B$32,Fits!$B$35)*IF(Fits!$B$38="Row",$AQ12,$AR12)+Fits!$B$110))/(Fits!$B$111*SQRT(1+(1/Fits!$B$107+(IF(Fits!$B$38="Row",$AQ12,$AR12)-Fits!$B$108)^2/Fits!$B$109)))),IF(OR(Fits!$B$107&lt;4,(1/Fits!$B$107+(IF(Fits!$B$38="Row",$AQ12,$AR12)-Fits!$B$108)^2/Fits!$B$109)&gt;=1),"",IF((Fits!$B$116-($X12-(IF(Fits!$B$38="Row",Fits!$B$32,Fits!$B$35)*IF(Fits!$B$38="Row",$AQ12,$AR12)+Fits!$B$110))^2/(1-(1/Fits!$B$107+(IF(Fits!$B$38="Row",$AQ12,$AR12)-Fits!$B$108)^2/Fits!$B$109)))&lt;=0,"",($X12-(IF(Fits!$B$38="Row",Fits!$B$32,Fits!$B$35)*IF(Fits!$B$38="Row",$AQ12,$AR12)+Fits!$B$110))/(SQRT((Fits!$B$116-($X12-(IF(Fits!$B$38="Row",Fits!$B$32,Fits!$B$35)*IF(Fits!$B$38="Row",$AQ12,$AR12)+Fits!$B$110))^2/(1-(1/Fits!$B$107+(IF(Fits!$B$38="Row",$AQ12,$AR12)-Fits!$B$108)^2/Fits!$B$109)))/(Fits!$B$107-3))*SQRT(1-(1/Fits!$B$107+(IF(Fits!$B$38="Row",$AQ12,$AR12)-Fits!$B$108)^2/Fits!$B$109)))))))</f>
        <v/>
      </c>
      <c r="CC12" s="20" t="str">
        <f aca="false">IF(OR($D12&lt;&gt;"Drift",$AC12="",$A12&lt;IF(Setup!$B$14="",0,Setup!$B$14),Fits!$B$120&lt;3,Fits!$B$123="",Fits!$B$122=0,IF(Fits!$B$50="Row",$AQ12,$AR12)=""),"",IF($BY12=1,IF(OR(Fits!$B$124="",Fits!$B$124=0),"",($AC12-(IF(Fits!$B$50="Row",Fits!$B$44,Fits!$B$47)*IF(Fits!$B$50="Row",$AQ12,$AR12)+Fits!$B$123))/(Fits!$B$124*SQRT(1+(1/Fits!$B$120+(IF(Fits!$B$50="Row",$AQ12,$AR12)-Fits!$B$121)^2/Fits!$B$122)))),IF(OR(Fits!$B$120&lt;4,(1/Fits!$B$120+(IF(Fits!$B$50="Row",$AQ12,$AR12)-Fits!$B$121)^2/Fits!$B$122)&gt;=1),"",IF((Fits!$B$129-($AC12-(IF(Fits!$B$50="Row",Fits!$B$44,Fits!$B$47)*IF(Fits!$B$50="Row",$AQ12,$AR12)+Fits!$B$123))^2/(1-(1/Fits!$B$120+(IF(Fits!$B$50="Row",$AQ12,$AR12)-Fits!$B$121)^2/Fits!$B$122)))&lt;=0,"",($AC12-(IF(Fits!$B$50="Row",Fits!$B$44,Fits!$B$47)*IF(Fits!$B$50="Row",$AQ12,$AR12)+Fits!$B$123))/(SQRT((Fits!$B$129-($AC12-(IF(Fits!$B$50="Row",Fits!$B$44,Fits!$B$47)*IF(Fits!$B$50="Row",$AQ12,$AR12)+Fits!$B$123))^2/(1-(1/Fits!$B$120+(IF(Fits!$B$50="Row",$AQ12,$AR12)-Fits!$B$121)^2/Fits!$B$122)))/(Fits!$B$120-3))*SQRT(1-(1/Fits!$B$120+(IF(Fits!$B$50="Row",$AQ12,$AR12)-Fits!$B$121)^2/Fits!$B$122)))))))</f>
        <v/>
      </c>
      <c r="CD12" s="9" t="str">
        <f aca="false">IF($AU12="","",1)</f>
        <v/>
      </c>
      <c r="CE12" s="24" t="str">
        <f aca="false">IF($AU12="","",$AU12-Fits!$B$133)</f>
        <v/>
      </c>
      <c r="CF12" s="24" t="str">
        <f aca="false">IF($AU12="","",($AV12-(Fits!$B$56*$AU12+Fits!$B$57))-Fits!$B$56*($AU12-Fits!$B$133))</f>
        <v/>
      </c>
      <c r="CG12" s="25" t="str">
        <f aca="false">IF($AU12="","",$AU12^2)</f>
        <v/>
      </c>
      <c r="CH12" s="9" t="str">
        <f aca="false">IF($AW12="","",1)</f>
        <v/>
      </c>
      <c r="CI12" s="24" t="str">
        <f aca="false">IF($AW12="","",$AW12-Fits!$B$153)</f>
        <v/>
      </c>
      <c r="CJ12" s="24" t="str">
        <f aca="false">IF($AW12="","",($AX12-(Fits!$B$63*$AW12+Fits!$B$64))-Fits!$B$63*($AW12-Fits!$B$153))</f>
        <v/>
      </c>
      <c r="CK12" s="25" t="str">
        <f aca="false">IF($AW12="","",$AW12^2)</f>
        <v/>
      </c>
      <c r="CL12" s="26" t="n">
        <f aca="false">IF(OR($Z12="",Fits!$B$55&lt;3,Fits!$B$133="",Fits!$B$134="",Fits!$B$134=0,Fits!$B$136=""),"",SQRT((Fits!$B$136*Fits!$B$56)^2+SUMPRODUCT((Fits!$J$163:$J$175*(Fits!$B$163:$B$175/Fits!$B$55+Fits!$H$163:$H$175*($Z12-Fits!$B$133)/Fits!$B$134))^2)+SUMPRODUCT((Fits!$G$163:$G$175*(($Z12-Fits!$B$133)*Fits!$I$163:$I$175/Fits!$B$134-Fits!$B$163:$B$175*Fits!$B$56/Fits!$B$55))^2)))</f>
        <v>0.246521823623442</v>
      </c>
      <c r="CM12" s="26" t="n">
        <f aca="false">IF($CL12="","",Setup!$B$32*$CL12)</f>
        <v>0.493043647246885</v>
      </c>
      <c r="CN12" s="26" t="n">
        <f aca="false">IF(OR($AE12="",Fits!$B$62&lt;3,Fits!$B$153="",Fits!$B$154="",Fits!$B$154=0,Fits!$B$156=""),"",SQRT((Fits!$B$156*Fits!$B$63)^2+SUMPRODUCT((Fits!$J$183:$J$195*(Fits!$B$183:$B$195/Fits!$B$62+Fits!$H$183:$H$195*($AE12-Fits!$B$153)/Fits!$B$154))^2)+SUMPRODUCT((Fits!$G$183:$G$195*(($AE12-Fits!$B$153)*Fits!$I$183:$I$195/Fits!$B$154-Fits!$B$183:$B$195*Fits!$B$63/Fits!$B$62))^2)))</f>
        <v>0.037896510785952</v>
      </c>
      <c r="CO12" s="26" t="n">
        <f aca="false">IF($CN12="","",Setup!$B$32*$CN12)</f>
        <v>0.0757930215719041</v>
      </c>
      <c r="CP12" s="9" t="n">
        <f aca="false">IF(OR(NOT(ISNUMBER($BJ12)),$EK12=1),$CP11,IF($BJ12&lt;=Setup!$B$26,$CP11+1,0))</f>
        <v>0</v>
      </c>
      <c r="CQ12" s="9" t="n">
        <f aca="false">IF($BT12="","",$A12)</f>
        <v>7</v>
      </c>
      <c r="CR12" s="9" t="n">
        <f aca="false">IF($BW12="","",$A12)</f>
        <v>7</v>
      </c>
      <c r="CS12" s="9" t="n">
        <f aca="false">IF($B12="","",IF(Setup!$A$37="",0,IF(ISNUMBER(SEARCH(Setup!$A$37,$B12)),37,0)))</f>
        <v>0</v>
      </c>
      <c r="CT12" s="9" t="n">
        <f aca="false">IF($B12="","",IF(Setup!$A$38="",0,IF(ISNUMBER(SEARCH(Setup!$A$38,$B12)),38,0)))</f>
        <v>0</v>
      </c>
      <c r="CU12" s="9" t="n">
        <f aca="false">IF($B12="","",IF(Setup!$A$39="",0,IF(ISNUMBER(SEARCH(Setup!$A$39,$B12)),39,0)))</f>
        <v>0</v>
      </c>
      <c r="CV12" s="9" t="n">
        <f aca="false">IF($B12="","",IF(Setup!$A$40="",0,IF(ISNUMBER(SEARCH(Setup!$A$40,$B12)),40,0)))</f>
        <v>0</v>
      </c>
      <c r="CW12" s="9" t="n">
        <f aca="false">IF($B12="","",IF(Setup!$A$41="",0,IF(ISNUMBER(SEARCH(Setup!$A$41,$B12)),41,0)))</f>
        <v>0</v>
      </c>
      <c r="CX12" s="9" t="n">
        <f aca="false">IF($B12="","",IF(Setup!$A$42="",0,IF(ISNUMBER(SEARCH(Setup!$A$42,$B12)),42,0)))</f>
        <v>42</v>
      </c>
      <c r="CY12" s="9" t="n">
        <f aca="false">IF($B12="","",IF(Setup!$A$43="",0,IF(ISNUMBER(SEARCH(Setup!$A$43,$B12)),43,0)))</f>
        <v>0</v>
      </c>
      <c r="CZ12" s="9" t="n">
        <f aca="false">IF($B12="","",IF(Setup!$A$44="",0,IF(ISNUMBER(SEARCH(Setup!$A$44,$B12)),44,0)))</f>
        <v>0</v>
      </c>
      <c r="DA12" s="9" t="n">
        <f aca="false">IF($B12="","",IF(Setup!$A$45="",0,IF(ISNUMBER(SEARCH(Setup!$A$45,$B12)),45,0)))</f>
        <v>0</v>
      </c>
      <c r="DB12" s="9" t="n">
        <f aca="false">IF($B12="","",IF(Setup!$A$46="",0,IF(ISNUMBER(SEARCH(Setup!$A$46,$B12)),46,0)))</f>
        <v>0</v>
      </c>
      <c r="DC12" s="9" t="n">
        <f aca="false">IF($B12="","",IF(Setup!$A$47="",0,IF(ISNUMBER(SEARCH(Setup!$A$47,$B12)),47,0)))</f>
        <v>0</v>
      </c>
      <c r="DD12" s="9" t="n">
        <f aca="false">IF($B12="","",IF(Setup!$A$48="",0,IF(ISNUMBER(SEARCH(Setup!$A$48,$B12)),48,0)))</f>
        <v>0</v>
      </c>
      <c r="DE12" s="9" t="n">
        <f aca="false">IF($B12="","",IF(Setup!$A$49="",0,IF(ISNUMBER(SEARCH(Setup!$A$49,$B12)),49,0)))</f>
        <v>0</v>
      </c>
      <c r="DF12" s="9" t="n">
        <f aca="false">IF($B12="",NA(),$A12)</f>
        <v>7</v>
      </c>
      <c r="DG12" s="22" t="n">
        <f aca="false">IF($BI12="",NA(),$BI12)</f>
        <v>29.4</v>
      </c>
      <c r="DH12" s="22" t="n">
        <f aca="false">IF($N12="",NA(),$N12)</f>
        <v>32.3</v>
      </c>
      <c r="DI12" s="9" t="e">
        <f aca="false">IF(AND($D12="Drift",$N12&lt;&gt;""),$N12,NA())</f>
        <v>#N/A</v>
      </c>
      <c r="DJ12" s="9" t="str">
        <f aca="false">IF(AND($D12="Drift",$N12&lt;&gt;""),$N12,"")</f>
        <v/>
      </c>
      <c r="DK12" s="9" t="str">
        <f aca="false">IF($DJ12="","",$A12)</f>
        <v/>
      </c>
      <c r="DL12" s="24" t="n">
        <f aca="false">IF($AN12="",NA(),$AM12)</f>
        <v>12.058</v>
      </c>
      <c r="DM12" s="24" t="n">
        <f aca="false">IF($AN12="",NA(),$AN12)</f>
        <v>-4.102</v>
      </c>
      <c r="DN12" s="9" t="e">
        <f aca="false">IF(AND($D12="Sample",$L12&lt;&gt;""),$L12,NA())</f>
        <v>#N/A</v>
      </c>
      <c r="DO12" s="9" t="e">
        <f aca="false">IF(AND($D12="Sample",$L12&lt;&gt;"",Fits!$B$98&lt;&gt;""),Fits!$B$98,NA())</f>
        <v>#N/A</v>
      </c>
      <c r="DP12" s="9" t="e">
        <f aca="false">IF($AS12="",NA(),$AS12)</f>
        <v>#N/A</v>
      </c>
      <c r="DQ12" s="9" t="e">
        <f aca="false">IF(AND($D12="Drift",$AS12="",$X12&lt;&gt;""),$X12,NA())</f>
        <v>#N/A</v>
      </c>
      <c r="DR12" s="9" t="e">
        <f aca="false">IF(AND($D12="Drift",$Z12&lt;&gt;""),$Z12,NA())</f>
        <v>#N/A</v>
      </c>
      <c r="DS12" s="9" t="e">
        <f aca="false">IF(AND(OR($D12="Sample",$D12="Check"),$AA12&lt;&gt;""),$AA12,NA())</f>
        <v>#N/A</v>
      </c>
      <c r="DT12" s="25" t="n">
        <f aca="false">IF(OR($B12="",Fits!$B$138=""),NA(),Fits!$B$138)</f>
        <v>1.76</v>
      </c>
      <c r="DU12" s="25" t="n">
        <f aca="false">IF(OR($B12="",Fits!$B$139=""),NA(),Fits!$B$139)</f>
        <v>20.68</v>
      </c>
      <c r="DV12" s="24" t="n">
        <f aca="false">IF($BT12="",NA(),$BT12)</f>
        <v>-1.142</v>
      </c>
      <c r="DW12" s="24" t="n">
        <f aca="false">IF($AP12="",NA(),$AO12)</f>
        <v>54.07</v>
      </c>
      <c r="DX12" s="24" t="n">
        <f aca="false">IF($AP12="",NA(),$AP12)</f>
        <v>-9.667</v>
      </c>
      <c r="DY12" s="9" t="e">
        <f aca="false">IF(AND($D12="Sample",$P12&lt;&gt;""),$P12,NA())</f>
        <v>#N/A</v>
      </c>
      <c r="DZ12" s="9" t="e">
        <f aca="false">IF(AND($D12="Sample",$P12&lt;&gt;"",Fits!$B$105&lt;&gt;""),Fits!$B$105,NA())</f>
        <v>#N/A</v>
      </c>
      <c r="EA12" s="9" t="e">
        <f aca="false">IF($AT12="",NA(),$AT12)</f>
        <v>#N/A</v>
      </c>
      <c r="EB12" s="9" t="e">
        <f aca="false">IF(AND($D12="Drift",$AT12="",$AC12&lt;&gt;""),$AC12,NA())</f>
        <v>#N/A</v>
      </c>
      <c r="EC12" s="9" t="e">
        <f aca="false">IF(AND($D12="Drift",$AE12&lt;&gt;""),$AE12,NA())</f>
        <v>#N/A</v>
      </c>
      <c r="ED12" s="9" t="e">
        <f aca="false">IF(AND(OR($D12="Sample",$D12="Check"),$AF12&lt;&gt;""),$AF12,NA())</f>
        <v>#N/A</v>
      </c>
      <c r="EE12" s="25" t="n">
        <f aca="false">IF(OR($B12="",Fits!$B$158=""),NA(),Fits!$B$158)</f>
        <v>-40.81</v>
      </c>
      <c r="EF12" s="25" t="n">
        <f aca="false">IF(OR($B12="",Fits!$B$159=""),NA(),Fits!$B$159)</f>
        <v>-20.29</v>
      </c>
      <c r="EG12" s="24" t="n">
        <f aca="false">IF($BW12="",NA(),$BW12)</f>
        <v>-25.457</v>
      </c>
      <c r="EH12" s="9" t="e">
        <f aca="false">IF(AND($EN12=1,ISNUMBER($N12)),$N12,NA())</f>
        <v>#N/A</v>
      </c>
      <c r="EI12" s="9" t="n">
        <f aca="false">IF($B12="","",$A12)</f>
        <v>7</v>
      </c>
      <c r="EJ12" s="9" t="n">
        <f aca="false">IF(OR(AND(ISNUMBER($L12),Fits!$B$97&gt;0,$L12&gt;Fits!$B$97),AND(ISNUMBER($P12),Fits!$B$104&gt;0,$P12&gt;Fits!$B$104)),1,0)</f>
        <v>0</v>
      </c>
      <c r="EK12" s="9" t="n">
        <f aca="false">IF(OR($EJ11=1,$EJ10=1),1,0)</f>
        <v>0</v>
      </c>
      <c r="EL12" s="22" t="n">
        <f aca="false">IF(AND($EK12=0,ISNUMBER($N12)),$N12,$EL11)</f>
        <v>32.3</v>
      </c>
      <c r="EM12" s="9" t="str">
        <f aca="false">IF(AND($EK12=1,ISNUMBER($N12),ISNUMBER($EL12)),$N12-$EL12,"")</f>
        <v/>
      </c>
      <c r="EN12" s="9" t="n">
        <f aca="false">IF(Setup!$B$28="",0,IF(ISNUMBER($EM12),IF($EM12&gt;Setup!$B$28,1,0),0))</f>
        <v>0</v>
      </c>
      <c r="EO12" s="9" t="str">
        <f aca="false">IF($EN12=1,COUNTIF($EN$6:$EN12,1),"")</f>
        <v/>
      </c>
      <c r="EP12" s="9" t="n">
        <f aca="false">IF(AND($EJ11=1,OR($D12="Sample",$D12="Check")),1,0)</f>
        <v>0</v>
      </c>
      <c r="EQ12" s="9" t="str">
        <f aca="false">IF(ISNUMBER($BI12),IF(COUNT($BI$6:$BI12)&lt;=5,$BI12,""),"")</f>
        <v/>
      </c>
      <c r="ER12" s="9" t="str">
        <f aca="false">IF(OR(NOT(ISNUMBER($BJ12)),$EK12=1),$ER11,IF($BJ12&lt;=Setup!$B$26,IF($CP11=0,$A12,$ER11),""))</f>
        <v/>
      </c>
    </row>
    <row r="13" customFormat="false" ht="15" hidden="false" customHeight="false" outlineLevel="0" collapsed="false">
      <c r="A13" s="8" t="n">
        <v>8</v>
      </c>
      <c r="B13" s="8" t="str">
        <f aca="false">IFERROR(INDEX(Raw!$B$2:$B$1001,MATCH($A13,Raw!$A$2:$A$1001,0)),"")</f>
        <v>Ace Lin3</v>
      </c>
      <c r="C13" s="9" t="n">
        <f aca="false">IF($B13="","",MAX($CS13:$DE13))</f>
        <v>42</v>
      </c>
      <c r="D13" s="8" t="str">
        <f aca="false">IF($B13="","",IF($C13=0,"Sample",INDEX(Setup!$B$37:$B$49,$C13-36)))</f>
        <v>Linearity</v>
      </c>
      <c r="E13" s="16" t="n">
        <f aca="false">IF($B13="","",IFERROR(IF(INDEX(Raw!$E$2:$E$1001,MATCH($A13,Raw!$A$2:$A$1001,0))=0,"",INDEX(Raw!$E$2:$E$1001,MATCH($A13,Raw!$A$2:$A$1001,0))),""))</f>
        <v>0.572</v>
      </c>
      <c r="F13" s="18"/>
      <c r="G13" s="16" t="n">
        <f aca="false">IF($B13="","",IF($F13&lt;&gt;"",$F13,IF($E13="","",$E13)))</f>
        <v>0.572</v>
      </c>
      <c r="H13" s="9" t="n">
        <f aca="false">IF($B13="","",SUMPRODUCT(MAX((Raw!$A$2:$A$1001=$A13)*(Raw!$R$2:$R$1001="N")*Raw!$D$2:$D$1001)))</f>
        <v>3</v>
      </c>
      <c r="I13" s="9" t="str">
        <f aca="false">IF(OR($H13="",$H13=0),"",$A13&amp;"|N|"&amp;$H13)</f>
        <v>8|N|3</v>
      </c>
      <c r="J13" s="9" t="n">
        <f aca="false">IF($B13="","",SUMPRODUCT(MIN((Raw!$A$2:$A$1001=$A13)*(Raw!$R$2:$R$1001="C")*Raw!$D$2:$D$1001+(1-(Raw!$A$2:$A$1001=$A13)*(Raw!$R$2:$R$1001="C"))*9999)))</f>
        <v>4</v>
      </c>
      <c r="K13" s="9" t="str">
        <f aca="false">IF(OR($J13="",$J13=0,$J13=9999),"",$A13&amp;"|C|"&amp;$J13)</f>
        <v>8|C|4</v>
      </c>
      <c r="L13" s="16" t="n">
        <f aca="false">IF($I13="","",IF(INDEX(Raw!$I$2:$I$1001,MATCH($I13,Raw!$S$2:$S$1001,0))&lt;&gt;0,"",INDEX(Raw!$H$2:$H$1001,MATCH($I13,Raw!$S$2:$S$1001,0))))</f>
        <v>38.149</v>
      </c>
      <c r="M13" s="19" t="n">
        <f aca="false">IF($I13="","",IF(INDEX(Raw!$I$2:$I$1001,MATCH($I13,Raw!$S$2:$S$1001,0))&lt;&gt;0,"",INDEX(Raw!$F$2:$F$1001,MATCH($I13,Raw!$S$2:$S$1001,0))))</f>
        <v>2213</v>
      </c>
      <c r="N13" s="20" t="n">
        <f aca="false">IF($I13="","",IF(INDEX(Raw!$I$2:$I$1001,MATCH($I13,Raw!$S$2:$S$1001,0))&lt;&gt;0,"",INDEX(Raw!$G$2:$G$1001,MATCH($I13,Raw!$S$2:$S$1001,0))))</f>
        <v>31.6</v>
      </c>
      <c r="O13" s="16" t="n">
        <f aca="false">IF($I13="","",IF(INDEX(Raw!$I$2:$I$1001,MATCH($I13,Raw!$S$2:$S$1001,0))&lt;&gt;0,"",INDEX(Raw!$N$2:$N$1001,MATCH($I13,Raw!$S$2:$S$1001,0))))</f>
        <v>-5.479</v>
      </c>
      <c r="P13" s="16" t="n">
        <f aca="false">IF($K13="","",IF(INDEX(Raw!$I$2:$I$1001,MATCH($K13,Raw!$S$2:$S$1001,0))&lt;&gt;0,"",INDEX(Raw!$K$2:$K$1001,MATCH($K13,Raw!$S$2:$S$1001,0))))</f>
        <v>178.135</v>
      </c>
      <c r="Q13" s="19" t="n">
        <f aca="false">IF($K13="","",IF(INDEX(Raw!$I$2:$I$1001,MATCH($K13,Raw!$S$2:$S$1001,0))&lt;&gt;0,"",INDEX(Raw!$J$2:$J$1001,MATCH($K13,Raw!$S$2:$S$1001,0))))</f>
        <v>7464</v>
      </c>
      <c r="R13" s="16" t="n">
        <f aca="false">IF($K13="","",IF(INDEX(Raw!$I$2:$I$1001,MATCH($K13,Raw!$S$2:$S$1001,0))&lt;&gt;0,"",INDEX(Raw!$O$2:$O$1001,MATCH($K13,Raw!$S$2:$S$1001,0))))</f>
        <v>-9.384</v>
      </c>
      <c r="S13" s="21" t="str">
        <f aca="false">IF($B13="","",IF($C13=0,"",IF(INDEX(Setup!$D$37:$D$49,$C13-36)="","",INDEX(Setup!$D$37:$D$49,$C13-36))))</f>
        <v/>
      </c>
      <c r="T13" s="21" t="str">
        <f aca="false">IF($B13="","",IF($C13=0,"",IF(INDEX(Setup!$C$37:$C$49,$C13-36)="","",INDEX(Setup!$C$37:$C$49,$C13-36))))</f>
        <v/>
      </c>
      <c r="U13" s="21" t="n">
        <f aca="false">IF($B13="","",IF($C13=0,"",IF(INDEX(Setup!$F$37:$F$49,$C13-36)="","",INDEX(Setup!$F$37:$F$49,$C13-36))))</f>
        <v>10.36</v>
      </c>
      <c r="V13" s="21" t="n">
        <f aca="false">IF($B13="","",IF($C13=0,"",IF(INDEX(Setup!$E$37:$E$49,$C13-36)="","",INDEX(Setup!$E$37:$E$49,$C13-36))))</f>
        <v>71.09</v>
      </c>
      <c r="W13" s="16" t="n">
        <f aca="false">IF($O13="","",IF(OR(Fits!$C$5&lt;&gt;"Yes",$D13="Blank",$L13&lt;=Fits!$B$6),$O13,($L13*$O13-Fits!$B$6*Fits!$B$7)/($L13-Fits!$B$6)))</f>
        <v>-5.479</v>
      </c>
      <c r="X13" s="16" t="n">
        <f aca="false">IF($W13="","",$W13-Fits!$B$20*($L13-Fits!$B$16))</f>
        <v>-5.479</v>
      </c>
      <c r="Y13" s="22" t="n">
        <f aca="false">IF($W13="","",IF(OR(Fits!$B$38="Row",$BI13=""),$A13,$BI13))</f>
        <v>8</v>
      </c>
      <c r="Z13" s="16" t="n">
        <f aca="false">IF($X13="","",$X13-Fits!$B$39*($Y13-Fits!$B$40))</f>
        <v>-5.8592082498572</v>
      </c>
      <c r="AA13" s="23" t="n">
        <f aca="false">IF(OR($Z13="",Fits!$B$55&lt;2),"",Fits!$B$56*$Z13+Fits!$B$57)</f>
        <v>-4.98778086173885</v>
      </c>
      <c r="AB13" s="16" t="n">
        <f aca="false">IF($R13="","",IF(OR(Fits!$C$9&lt;&gt;"Yes",$D13="Blank",$P13&lt;=Fits!$B$10),$R13,($P13*$R13-Fits!$B$10*Fits!$B$11)/($P13-Fits!$B$10)))</f>
        <v>-9.384</v>
      </c>
      <c r="AC13" s="16" t="n">
        <f aca="false">IF($AB13="","",$AB13-Fits!$B$28*($P13-Fits!$B$24))</f>
        <v>-9.4716278125793</v>
      </c>
      <c r="AD13" s="22" t="n">
        <f aca="false">IF($AB13="","",IF(OR(Fits!$B$50="Row",$BI13=""),$A13,$BI13))</f>
        <v>8</v>
      </c>
      <c r="AE13" s="16" t="n">
        <f aca="false">IF($AC13="","",$AC13-Fits!$B$51*($AD13-Fits!$B$52))</f>
        <v>-9.40468792761889</v>
      </c>
      <c r="AF13" s="23" t="n">
        <f aca="false">IF(OR($AE13="",Fits!$B$62&lt;2),"",Fits!$B$63*$AE13+Fits!$B$64)</f>
        <v>-26.5300107231876</v>
      </c>
      <c r="AG13" s="21" t="n">
        <f aca="false">IF(OR($L13="",Fits!$B$69&lt;3),"",($L13-Fits!$B$71)/Fits!$B$70)</f>
        <v>59.7398367444875</v>
      </c>
      <c r="AH13" s="21" t="n">
        <f aca="false">IF(OR($P13="",Fits!$B$75&lt;3),"",($P13-Fits!$B$77)/Fits!$B$76)</f>
        <v>401.748731845106</v>
      </c>
      <c r="AI13" s="23" t="n">
        <f aca="false">IF(OR($AG13="",$G13="",$G13=0),"",$AG13/($G13*1000)*100)</f>
        <v>10.4440274028824</v>
      </c>
      <c r="AJ13" s="23" t="n">
        <f aca="false">IF(OR($AH13="",$G13="",$G13=0),"",$AH13/($G13*1000)*100)</f>
        <v>70.235792280613</v>
      </c>
      <c r="AK13" s="23" t="n">
        <f aca="false">IF(OR($AG13="",$AH13="",$AG13&lt;=0),"",($AH13/Setup!$B$52)/($AG13/Setup!$B$53))</f>
        <v>7.84253462487283</v>
      </c>
      <c r="AL13" s="23" t="n">
        <f aca="false">IF(OR($AG13="",$AH13="",$AG13&lt;=0),"",$AH13/$AG13)</f>
        <v>6.72497204107572</v>
      </c>
      <c r="AM13" s="24" t="n">
        <f aca="false">IF($D13="Linearity",IF($L13="","",$L13),"")</f>
        <v>38.149</v>
      </c>
      <c r="AN13" s="24" t="n">
        <f aca="false">IF($D13="Linearity",IF($W13="","",$W13),"")</f>
        <v>-5.479</v>
      </c>
      <c r="AO13" s="24" t="n">
        <f aca="false">IF($D13="Linearity",IF($P13="","",$P13),"")</f>
        <v>178.135</v>
      </c>
      <c r="AP13" s="24" t="n">
        <f aca="false">IF($D13="Linearity",IF($AB13="","",$AB13),"")</f>
        <v>-9.384</v>
      </c>
      <c r="AQ13" s="9" t="str">
        <f aca="false">IF($D13="Drift",IF($A13&lt;IF(Setup!$B$14="",0,Setup!$B$14),"",$A13),"")</f>
        <v/>
      </c>
      <c r="AR13" s="9" t="str">
        <f aca="false">IF($D13="Drift",IF($A13&lt;IF(Setup!$B$14="",0,Setup!$B$14),"",IF($BI13="","",$BI13)),"")</f>
        <v/>
      </c>
      <c r="AS13" s="9" t="str">
        <f aca="false">IF($D13="Drift",IF($A13&lt;IF(Setup!$B$14="",0,Setup!$B$14),"",IF(OR($X13="",$BX13=1),"",$X13)),"")</f>
        <v/>
      </c>
      <c r="AT13" s="9" t="str">
        <f aca="false">IF($D13="Drift",IF($A13&lt;IF(Setup!$B$14="",0,Setup!$B$14),"",IF(OR($AC13="",$BY13=1),"",$AC13)),"")</f>
        <v/>
      </c>
      <c r="AU13" s="9" t="str">
        <f aca="false">IF($D13="Anchor",IF(OR($Z13="",$S13=""),"",$Z13),"")</f>
        <v/>
      </c>
      <c r="AV13" s="9" t="str">
        <f aca="false">IF($D13="Anchor",IF(OR($Z13="",$S13=""),"",$S13),"")</f>
        <v/>
      </c>
      <c r="AW13" s="9" t="str">
        <f aca="false">IF($D13="Anchor",IF(OR($AE13="",$T13=""),"",$AE13),"")</f>
        <v/>
      </c>
      <c r="AX13" s="9" t="str">
        <f aca="false">IF($D13="Anchor",IF(OR($AE13="",$T13=""),"",$T13),"")</f>
        <v/>
      </c>
      <c r="AY13" s="9" t="n">
        <f aca="false">IF(OR($D13="Blank",$D13="Exclude",$D13="Sample",$D13="",$G13="",$U13="",$L13=""),"",$G13*1000*$U13/100)</f>
        <v>59.2592</v>
      </c>
      <c r="AZ13" s="24" t="n">
        <f aca="false">IF($AY13="","",$L13)</f>
        <v>38.149</v>
      </c>
      <c r="BA13" s="9" t="n">
        <f aca="false">IF(OR($D13="Blank",$D13="Exclude",$D13="Sample",$D13="",$G13="",$V13="",$P13=""),"",$G13*1000*$V13/100)</f>
        <v>406.6348</v>
      </c>
      <c r="BB13" s="24" t="n">
        <f aca="false">IF($BA13="","",$P13)</f>
        <v>178.135</v>
      </c>
      <c r="BC13" s="9" t="str">
        <f aca="false">IF(AND($D13="Blank",$L13&lt;&gt;""),$O13,"")</f>
        <v/>
      </c>
      <c r="BD13" s="9" t="str">
        <f aca="false">IF($BC13="","",$L13)</f>
        <v/>
      </c>
      <c r="BE13" s="9" t="str">
        <f aca="false">IF(AND($D13="Blank",$P13&lt;&gt;""),$R13,"")</f>
        <v/>
      </c>
      <c r="BF13" s="9" t="str">
        <f aca="false">IF($BE13="","",$P13)</f>
        <v/>
      </c>
      <c r="BG13" s="9" t="str">
        <f aca="false">IF(AND($D13="Drift",$BX13&lt;&gt;1),IF($AA13="","",$AA13),"")</f>
        <v/>
      </c>
      <c r="BH13" s="9" t="str">
        <f aca="false">IF(AND($D13="Drift",$BY13&lt;&gt;1),IF($AF13="","",$AF13),"")</f>
        <v/>
      </c>
      <c r="BI13" s="20" t="n">
        <f aca="false">IF($B13="","",IFERROR(INDEX(Raw!$G$2:$G$1001,MATCH($A13&amp;"|N|"&amp;SUMPRODUCT(MAX((Raw!$A$2:$A$1001=$A13)*(Raw!$R$2:$R$1001="N")*(Raw!$I$2:$I$1001=1)*Raw!$D$2:$D$1001)),Raw!$S$2:$S$1001,0)),""))</f>
        <v>28.9</v>
      </c>
      <c r="BJ13" s="21" t="n">
        <f aca="false">IF(OR($BI13="",Fits!$B$85&lt;=0),"",($BI13-Fits!$B$83)/Fits!$B$85)</f>
        <v>0.522522522522522</v>
      </c>
      <c r="BK13" s="9" t="str">
        <f aca="false">IF($AS13="","",IF($A13&gt;=Fits!$B$86,"",$A13))</f>
        <v/>
      </c>
      <c r="BL13" s="9" t="str">
        <f aca="false">IF($BK13="","",$X13)</f>
        <v/>
      </c>
      <c r="BM13" s="9" t="str">
        <f aca="false">IF($AS13="","",IF($A13&lt;Fits!$B$86,"",$A13))</f>
        <v/>
      </c>
      <c r="BN13" s="9" t="str">
        <f aca="false">IF($BM13="","",$X13)</f>
        <v/>
      </c>
      <c r="BO13" s="9" t="str">
        <f aca="false">IF(AND($D13="Drift",$BX13&lt;&gt;1),IF($O13="","",$O13),"")</f>
        <v/>
      </c>
      <c r="BP13" s="9" t="str">
        <f aca="false">IF(AND($D13="Drift",$BX13&lt;&gt;1),IF($W13="","",$W13),"")</f>
        <v/>
      </c>
      <c r="BQ13" s="9" t="str">
        <f aca="false">IF(AND($D13="Drift",$BX13&lt;&gt;1),IF($X13="","",$X13),"")</f>
        <v/>
      </c>
      <c r="BR13" s="9" t="str">
        <f aca="false">IF(AND($D13="Drift",$BX13&lt;&gt;1),IF($Z13="","",$Z13),"")</f>
        <v/>
      </c>
      <c r="BS13" s="9" t="n">
        <f aca="false">IF(OR($B13="",$H13=""),"",SUMPRODUCT(MIN((Raw!$A$2:$A$1001=$A13)*(Raw!$R$2:$R$1001="N")*(Raw!$I$2:$I$1001=0)*(Raw!$D$2:$D$1001&lt;$H13)*Raw!$D$2:$D$1001+(1-(Raw!$A$2:$A$1001=$A13)*(Raw!$R$2:$R$1001="N")*(Raw!$I$2:$I$1001=0)*(Raw!$D$2:$D$1001&lt;$H13))*9999)))</f>
        <v>1</v>
      </c>
      <c r="BT13" s="16" t="n">
        <f aca="false">IF(OR($BS13="",$BS13=9999,$BS13=0),"",IFERROR(INDEX(Raw!$N$2:$N$1001,MATCH($A13&amp;"|N|"&amp;$BS13,Raw!$S$2:$S$1001,0)),""))</f>
        <v>-1.237</v>
      </c>
      <c r="BU13" s="9" t="n">
        <f aca="false">IF($B13="","",SUMPRODUCT(MIN((Raw!$A$2:$A$1001=$A13)*(Raw!$R$2:$R$1001="C")*(Raw!$I$2:$I$1001=1)*Raw!$D$2:$D$1001+(1-(Raw!$A$2:$A$1001=$A13)*(Raw!$R$2:$R$1001="C")*(Raw!$I$2:$I$1001=1))*9999)))</f>
        <v>5</v>
      </c>
      <c r="BV13" s="9" t="n">
        <f aca="false">IF(OR($BU13="",$BU13=9999),"",SUMPRODUCT(MIN((Raw!$A$2:$A$1001=$A13)*(Raw!$R$2:$R$1001="C")*(Raw!$I$2:$I$1001=0)*(Raw!$D$2:$D$1001&gt;$BU13)*Raw!$D$2:$D$1001+(1-(Raw!$A$2:$A$1001=$A13)*(Raw!$R$2:$R$1001="C")*(Raw!$I$2:$I$1001=0)*(Raw!$D$2:$D$1001&gt;$BU13))*9999)))</f>
        <v>6</v>
      </c>
      <c r="BW13" s="16" t="n">
        <f aca="false">IF(OR($BV13="",$BV13=9999,$BV13=0),"",IFERROR(INDEX(Raw!$O$2:$O$1001,MATCH($A13&amp;"|C|"&amp;$BV13,Raw!$S$2:$S$1001,0)),""))</f>
        <v>-25.396</v>
      </c>
      <c r="BX13" s="9" t="n">
        <f aca="false">IF($B13="","",IF(ISNUMBER(SEARCH(","&amp;$A13&amp;",",","&amp;SUBSTITUTE(Setup!$B$16," ","")&amp;",")),1,0))</f>
        <v>0</v>
      </c>
      <c r="BY13" s="9" t="n">
        <f aca="false">IF($B13="","",IF(ISNUMBER(SEARCH(","&amp;$A13&amp;",",","&amp;SUBSTITUTE(Setup!$B$17," ","")&amp;",")),1,0))</f>
        <v>0</v>
      </c>
      <c r="BZ13" s="22" t="str">
        <f aca="false">IF($AS13="","",IF(Fits!$B$38="Row",$AQ13,IF($AR13="","",$AR13)))</f>
        <v/>
      </c>
      <c r="CA13" s="22" t="str">
        <f aca="false">IF($AT13="","",IF(Fits!$B$50="Row",$AQ13,IF($AR13="","",$AR13)))</f>
        <v/>
      </c>
      <c r="CB13" s="20" t="str">
        <f aca="false">IF(OR($D13&lt;&gt;"Drift",$X13="",$A13&lt;IF(Setup!$B$14="",0,Setup!$B$14),Fits!$B$107&lt;3,Fits!$B$110="",Fits!$B$109=0,IF(Fits!$B$38="Row",$AQ13,$AR13)=""),"",IF($BX13=1,IF(OR(Fits!$B$111="",Fits!$B$111=0),"",($X13-(IF(Fits!$B$38="Row",Fits!$B$32,Fits!$B$35)*IF(Fits!$B$38="Row",$AQ13,$AR13)+Fits!$B$110))/(Fits!$B$111*SQRT(1+(1/Fits!$B$107+(IF(Fits!$B$38="Row",$AQ13,$AR13)-Fits!$B$108)^2/Fits!$B$109)))),IF(OR(Fits!$B$107&lt;4,(1/Fits!$B$107+(IF(Fits!$B$38="Row",$AQ13,$AR13)-Fits!$B$108)^2/Fits!$B$109)&gt;=1),"",IF((Fits!$B$116-($X13-(IF(Fits!$B$38="Row",Fits!$B$32,Fits!$B$35)*IF(Fits!$B$38="Row",$AQ13,$AR13)+Fits!$B$110))^2/(1-(1/Fits!$B$107+(IF(Fits!$B$38="Row",$AQ13,$AR13)-Fits!$B$108)^2/Fits!$B$109)))&lt;=0,"",($X13-(IF(Fits!$B$38="Row",Fits!$B$32,Fits!$B$35)*IF(Fits!$B$38="Row",$AQ13,$AR13)+Fits!$B$110))/(SQRT((Fits!$B$116-($X13-(IF(Fits!$B$38="Row",Fits!$B$32,Fits!$B$35)*IF(Fits!$B$38="Row",$AQ13,$AR13)+Fits!$B$110))^2/(1-(1/Fits!$B$107+(IF(Fits!$B$38="Row",$AQ13,$AR13)-Fits!$B$108)^2/Fits!$B$109)))/(Fits!$B$107-3))*SQRT(1-(1/Fits!$B$107+(IF(Fits!$B$38="Row",$AQ13,$AR13)-Fits!$B$108)^2/Fits!$B$109)))))))</f>
        <v/>
      </c>
      <c r="CC13" s="20" t="str">
        <f aca="false">IF(OR($D13&lt;&gt;"Drift",$AC13="",$A13&lt;IF(Setup!$B$14="",0,Setup!$B$14),Fits!$B$120&lt;3,Fits!$B$123="",Fits!$B$122=0,IF(Fits!$B$50="Row",$AQ13,$AR13)=""),"",IF($BY13=1,IF(OR(Fits!$B$124="",Fits!$B$124=0),"",($AC13-(IF(Fits!$B$50="Row",Fits!$B$44,Fits!$B$47)*IF(Fits!$B$50="Row",$AQ13,$AR13)+Fits!$B$123))/(Fits!$B$124*SQRT(1+(1/Fits!$B$120+(IF(Fits!$B$50="Row",$AQ13,$AR13)-Fits!$B$121)^2/Fits!$B$122)))),IF(OR(Fits!$B$120&lt;4,(1/Fits!$B$120+(IF(Fits!$B$50="Row",$AQ13,$AR13)-Fits!$B$121)^2/Fits!$B$122)&gt;=1),"",IF((Fits!$B$129-($AC13-(IF(Fits!$B$50="Row",Fits!$B$44,Fits!$B$47)*IF(Fits!$B$50="Row",$AQ13,$AR13)+Fits!$B$123))^2/(1-(1/Fits!$B$120+(IF(Fits!$B$50="Row",$AQ13,$AR13)-Fits!$B$121)^2/Fits!$B$122)))&lt;=0,"",($AC13-(IF(Fits!$B$50="Row",Fits!$B$44,Fits!$B$47)*IF(Fits!$B$50="Row",$AQ13,$AR13)+Fits!$B$123))/(SQRT((Fits!$B$129-($AC13-(IF(Fits!$B$50="Row",Fits!$B$44,Fits!$B$47)*IF(Fits!$B$50="Row",$AQ13,$AR13)+Fits!$B$123))^2/(1-(1/Fits!$B$120+(IF(Fits!$B$50="Row",$AQ13,$AR13)-Fits!$B$121)^2/Fits!$B$122)))/(Fits!$B$120-3))*SQRT(1-(1/Fits!$B$120+(IF(Fits!$B$50="Row",$AQ13,$AR13)-Fits!$B$121)^2/Fits!$B$122)))))))</f>
        <v/>
      </c>
      <c r="CD13" s="9" t="str">
        <f aca="false">IF($AU13="","",1)</f>
        <v/>
      </c>
      <c r="CE13" s="24" t="str">
        <f aca="false">IF($AU13="","",$AU13-Fits!$B$133)</f>
        <v/>
      </c>
      <c r="CF13" s="24" t="str">
        <f aca="false">IF($AU13="","",($AV13-(Fits!$B$56*$AU13+Fits!$B$57))-Fits!$B$56*($AU13-Fits!$B$133))</f>
        <v/>
      </c>
      <c r="CG13" s="25" t="str">
        <f aca="false">IF($AU13="","",$AU13^2)</f>
        <v/>
      </c>
      <c r="CH13" s="9" t="str">
        <f aca="false">IF($AW13="","",1)</f>
        <v/>
      </c>
      <c r="CI13" s="24" t="str">
        <f aca="false">IF($AW13="","",$AW13-Fits!$B$153)</f>
        <v/>
      </c>
      <c r="CJ13" s="24" t="str">
        <f aca="false">IF($AW13="","",($AX13-(Fits!$B$63*$AW13+Fits!$B$64))-Fits!$B$63*($AW13-Fits!$B$153))</f>
        <v/>
      </c>
      <c r="CK13" s="25" t="str">
        <f aca="false">IF($AW13="","",$AW13^2)</f>
        <v/>
      </c>
      <c r="CL13" s="26" t="n">
        <f aca="false">IF(OR($Z13="",Fits!$B$55&lt;3,Fits!$B$133="",Fits!$B$134="",Fits!$B$134=0,Fits!$B$136=""),"",SQRT((Fits!$B$136*Fits!$B$56)^2+SUMPRODUCT((Fits!$J$163:$J$175*(Fits!$B$163:$B$175/Fits!$B$55+Fits!$H$163:$H$175*($Z13-Fits!$B$133)/Fits!$B$134))^2)+SUMPRODUCT((Fits!$G$163:$G$175*(($Z13-Fits!$B$133)*Fits!$I$163:$I$175/Fits!$B$134-Fits!$B$163:$B$175*Fits!$B$56/Fits!$B$55))^2)))</f>
        <v>0.254472252081171</v>
      </c>
      <c r="CM13" s="26" t="n">
        <f aca="false">IF($CL13="","",Setup!$B$32*$CL13)</f>
        <v>0.508944504162341</v>
      </c>
      <c r="CN13" s="26" t="n">
        <f aca="false">IF(OR($AE13="",Fits!$B$62&lt;3,Fits!$B$153="",Fits!$B$154="",Fits!$B$154=0,Fits!$B$156=""),"",SQRT((Fits!$B$156*Fits!$B$63)^2+SUMPRODUCT((Fits!$J$183:$J$195*(Fits!$B$183:$B$195/Fits!$B$62+Fits!$H$183:$H$195*($AE13-Fits!$B$153)/Fits!$B$154))^2)+SUMPRODUCT((Fits!$G$183:$G$195*(($AE13-Fits!$B$153)*Fits!$I$183:$I$195/Fits!$B$154-Fits!$B$183:$B$195*Fits!$B$63/Fits!$B$62))^2)))</f>
        <v>0.037954302355838</v>
      </c>
      <c r="CO13" s="26" t="n">
        <f aca="false">IF($CN13="","",Setup!$B$32*$CN13)</f>
        <v>0.0759086047116761</v>
      </c>
      <c r="CP13" s="9" t="n">
        <f aca="false">IF(OR(NOT(ISNUMBER($BJ13)),$EK13=1),$CP12,IF($BJ13&lt;=Setup!$B$26,$CP12+1,0))</f>
        <v>0</v>
      </c>
      <c r="CQ13" s="9" t="n">
        <f aca="false">IF($BT13="","",$A13)</f>
        <v>8</v>
      </c>
      <c r="CR13" s="9" t="n">
        <f aca="false">IF($BW13="","",$A13)</f>
        <v>8</v>
      </c>
      <c r="CS13" s="9" t="n">
        <f aca="false">IF($B13="","",IF(Setup!$A$37="",0,IF(ISNUMBER(SEARCH(Setup!$A$37,$B13)),37,0)))</f>
        <v>0</v>
      </c>
      <c r="CT13" s="9" t="n">
        <f aca="false">IF($B13="","",IF(Setup!$A$38="",0,IF(ISNUMBER(SEARCH(Setup!$A$38,$B13)),38,0)))</f>
        <v>0</v>
      </c>
      <c r="CU13" s="9" t="n">
        <f aca="false">IF($B13="","",IF(Setup!$A$39="",0,IF(ISNUMBER(SEARCH(Setup!$A$39,$B13)),39,0)))</f>
        <v>0</v>
      </c>
      <c r="CV13" s="9" t="n">
        <f aca="false">IF($B13="","",IF(Setup!$A$40="",0,IF(ISNUMBER(SEARCH(Setup!$A$40,$B13)),40,0)))</f>
        <v>0</v>
      </c>
      <c r="CW13" s="9" t="n">
        <f aca="false">IF($B13="","",IF(Setup!$A$41="",0,IF(ISNUMBER(SEARCH(Setup!$A$41,$B13)),41,0)))</f>
        <v>0</v>
      </c>
      <c r="CX13" s="9" t="n">
        <f aca="false">IF($B13="","",IF(Setup!$A$42="",0,IF(ISNUMBER(SEARCH(Setup!$A$42,$B13)),42,0)))</f>
        <v>42</v>
      </c>
      <c r="CY13" s="9" t="n">
        <f aca="false">IF($B13="","",IF(Setup!$A$43="",0,IF(ISNUMBER(SEARCH(Setup!$A$43,$B13)),43,0)))</f>
        <v>0</v>
      </c>
      <c r="CZ13" s="9" t="n">
        <f aca="false">IF($B13="","",IF(Setup!$A$44="",0,IF(ISNUMBER(SEARCH(Setup!$A$44,$B13)),44,0)))</f>
        <v>0</v>
      </c>
      <c r="DA13" s="9" t="n">
        <f aca="false">IF($B13="","",IF(Setup!$A$45="",0,IF(ISNUMBER(SEARCH(Setup!$A$45,$B13)),45,0)))</f>
        <v>0</v>
      </c>
      <c r="DB13" s="9" t="n">
        <f aca="false">IF($B13="","",IF(Setup!$A$46="",0,IF(ISNUMBER(SEARCH(Setup!$A$46,$B13)),46,0)))</f>
        <v>0</v>
      </c>
      <c r="DC13" s="9" t="n">
        <f aca="false">IF($B13="","",IF(Setup!$A$47="",0,IF(ISNUMBER(SEARCH(Setup!$A$47,$B13)),47,0)))</f>
        <v>0</v>
      </c>
      <c r="DD13" s="9" t="n">
        <f aca="false">IF($B13="","",IF(Setup!$A$48="",0,IF(ISNUMBER(SEARCH(Setup!$A$48,$B13)),48,0)))</f>
        <v>0</v>
      </c>
      <c r="DE13" s="9" t="n">
        <f aca="false">IF($B13="","",IF(Setup!$A$49="",0,IF(ISNUMBER(SEARCH(Setup!$A$49,$B13)),49,0)))</f>
        <v>0</v>
      </c>
      <c r="DF13" s="9" t="n">
        <f aca="false">IF($B13="",NA(),$A13)</f>
        <v>8</v>
      </c>
      <c r="DG13" s="22" t="n">
        <f aca="false">IF($BI13="",NA(),$BI13)</f>
        <v>28.9</v>
      </c>
      <c r="DH13" s="22" t="n">
        <f aca="false">IF($N13="",NA(),$N13)</f>
        <v>31.6</v>
      </c>
      <c r="DI13" s="9" t="e">
        <f aca="false">IF(AND($D13="Drift",$N13&lt;&gt;""),$N13,NA())</f>
        <v>#N/A</v>
      </c>
      <c r="DJ13" s="9" t="str">
        <f aca="false">IF(AND($D13="Drift",$N13&lt;&gt;""),$N13,"")</f>
        <v/>
      </c>
      <c r="DK13" s="9" t="str">
        <f aca="false">IF($DJ13="","",$A13)</f>
        <v/>
      </c>
      <c r="DL13" s="24" t="n">
        <f aca="false">IF($AN13="",NA(),$AM13)</f>
        <v>38.149</v>
      </c>
      <c r="DM13" s="24" t="n">
        <f aca="false">IF($AN13="",NA(),$AN13)</f>
        <v>-5.479</v>
      </c>
      <c r="DN13" s="9" t="e">
        <f aca="false">IF(AND($D13="Sample",$L13&lt;&gt;""),$L13,NA())</f>
        <v>#N/A</v>
      </c>
      <c r="DO13" s="9" t="e">
        <f aca="false">IF(AND($D13="Sample",$L13&lt;&gt;"",Fits!$B$98&lt;&gt;""),Fits!$B$98,NA())</f>
        <v>#N/A</v>
      </c>
      <c r="DP13" s="9" t="e">
        <f aca="false">IF($AS13="",NA(),$AS13)</f>
        <v>#N/A</v>
      </c>
      <c r="DQ13" s="9" t="e">
        <f aca="false">IF(AND($D13="Drift",$AS13="",$X13&lt;&gt;""),$X13,NA())</f>
        <v>#N/A</v>
      </c>
      <c r="DR13" s="9" t="e">
        <f aca="false">IF(AND($D13="Drift",$Z13&lt;&gt;""),$Z13,NA())</f>
        <v>#N/A</v>
      </c>
      <c r="DS13" s="9" t="e">
        <f aca="false">IF(AND(OR($D13="Sample",$D13="Check"),$AA13&lt;&gt;""),$AA13,NA())</f>
        <v>#N/A</v>
      </c>
      <c r="DT13" s="25" t="n">
        <f aca="false">IF(OR($B13="",Fits!$B$138=""),NA(),Fits!$B$138)</f>
        <v>1.76</v>
      </c>
      <c r="DU13" s="25" t="n">
        <f aca="false">IF(OR($B13="",Fits!$B$139=""),NA(),Fits!$B$139)</f>
        <v>20.68</v>
      </c>
      <c r="DV13" s="24" t="n">
        <f aca="false">IF($BT13="",NA(),$BT13)</f>
        <v>-1.237</v>
      </c>
      <c r="DW13" s="24" t="n">
        <f aca="false">IF($AP13="",NA(),$AO13)</f>
        <v>178.135</v>
      </c>
      <c r="DX13" s="24" t="n">
        <f aca="false">IF($AP13="",NA(),$AP13)</f>
        <v>-9.384</v>
      </c>
      <c r="DY13" s="9" t="e">
        <f aca="false">IF(AND($D13="Sample",$P13&lt;&gt;""),$P13,NA())</f>
        <v>#N/A</v>
      </c>
      <c r="DZ13" s="9" t="e">
        <f aca="false">IF(AND($D13="Sample",$P13&lt;&gt;"",Fits!$B$105&lt;&gt;""),Fits!$B$105,NA())</f>
        <v>#N/A</v>
      </c>
      <c r="EA13" s="9" t="e">
        <f aca="false">IF($AT13="",NA(),$AT13)</f>
        <v>#N/A</v>
      </c>
      <c r="EB13" s="9" t="e">
        <f aca="false">IF(AND($D13="Drift",$AT13="",$AC13&lt;&gt;""),$AC13,NA())</f>
        <v>#N/A</v>
      </c>
      <c r="EC13" s="9" t="e">
        <f aca="false">IF(AND($D13="Drift",$AE13&lt;&gt;""),$AE13,NA())</f>
        <v>#N/A</v>
      </c>
      <c r="ED13" s="9" t="e">
        <f aca="false">IF(AND(OR($D13="Sample",$D13="Check"),$AF13&lt;&gt;""),$AF13,NA())</f>
        <v>#N/A</v>
      </c>
      <c r="EE13" s="25" t="n">
        <f aca="false">IF(OR($B13="",Fits!$B$158=""),NA(),Fits!$B$158)</f>
        <v>-40.81</v>
      </c>
      <c r="EF13" s="25" t="n">
        <f aca="false">IF(OR($B13="",Fits!$B$159=""),NA(),Fits!$B$159)</f>
        <v>-20.29</v>
      </c>
      <c r="EG13" s="24" t="n">
        <f aca="false">IF($BW13="",NA(),$BW13)</f>
        <v>-25.396</v>
      </c>
      <c r="EH13" s="9" t="e">
        <f aca="false">IF(AND($EN13=1,ISNUMBER($N13)),$N13,NA())</f>
        <v>#N/A</v>
      </c>
      <c r="EI13" s="9" t="n">
        <f aca="false">IF($B13="","",$A13)</f>
        <v>8</v>
      </c>
      <c r="EJ13" s="9" t="n">
        <f aca="false">IF(OR(AND(ISNUMBER($L13),Fits!$B$97&gt;0,$L13&gt;Fits!$B$97),AND(ISNUMBER($P13),Fits!$B$104&gt;0,$P13&gt;Fits!$B$104)),1,0)</f>
        <v>0</v>
      </c>
      <c r="EK13" s="9" t="n">
        <f aca="false">IF(OR($EJ12=1,$EJ11=1),1,0)</f>
        <v>0</v>
      </c>
      <c r="EL13" s="22" t="n">
        <f aca="false">IF(AND($EK13=0,ISNUMBER($N13)),$N13,$EL12)</f>
        <v>31.6</v>
      </c>
      <c r="EM13" s="9" t="str">
        <f aca="false">IF(AND($EK13=1,ISNUMBER($N13),ISNUMBER($EL13)),$N13-$EL13,"")</f>
        <v/>
      </c>
      <c r="EN13" s="9" t="n">
        <f aca="false">IF(Setup!$B$28="",0,IF(ISNUMBER($EM13),IF($EM13&gt;Setup!$B$28,1,0),0))</f>
        <v>0</v>
      </c>
      <c r="EO13" s="9" t="str">
        <f aca="false">IF($EN13=1,COUNTIF($EN$6:$EN13,1),"")</f>
        <v/>
      </c>
      <c r="EP13" s="9" t="n">
        <f aca="false">IF(AND($EJ12=1,OR($D13="Sample",$D13="Check")),1,0)</f>
        <v>0</v>
      </c>
      <c r="EQ13" s="9" t="str">
        <f aca="false">IF(ISNUMBER($BI13),IF(COUNT($BI$6:$BI13)&lt;=5,$BI13,""),"")</f>
        <v/>
      </c>
      <c r="ER13" s="9" t="str">
        <f aca="false">IF(OR(NOT(ISNUMBER($BJ13)),$EK13=1),$ER12,IF($BJ13&lt;=Setup!$B$26,IF($CP12=0,$A13,$ER12),""))</f>
        <v/>
      </c>
    </row>
    <row r="14" customFormat="false" ht="15" hidden="false" customHeight="false" outlineLevel="0" collapsed="false">
      <c r="A14" s="8" t="n">
        <v>9</v>
      </c>
      <c r="B14" s="8" t="str">
        <f aca="false">IFERROR(INDEX(Raw!$B$2:$B$1001,MATCH($A14,Raw!$A$2:$A$1001,0)),"")</f>
        <v>Ace Lin4</v>
      </c>
      <c r="C14" s="9" t="n">
        <f aca="false">IF($B14="","",MAX($CS14:$DE14))</f>
        <v>42</v>
      </c>
      <c r="D14" s="8" t="str">
        <f aca="false">IF($B14="","",IF($C14=0,"Sample",INDEX(Setup!$B$37:$B$49,$C14-36)))</f>
        <v>Linearity</v>
      </c>
      <c r="E14" s="16" t="n">
        <f aca="false">IF($B14="","",IFERROR(IF(INDEX(Raw!$E$2:$E$1001,MATCH($A14,Raw!$A$2:$A$1001,0))=0,"",INDEX(Raw!$E$2:$E$1001,MATCH($A14,Raw!$A$2:$A$1001,0))),""))</f>
        <v>0.788</v>
      </c>
      <c r="F14" s="18"/>
      <c r="G14" s="16" t="n">
        <f aca="false">IF($B14="","",IF($F14&lt;&gt;"",$F14,IF($E14="","",$E14)))</f>
        <v>0.788</v>
      </c>
      <c r="H14" s="9" t="n">
        <f aca="false">IF($B14="","",SUMPRODUCT(MAX((Raw!$A$2:$A$1001=$A14)*(Raw!$R$2:$R$1001="N")*Raw!$D$2:$D$1001)))</f>
        <v>3</v>
      </c>
      <c r="I14" s="9" t="str">
        <f aca="false">IF(OR($H14="",$H14=0),"",$A14&amp;"|N|"&amp;$H14)</f>
        <v>9|N|3</v>
      </c>
      <c r="J14" s="9" t="n">
        <f aca="false">IF($B14="","",SUMPRODUCT(MIN((Raw!$A$2:$A$1001=$A14)*(Raw!$R$2:$R$1001="C")*Raw!$D$2:$D$1001+(1-(Raw!$A$2:$A$1001=$A14)*(Raw!$R$2:$R$1001="C"))*9999)))</f>
        <v>4</v>
      </c>
      <c r="K14" s="9" t="str">
        <f aca="false">IF(OR($J14="",$J14=0,$J14=9999),"",$A14&amp;"|C|"&amp;$J14)</f>
        <v>9|C|4</v>
      </c>
      <c r="L14" s="16" t="n">
        <f aca="false">IF($I14="","",IF(INDEX(Raw!$I$2:$I$1001,MATCH($I14,Raw!$S$2:$S$1001,0))&lt;&gt;0,"",INDEX(Raw!$H$2:$H$1001,MATCH($I14,Raw!$S$2:$S$1001,0))))</f>
        <v>51.069</v>
      </c>
      <c r="M14" s="19" t="n">
        <f aca="false">IF($I14="","",IF(INDEX(Raw!$I$2:$I$1001,MATCH($I14,Raw!$S$2:$S$1001,0))&lt;&gt;0,"",INDEX(Raw!$F$2:$F$1001,MATCH($I14,Raw!$S$2:$S$1001,0))))</f>
        <v>2995</v>
      </c>
      <c r="N14" s="20" t="n">
        <f aca="false">IF($I14="","",IF(INDEX(Raw!$I$2:$I$1001,MATCH($I14,Raw!$S$2:$S$1001,0))&lt;&gt;0,"",INDEX(Raw!$G$2:$G$1001,MATCH($I14,Raw!$S$2:$S$1001,0))))</f>
        <v>30.8</v>
      </c>
      <c r="O14" s="16" t="n">
        <f aca="false">IF($I14="","",IF(INDEX(Raw!$I$2:$I$1001,MATCH($I14,Raw!$S$2:$S$1001,0))&lt;&gt;0,"",INDEX(Raw!$N$2:$N$1001,MATCH($I14,Raw!$S$2:$S$1001,0))))</f>
        <v>-5.662</v>
      </c>
      <c r="P14" s="16" t="n">
        <f aca="false">IF($K14="","",IF(INDEX(Raw!$I$2:$I$1001,MATCH($K14,Raw!$S$2:$S$1001,0))&lt;&gt;0,"",INDEX(Raw!$K$2:$K$1001,MATCH($K14,Raw!$S$2:$S$1001,0))))</f>
        <v>240.154</v>
      </c>
      <c r="Q14" s="19" t="n">
        <f aca="false">IF($K14="","",IF(INDEX(Raw!$I$2:$I$1001,MATCH($K14,Raw!$S$2:$S$1001,0))&lt;&gt;0,"",INDEX(Raw!$J$2:$J$1001,MATCH($K14,Raw!$S$2:$S$1001,0))))</f>
        <v>10285</v>
      </c>
      <c r="R14" s="16" t="n">
        <f aca="false">IF($K14="","",IF(INDEX(Raw!$I$2:$I$1001,MATCH($K14,Raw!$S$2:$S$1001,0))&lt;&gt;0,"",INDEX(Raw!$O$2:$O$1001,MATCH($K14,Raw!$S$2:$S$1001,0))))</f>
        <v>-9.352</v>
      </c>
      <c r="S14" s="21" t="str">
        <f aca="false">IF($B14="","",IF($C14=0,"",IF(INDEX(Setup!$D$37:$D$49,$C14-36)="","",INDEX(Setup!$D$37:$D$49,$C14-36))))</f>
        <v/>
      </c>
      <c r="T14" s="21" t="str">
        <f aca="false">IF($B14="","",IF($C14=0,"",IF(INDEX(Setup!$C$37:$C$49,$C14-36)="","",INDEX(Setup!$C$37:$C$49,$C14-36))))</f>
        <v/>
      </c>
      <c r="U14" s="21" t="n">
        <f aca="false">IF($B14="","",IF($C14=0,"",IF(INDEX(Setup!$F$37:$F$49,$C14-36)="","",INDEX(Setup!$F$37:$F$49,$C14-36))))</f>
        <v>10.36</v>
      </c>
      <c r="V14" s="21" t="n">
        <f aca="false">IF($B14="","",IF($C14=0,"",IF(INDEX(Setup!$E$37:$E$49,$C14-36)="","",INDEX(Setup!$E$37:$E$49,$C14-36))))</f>
        <v>71.09</v>
      </c>
      <c r="W14" s="16" t="n">
        <f aca="false">IF($O14="","",IF(OR(Fits!$C$5&lt;&gt;"Yes",$D14="Blank",$L14&lt;=Fits!$B$6),$O14,($L14*$O14-Fits!$B$6*Fits!$B$7)/($L14-Fits!$B$6)))</f>
        <v>-5.662</v>
      </c>
      <c r="X14" s="16" t="n">
        <f aca="false">IF($W14="","",$W14-Fits!$B$20*($L14-Fits!$B$16))</f>
        <v>-5.662</v>
      </c>
      <c r="Y14" s="22" t="n">
        <f aca="false">IF($W14="","",IF(OR(Fits!$B$38="Row",$BI14=""),$A14,$BI14))</f>
        <v>9</v>
      </c>
      <c r="Z14" s="16" t="n">
        <f aca="false">IF($X14="","",$X14-Fits!$B$39*($Y14-Fits!$B$40))</f>
        <v>-6.02745389986274</v>
      </c>
      <c r="AA14" s="23" t="n">
        <f aca="false">IF(OR($Z14="",Fits!$B$55&lt;2),"",Fits!$B$56*$Z14+Fits!$B$57)</f>
        <v>-5.16050146631169</v>
      </c>
      <c r="AB14" s="16" t="n">
        <f aca="false">IF($R14="","",IF(OR(Fits!$C$9&lt;&gt;"Yes",$D14="Blank",$P14&lt;=Fits!$B$10),$R14,($P14*$R14-Fits!$B$10*Fits!$B$11)/($P14-Fits!$B$10)))</f>
        <v>-9.352</v>
      </c>
      <c r="AC14" s="16" t="n">
        <f aca="false">IF($AB14="","",$AB14-Fits!$B$28*($P14-Fits!$B$24))</f>
        <v>-9.54709129118593</v>
      </c>
      <c r="AD14" s="22" t="n">
        <f aca="false">IF($AB14="","",IF(OR(Fits!$B$50="Row",$BI14=""),$A14,$BI14))</f>
        <v>9</v>
      </c>
      <c r="AE14" s="16" t="n">
        <f aca="false">IF($AC14="","",$AC14-Fits!$B$51*($AD14-Fits!$B$52))</f>
        <v>-9.48274907340309</v>
      </c>
      <c r="AF14" s="23" t="n">
        <f aca="false">IF(OR($AE14="",Fits!$B$62&lt;2),"",Fits!$B$63*$AE14+Fits!$B$64)</f>
        <v>-26.6091764802957</v>
      </c>
      <c r="AG14" s="21" t="n">
        <f aca="false">IF(OR($L14="",Fits!$B$69&lt;3),"",($L14-Fits!$B$71)/Fits!$B$70)</f>
        <v>81.0824929977755</v>
      </c>
      <c r="AH14" s="21" t="n">
        <f aca="false">IF(OR($P14="",Fits!$B$75&lt;3),"",($P14-Fits!$B$77)/Fits!$B$76)</f>
        <v>543.006538785287</v>
      </c>
      <c r="AI14" s="23" t="n">
        <f aca="false">IF(OR($AG14="",$G14="",$G14=0),"",$AG14/($G14*1000)*100)</f>
        <v>10.2896564717989</v>
      </c>
      <c r="AJ14" s="23" t="n">
        <f aca="false">IF(OR($AH14="",$G14="",$G14=0),"",$AH14/($G14*1000)*100)</f>
        <v>68.9094592367116</v>
      </c>
      <c r="AK14" s="23" t="n">
        <f aca="false">IF(OR($AG14="",$AH14="",$AG14&lt;=0),"",($AH14/Setup!$B$52)/($AG14/Setup!$B$53))</f>
        <v>7.80987221040947</v>
      </c>
      <c r="AL14" s="23" t="n">
        <f aca="false">IF(OR($AG14="",$AH14="",$AG14&lt;=0),"",$AH14/$AG14)</f>
        <v>6.69696402650304</v>
      </c>
      <c r="AM14" s="24" t="n">
        <f aca="false">IF($D14="Linearity",IF($L14="","",$L14),"")</f>
        <v>51.069</v>
      </c>
      <c r="AN14" s="24" t="n">
        <f aca="false">IF($D14="Linearity",IF($W14="","",$W14),"")</f>
        <v>-5.662</v>
      </c>
      <c r="AO14" s="24" t="n">
        <f aca="false">IF($D14="Linearity",IF($P14="","",$P14),"")</f>
        <v>240.154</v>
      </c>
      <c r="AP14" s="24" t="n">
        <f aca="false">IF($D14="Linearity",IF($AB14="","",$AB14),"")</f>
        <v>-9.352</v>
      </c>
      <c r="AQ14" s="9" t="str">
        <f aca="false">IF($D14="Drift",IF($A14&lt;IF(Setup!$B$14="",0,Setup!$B$14),"",$A14),"")</f>
        <v/>
      </c>
      <c r="AR14" s="9" t="str">
        <f aca="false">IF($D14="Drift",IF($A14&lt;IF(Setup!$B$14="",0,Setup!$B$14),"",IF($BI14="","",$BI14)),"")</f>
        <v/>
      </c>
      <c r="AS14" s="9" t="str">
        <f aca="false">IF($D14="Drift",IF($A14&lt;IF(Setup!$B$14="",0,Setup!$B$14),"",IF(OR($X14="",$BX14=1),"",$X14)),"")</f>
        <v/>
      </c>
      <c r="AT14" s="9" t="str">
        <f aca="false">IF($D14="Drift",IF($A14&lt;IF(Setup!$B$14="",0,Setup!$B$14),"",IF(OR($AC14="",$BY14=1),"",$AC14)),"")</f>
        <v/>
      </c>
      <c r="AU14" s="9" t="str">
        <f aca="false">IF($D14="Anchor",IF(OR($Z14="",$S14=""),"",$Z14),"")</f>
        <v/>
      </c>
      <c r="AV14" s="9" t="str">
        <f aca="false">IF($D14="Anchor",IF(OR($Z14="",$S14=""),"",$S14),"")</f>
        <v/>
      </c>
      <c r="AW14" s="9" t="str">
        <f aca="false">IF($D14="Anchor",IF(OR($AE14="",$T14=""),"",$AE14),"")</f>
        <v/>
      </c>
      <c r="AX14" s="9" t="str">
        <f aca="false">IF($D14="Anchor",IF(OR($AE14="",$T14=""),"",$T14),"")</f>
        <v/>
      </c>
      <c r="AY14" s="9" t="n">
        <f aca="false">IF(OR($D14="Blank",$D14="Exclude",$D14="Sample",$D14="",$G14="",$U14="",$L14=""),"",$G14*1000*$U14/100)</f>
        <v>81.6368</v>
      </c>
      <c r="AZ14" s="24" t="n">
        <f aca="false">IF($AY14="","",$L14)</f>
        <v>51.069</v>
      </c>
      <c r="BA14" s="9" t="n">
        <f aca="false">IF(OR($D14="Blank",$D14="Exclude",$D14="Sample",$D14="",$G14="",$V14="",$P14=""),"",$G14*1000*$V14/100)</f>
        <v>560.1892</v>
      </c>
      <c r="BB14" s="24" t="n">
        <f aca="false">IF($BA14="","",$P14)</f>
        <v>240.154</v>
      </c>
      <c r="BC14" s="9" t="str">
        <f aca="false">IF(AND($D14="Blank",$L14&lt;&gt;""),$O14,"")</f>
        <v/>
      </c>
      <c r="BD14" s="9" t="str">
        <f aca="false">IF($BC14="","",$L14)</f>
        <v/>
      </c>
      <c r="BE14" s="9" t="str">
        <f aca="false">IF(AND($D14="Blank",$P14&lt;&gt;""),$R14,"")</f>
        <v/>
      </c>
      <c r="BF14" s="9" t="str">
        <f aca="false">IF($BE14="","",$P14)</f>
        <v/>
      </c>
      <c r="BG14" s="9" t="str">
        <f aca="false">IF(AND($D14="Drift",$BX14&lt;&gt;1),IF($AA14="","",$AA14),"")</f>
        <v/>
      </c>
      <c r="BH14" s="9" t="str">
        <f aca="false">IF(AND($D14="Drift",$BY14&lt;&gt;1),IF($AF14="","",$AF14),"")</f>
        <v/>
      </c>
      <c r="BI14" s="20" t="n">
        <f aca="false">IF($B14="","",IFERROR(INDEX(Raw!$G$2:$G$1001,MATCH($A14&amp;"|N|"&amp;SUMPRODUCT(MAX((Raw!$A$2:$A$1001=$A14)*(Raw!$R$2:$R$1001="N")*(Raw!$I$2:$I$1001=1)*Raw!$D$2:$D$1001)),Raw!$S$2:$S$1001,0)),""))</f>
        <v>28.5</v>
      </c>
      <c r="BJ14" s="21" t="n">
        <f aca="false">IF(OR($BI14="",Fits!$B$85&lt;=0),"",($BI14-Fits!$B$83)/Fits!$B$85)</f>
        <v>0.486486486486486</v>
      </c>
      <c r="BK14" s="9" t="str">
        <f aca="false">IF($AS14="","",IF($A14&gt;=Fits!$B$86,"",$A14))</f>
        <v/>
      </c>
      <c r="BL14" s="9" t="str">
        <f aca="false">IF($BK14="","",$X14)</f>
        <v/>
      </c>
      <c r="BM14" s="9" t="str">
        <f aca="false">IF($AS14="","",IF($A14&lt;Fits!$B$86,"",$A14))</f>
        <v/>
      </c>
      <c r="BN14" s="9" t="str">
        <f aca="false">IF($BM14="","",$X14)</f>
        <v/>
      </c>
      <c r="BO14" s="9" t="str">
        <f aca="false">IF(AND($D14="Drift",$BX14&lt;&gt;1),IF($O14="","",$O14),"")</f>
        <v/>
      </c>
      <c r="BP14" s="9" t="str">
        <f aca="false">IF(AND($D14="Drift",$BX14&lt;&gt;1),IF($W14="","",$W14),"")</f>
        <v/>
      </c>
      <c r="BQ14" s="9" t="str">
        <f aca="false">IF(AND($D14="Drift",$BX14&lt;&gt;1),IF($X14="","",$X14),"")</f>
        <v/>
      </c>
      <c r="BR14" s="9" t="str">
        <f aca="false">IF(AND($D14="Drift",$BX14&lt;&gt;1),IF($Z14="","",$Z14),"")</f>
        <v/>
      </c>
      <c r="BS14" s="9" t="n">
        <f aca="false">IF(OR($B14="",$H14=""),"",SUMPRODUCT(MIN((Raw!$A$2:$A$1001=$A14)*(Raw!$R$2:$R$1001="N")*(Raw!$I$2:$I$1001=0)*(Raw!$D$2:$D$1001&lt;$H14)*Raw!$D$2:$D$1001+(1-(Raw!$A$2:$A$1001=$A14)*(Raw!$R$2:$R$1001="N")*(Raw!$I$2:$I$1001=0)*(Raw!$D$2:$D$1001&lt;$H14))*9999)))</f>
        <v>1</v>
      </c>
      <c r="BT14" s="16" t="n">
        <f aca="false">IF(OR($BS14="",$BS14=9999,$BS14=0),"",IFERROR(INDEX(Raw!$N$2:$N$1001,MATCH($A14&amp;"|N|"&amp;$BS14,Raw!$S$2:$S$1001,0)),""))</f>
        <v>-1.323</v>
      </c>
      <c r="BU14" s="9" t="n">
        <f aca="false">IF($B14="","",SUMPRODUCT(MIN((Raw!$A$2:$A$1001=$A14)*(Raw!$R$2:$R$1001="C")*(Raw!$I$2:$I$1001=1)*Raw!$D$2:$D$1001+(1-(Raw!$A$2:$A$1001=$A14)*(Raw!$R$2:$R$1001="C")*(Raw!$I$2:$I$1001=1))*9999)))</f>
        <v>5</v>
      </c>
      <c r="BV14" s="9" t="n">
        <f aca="false">IF(OR($BU14="",$BU14=9999),"",SUMPRODUCT(MIN((Raw!$A$2:$A$1001=$A14)*(Raw!$R$2:$R$1001="C")*(Raw!$I$2:$I$1001=0)*(Raw!$D$2:$D$1001&gt;$BU14)*Raw!$D$2:$D$1001+(1-(Raw!$A$2:$A$1001=$A14)*(Raw!$R$2:$R$1001="C")*(Raw!$I$2:$I$1001=0)*(Raw!$D$2:$D$1001&gt;$BU14))*9999)))</f>
        <v>6</v>
      </c>
      <c r="BW14" s="16" t="n">
        <f aca="false">IF(OR($BV14="",$BV14=9999,$BV14=0),"",IFERROR(INDEX(Raw!$O$2:$O$1001,MATCH($A14&amp;"|C|"&amp;$BV14,Raw!$S$2:$S$1001,0)),""))</f>
        <v>-25.316</v>
      </c>
      <c r="BX14" s="9" t="n">
        <f aca="false">IF($B14="","",IF(ISNUMBER(SEARCH(","&amp;$A14&amp;",",","&amp;SUBSTITUTE(Setup!$B$16," ","")&amp;",")),1,0))</f>
        <v>0</v>
      </c>
      <c r="BY14" s="9" t="n">
        <f aca="false">IF($B14="","",IF(ISNUMBER(SEARCH(","&amp;$A14&amp;",",","&amp;SUBSTITUTE(Setup!$B$17," ","")&amp;",")),1,0))</f>
        <v>0</v>
      </c>
      <c r="BZ14" s="22" t="str">
        <f aca="false">IF($AS14="","",IF(Fits!$B$38="Row",$AQ14,IF($AR14="","",$AR14)))</f>
        <v/>
      </c>
      <c r="CA14" s="22" t="str">
        <f aca="false">IF($AT14="","",IF(Fits!$B$50="Row",$AQ14,IF($AR14="","",$AR14)))</f>
        <v/>
      </c>
      <c r="CB14" s="20" t="str">
        <f aca="false">IF(OR($D14&lt;&gt;"Drift",$X14="",$A14&lt;IF(Setup!$B$14="",0,Setup!$B$14),Fits!$B$107&lt;3,Fits!$B$110="",Fits!$B$109=0,IF(Fits!$B$38="Row",$AQ14,$AR14)=""),"",IF($BX14=1,IF(OR(Fits!$B$111="",Fits!$B$111=0),"",($X14-(IF(Fits!$B$38="Row",Fits!$B$32,Fits!$B$35)*IF(Fits!$B$38="Row",$AQ14,$AR14)+Fits!$B$110))/(Fits!$B$111*SQRT(1+(1/Fits!$B$107+(IF(Fits!$B$38="Row",$AQ14,$AR14)-Fits!$B$108)^2/Fits!$B$109)))),IF(OR(Fits!$B$107&lt;4,(1/Fits!$B$107+(IF(Fits!$B$38="Row",$AQ14,$AR14)-Fits!$B$108)^2/Fits!$B$109)&gt;=1),"",IF((Fits!$B$116-($X14-(IF(Fits!$B$38="Row",Fits!$B$32,Fits!$B$35)*IF(Fits!$B$38="Row",$AQ14,$AR14)+Fits!$B$110))^2/(1-(1/Fits!$B$107+(IF(Fits!$B$38="Row",$AQ14,$AR14)-Fits!$B$108)^2/Fits!$B$109)))&lt;=0,"",($X14-(IF(Fits!$B$38="Row",Fits!$B$32,Fits!$B$35)*IF(Fits!$B$38="Row",$AQ14,$AR14)+Fits!$B$110))/(SQRT((Fits!$B$116-($X14-(IF(Fits!$B$38="Row",Fits!$B$32,Fits!$B$35)*IF(Fits!$B$38="Row",$AQ14,$AR14)+Fits!$B$110))^2/(1-(1/Fits!$B$107+(IF(Fits!$B$38="Row",$AQ14,$AR14)-Fits!$B$108)^2/Fits!$B$109)))/(Fits!$B$107-3))*SQRT(1-(1/Fits!$B$107+(IF(Fits!$B$38="Row",$AQ14,$AR14)-Fits!$B$108)^2/Fits!$B$109)))))))</f>
        <v/>
      </c>
      <c r="CC14" s="20" t="str">
        <f aca="false">IF(OR($D14&lt;&gt;"Drift",$AC14="",$A14&lt;IF(Setup!$B$14="",0,Setup!$B$14),Fits!$B$120&lt;3,Fits!$B$123="",Fits!$B$122=0,IF(Fits!$B$50="Row",$AQ14,$AR14)=""),"",IF($BY14=1,IF(OR(Fits!$B$124="",Fits!$B$124=0),"",($AC14-(IF(Fits!$B$50="Row",Fits!$B$44,Fits!$B$47)*IF(Fits!$B$50="Row",$AQ14,$AR14)+Fits!$B$123))/(Fits!$B$124*SQRT(1+(1/Fits!$B$120+(IF(Fits!$B$50="Row",$AQ14,$AR14)-Fits!$B$121)^2/Fits!$B$122)))),IF(OR(Fits!$B$120&lt;4,(1/Fits!$B$120+(IF(Fits!$B$50="Row",$AQ14,$AR14)-Fits!$B$121)^2/Fits!$B$122)&gt;=1),"",IF((Fits!$B$129-($AC14-(IF(Fits!$B$50="Row",Fits!$B$44,Fits!$B$47)*IF(Fits!$B$50="Row",$AQ14,$AR14)+Fits!$B$123))^2/(1-(1/Fits!$B$120+(IF(Fits!$B$50="Row",$AQ14,$AR14)-Fits!$B$121)^2/Fits!$B$122)))&lt;=0,"",($AC14-(IF(Fits!$B$50="Row",Fits!$B$44,Fits!$B$47)*IF(Fits!$B$50="Row",$AQ14,$AR14)+Fits!$B$123))/(SQRT((Fits!$B$129-($AC14-(IF(Fits!$B$50="Row",Fits!$B$44,Fits!$B$47)*IF(Fits!$B$50="Row",$AQ14,$AR14)+Fits!$B$123))^2/(1-(1/Fits!$B$120+(IF(Fits!$B$50="Row",$AQ14,$AR14)-Fits!$B$121)^2/Fits!$B$122)))/(Fits!$B$120-3))*SQRT(1-(1/Fits!$B$120+(IF(Fits!$B$50="Row",$AQ14,$AR14)-Fits!$B$121)^2/Fits!$B$122)))))))</f>
        <v/>
      </c>
      <c r="CD14" s="9" t="str">
        <f aca="false">IF($AU14="","",1)</f>
        <v/>
      </c>
      <c r="CE14" s="24" t="str">
        <f aca="false">IF($AU14="","",$AU14-Fits!$B$133)</f>
        <v/>
      </c>
      <c r="CF14" s="24" t="str">
        <f aca="false">IF($AU14="","",($AV14-(Fits!$B$56*$AU14+Fits!$B$57))-Fits!$B$56*($AU14-Fits!$B$133))</f>
        <v/>
      </c>
      <c r="CG14" s="25" t="str">
        <f aca="false">IF($AU14="","",$AU14^2)</f>
        <v/>
      </c>
      <c r="CH14" s="9" t="str">
        <f aca="false">IF($AW14="","",1)</f>
        <v/>
      </c>
      <c r="CI14" s="24" t="str">
        <f aca="false">IF($AW14="","",$AW14-Fits!$B$153)</f>
        <v/>
      </c>
      <c r="CJ14" s="24" t="str">
        <f aca="false">IF($AW14="","",($AX14-(Fits!$B$63*$AW14+Fits!$B$64))-Fits!$B$63*($AW14-Fits!$B$153))</f>
        <v/>
      </c>
      <c r="CK14" s="25" t="str">
        <f aca="false">IF($AW14="","",$AW14^2)</f>
        <v/>
      </c>
      <c r="CL14" s="26" t="n">
        <f aca="false">IF(OR($Z14="",Fits!$B$55&lt;3,Fits!$B$133="",Fits!$B$134="",Fits!$B$134=0,Fits!$B$136=""),"",SQRT((Fits!$B$136*Fits!$B$56)^2+SUMPRODUCT((Fits!$J$163:$J$175*(Fits!$B$163:$B$175/Fits!$B$55+Fits!$H$163:$H$175*($Z14-Fits!$B$133)/Fits!$B$134))^2)+SUMPRODUCT((Fits!$G$163:$G$175*(($Z14-Fits!$B$133)*Fits!$I$163:$I$175/Fits!$B$134-Fits!$B$163:$B$175*Fits!$B$56/Fits!$B$55))^2)))</f>
        <v>0.255477392993817</v>
      </c>
      <c r="CM14" s="26" t="n">
        <f aca="false">IF($CL14="","",Setup!$B$32*$CL14)</f>
        <v>0.510954785987634</v>
      </c>
      <c r="CN14" s="26" t="n">
        <f aca="false">IF(OR($AE14="",Fits!$B$62&lt;3,Fits!$B$153="",Fits!$B$154="",Fits!$B$154=0,Fits!$B$156=""),"",SQRT((Fits!$B$156*Fits!$B$63)^2+SUMPRODUCT((Fits!$J$183:$J$195*(Fits!$B$183:$B$195/Fits!$B$62+Fits!$H$183:$H$195*($AE14-Fits!$B$153)/Fits!$B$154))^2)+SUMPRODUCT((Fits!$G$183:$G$195*(($AE14-Fits!$B$153)*Fits!$I$183:$I$195/Fits!$B$154-Fits!$B$183:$B$195*Fits!$B$63/Fits!$B$62))^2)))</f>
        <v>0.0378854535155009</v>
      </c>
      <c r="CO14" s="26" t="n">
        <f aca="false">IF($CN14="","",Setup!$B$32*$CN14)</f>
        <v>0.0757709070310019</v>
      </c>
      <c r="CP14" s="9" t="n">
        <f aca="false">IF(OR(NOT(ISNUMBER($BJ14)),$EK14=1),$CP13,IF($BJ14&lt;=Setup!$B$26,$CP13+1,0))</f>
        <v>0</v>
      </c>
      <c r="CQ14" s="9" t="n">
        <f aca="false">IF($BT14="","",$A14)</f>
        <v>9</v>
      </c>
      <c r="CR14" s="9" t="n">
        <f aca="false">IF($BW14="","",$A14)</f>
        <v>9</v>
      </c>
      <c r="CS14" s="9" t="n">
        <f aca="false">IF($B14="","",IF(Setup!$A$37="",0,IF(ISNUMBER(SEARCH(Setup!$A$37,$B14)),37,0)))</f>
        <v>0</v>
      </c>
      <c r="CT14" s="9" t="n">
        <f aca="false">IF($B14="","",IF(Setup!$A$38="",0,IF(ISNUMBER(SEARCH(Setup!$A$38,$B14)),38,0)))</f>
        <v>0</v>
      </c>
      <c r="CU14" s="9" t="n">
        <f aca="false">IF($B14="","",IF(Setup!$A$39="",0,IF(ISNUMBER(SEARCH(Setup!$A$39,$B14)),39,0)))</f>
        <v>0</v>
      </c>
      <c r="CV14" s="9" t="n">
        <f aca="false">IF($B14="","",IF(Setup!$A$40="",0,IF(ISNUMBER(SEARCH(Setup!$A$40,$B14)),40,0)))</f>
        <v>0</v>
      </c>
      <c r="CW14" s="9" t="n">
        <f aca="false">IF($B14="","",IF(Setup!$A$41="",0,IF(ISNUMBER(SEARCH(Setup!$A$41,$B14)),41,0)))</f>
        <v>0</v>
      </c>
      <c r="CX14" s="9" t="n">
        <f aca="false">IF($B14="","",IF(Setup!$A$42="",0,IF(ISNUMBER(SEARCH(Setup!$A$42,$B14)),42,0)))</f>
        <v>42</v>
      </c>
      <c r="CY14" s="9" t="n">
        <f aca="false">IF($B14="","",IF(Setup!$A$43="",0,IF(ISNUMBER(SEARCH(Setup!$A$43,$B14)),43,0)))</f>
        <v>0</v>
      </c>
      <c r="CZ14" s="9" t="n">
        <f aca="false">IF($B14="","",IF(Setup!$A$44="",0,IF(ISNUMBER(SEARCH(Setup!$A$44,$B14)),44,0)))</f>
        <v>0</v>
      </c>
      <c r="DA14" s="9" t="n">
        <f aca="false">IF($B14="","",IF(Setup!$A$45="",0,IF(ISNUMBER(SEARCH(Setup!$A$45,$B14)),45,0)))</f>
        <v>0</v>
      </c>
      <c r="DB14" s="9" t="n">
        <f aca="false">IF($B14="","",IF(Setup!$A$46="",0,IF(ISNUMBER(SEARCH(Setup!$A$46,$B14)),46,0)))</f>
        <v>0</v>
      </c>
      <c r="DC14" s="9" t="n">
        <f aca="false">IF($B14="","",IF(Setup!$A$47="",0,IF(ISNUMBER(SEARCH(Setup!$A$47,$B14)),47,0)))</f>
        <v>0</v>
      </c>
      <c r="DD14" s="9" t="n">
        <f aca="false">IF($B14="","",IF(Setup!$A$48="",0,IF(ISNUMBER(SEARCH(Setup!$A$48,$B14)),48,0)))</f>
        <v>0</v>
      </c>
      <c r="DE14" s="9" t="n">
        <f aca="false">IF($B14="","",IF(Setup!$A$49="",0,IF(ISNUMBER(SEARCH(Setup!$A$49,$B14)),49,0)))</f>
        <v>0</v>
      </c>
      <c r="DF14" s="9" t="n">
        <f aca="false">IF($B14="",NA(),$A14)</f>
        <v>9</v>
      </c>
      <c r="DG14" s="22" t="n">
        <f aca="false">IF($BI14="",NA(),$BI14)</f>
        <v>28.5</v>
      </c>
      <c r="DH14" s="22" t="n">
        <f aca="false">IF($N14="",NA(),$N14)</f>
        <v>30.8</v>
      </c>
      <c r="DI14" s="9" t="e">
        <f aca="false">IF(AND($D14="Drift",$N14&lt;&gt;""),$N14,NA())</f>
        <v>#N/A</v>
      </c>
      <c r="DJ14" s="9" t="str">
        <f aca="false">IF(AND($D14="Drift",$N14&lt;&gt;""),$N14,"")</f>
        <v/>
      </c>
      <c r="DK14" s="9" t="str">
        <f aca="false">IF($DJ14="","",$A14)</f>
        <v/>
      </c>
      <c r="DL14" s="24" t="n">
        <f aca="false">IF($AN14="",NA(),$AM14)</f>
        <v>51.069</v>
      </c>
      <c r="DM14" s="24" t="n">
        <f aca="false">IF($AN14="",NA(),$AN14)</f>
        <v>-5.662</v>
      </c>
      <c r="DN14" s="9" t="e">
        <f aca="false">IF(AND($D14="Sample",$L14&lt;&gt;""),$L14,NA())</f>
        <v>#N/A</v>
      </c>
      <c r="DO14" s="9" t="e">
        <f aca="false">IF(AND($D14="Sample",$L14&lt;&gt;"",Fits!$B$98&lt;&gt;""),Fits!$B$98,NA())</f>
        <v>#N/A</v>
      </c>
      <c r="DP14" s="9" t="e">
        <f aca="false">IF($AS14="",NA(),$AS14)</f>
        <v>#N/A</v>
      </c>
      <c r="DQ14" s="9" t="e">
        <f aca="false">IF(AND($D14="Drift",$AS14="",$X14&lt;&gt;""),$X14,NA())</f>
        <v>#N/A</v>
      </c>
      <c r="DR14" s="9" t="e">
        <f aca="false">IF(AND($D14="Drift",$Z14&lt;&gt;""),$Z14,NA())</f>
        <v>#N/A</v>
      </c>
      <c r="DS14" s="9" t="e">
        <f aca="false">IF(AND(OR($D14="Sample",$D14="Check"),$AA14&lt;&gt;""),$AA14,NA())</f>
        <v>#N/A</v>
      </c>
      <c r="DT14" s="25" t="n">
        <f aca="false">IF(OR($B14="",Fits!$B$138=""),NA(),Fits!$B$138)</f>
        <v>1.76</v>
      </c>
      <c r="DU14" s="25" t="n">
        <f aca="false">IF(OR($B14="",Fits!$B$139=""),NA(),Fits!$B$139)</f>
        <v>20.68</v>
      </c>
      <c r="DV14" s="24" t="n">
        <f aca="false">IF($BT14="",NA(),$BT14)</f>
        <v>-1.323</v>
      </c>
      <c r="DW14" s="24" t="n">
        <f aca="false">IF($AP14="",NA(),$AO14)</f>
        <v>240.154</v>
      </c>
      <c r="DX14" s="24" t="n">
        <f aca="false">IF($AP14="",NA(),$AP14)</f>
        <v>-9.352</v>
      </c>
      <c r="DY14" s="9" t="e">
        <f aca="false">IF(AND($D14="Sample",$P14&lt;&gt;""),$P14,NA())</f>
        <v>#N/A</v>
      </c>
      <c r="DZ14" s="9" t="e">
        <f aca="false">IF(AND($D14="Sample",$P14&lt;&gt;"",Fits!$B$105&lt;&gt;""),Fits!$B$105,NA())</f>
        <v>#N/A</v>
      </c>
      <c r="EA14" s="9" t="e">
        <f aca="false">IF($AT14="",NA(),$AT14)</f>
        <v>#N/A</v>
      </c>
      <c r="EB14" s="9" t="e">
        <f aca="false">IF(AND($D14="Drift",$AT14="",$AC14&lt;&gt;""),$AC14,NA())</f>
        <v>#N/A</v>
      </c>
      <c r="EC14" s="9" t="e">
        <f aca="false">IF(AND($D14="Drift",$AE14&lt;&gt;""),$AE14,NA())</f>
        <v>#N/A</v>
      </c>
      <c r="ED14" s="9" t="e">
        <f aca="false">IF(AND(OR($D14="Sample",$D14="Check"),$AF14&lt;&gt;""),$AF14,NA())</f>
        <v>#N/A</v>
      </c>
      <c r="EE14" s="25" t="n">
        <f aca="false">IF(OR($B14="",Fits!$B$158=""),NA(),Fits!$B$158)</f>
        <v>-40.81</v>
      </c>
      <c r="EF14" s="25" t="n">
        <f aca="false">IF(OR($B14="",Fits!$B$159=""),NA(),Fits!$B$159)</f>
        <v>-20.29</v>
      </c>
      <c r="EG14" s="24" t="n">
        <f aca="false">IF($BW14="",NA(),$BW14)</f>
        <v>-25.316</v>
      </c>
      <c r="EH14" s="9" t="e">
        <f aca="false">IF(AND($EN14=1,ISNUMBER($N14)),$N14,NA())</f>
        <v>#N/A</v>
      </c>
      <c r="EI14" s="9" t="n">
        <f aca="false">IF($B14="","",$A14)</f>
        <v>9</v>
      </c>
      <c r="EJ14" s="9" t="n">
        <f aca="false">IF(OR(AND(ISNUMBER($L14),Fits!$B$97&gt;0,$L14&gt;Fits!$B$97),AND(ISNUMBER($P14),Fits!$B$104&gt;0,$P14&gt;Fits!$B$104)),1,0)</f>
        <v>0</v>
      </c>
      <c r="EK14" s="9" t="n">
        <f aca="false">IF(OR($EJ13=1,$EJ12=1),1,0)</f>
        <v>0</v>
      </c>
      <c r="EL14" s="22" t="n">
        <f aca="false">IF(AND($EK14=0,ISNUMBER($N14)),$N14,$EL13)</f>
        <v>30.8</v>
      </c>
      <c r="EM14" s="9" t="str">
        <f aca="false">IF(AND($EK14=1,ISNUMBER($N14),ISNUMBER($EL14)),$N14-$EL14,"")</f>
        <v/>
      </c>
      <c r="EN14" s="9" t="n">
        <f aca="false">IF(Setup!$B$28="",0,IF(ISNUMBER($EM14),IF($EM14&gt;Setup!$B$28,1,0),0))</f>
        <v>0</v>
      </c>
      <c r="EO14" s="9" t="str">
        <f aca="false">IF($EN14=1,COUNTIF($EN$6:$EN14,1),"")</f>
        <v/>
      </c>
      <c r="EP14" s="9" t="n">
        <f aca="false">IF(AND($EJ13=1,OR($D14="Sample",$D14="Check")),1,0)</f>
        <v>0</v>
      </c>
      <c r="EQ14" s="9" t="str">
        <f aca="false">IF(ISNUMBER($BI14),IF(COUNT($BI$6:$BI14)&lt;=5,$BI14,""),"")</f>
        <v/>
      </c>
      <c r="ER14" s="9" t="str">
        <f aca="false">IF(OR(NOT(ISNUMBER($BJ14)),$EK14=1),$ER13,IF($BJ14&lt;=Setup!$B$26,IF($CP13=0,$A14,$ER13),""))</f>
        <v/>
      </c>
    </row>
    <row r="15" customFormat="false" ht="15" hidden="false" customHeight="false" outlineLevel="0" collapsed="false">
      <c r="A15" s="8" t="n">
        <v>10</v>
      </c>
      <c r="B15" s="8" t="str">
        <f aca="false">IFERROR(INDEX(Raw!$B$2:$B$1001,MATCH($A15,Raw!$A$2:$A$1001,0)),"")</f>
        <v>Ace Drift1</v>
      </c>
      <c r="C15" s="9" t="n">
        <f aca="false">IF($B15="","",MAX($CS15:$DE15))</f>
        <v>43</v>
      </c>
      <c r="D15" s="8" t="str">
        <f aca="false">IF($B15="","",IF($C15=0,"Sample",INDEX(Setup!$B$37:$B$49,$C15-36)))</f>
        <v>Drift</v>
      </c>
      <c r="E15" s="16" t="n">
        <f aca="false">IF($B15="","",IFERROR(IF(INDEX(Raw!$E$2:$E$1001,MATCH($A15,Raw!$A$2:$A$1001,0))=0,"",INDEX(Raw!$E$2:$E$1001,MATCH($A15,Raw!$A$2:$A$1001,0))),""))</f>
        <v>0.4</v>
      </c>
      <c r="F15" s="18"/>
      <c r="G15" s="16" t="n">
        <f aca="false">IF($B15="","",IF($F15&lt;&gt;"",$F15,IF($E15="","",$E15)))</f>
        <v>0.4</v>
      </c>
      <c r="H15" s="9" t="n">
        <f aca="false">IF($B15="","",SUMPRODUCT(MAX((Raw!$A$2:$A$1001=$A15)*(Raw!$R$2:$R$1001="N")*Raw!$D$2:$D$1001)))</f>
        <v>3</v>
      </c>
      <c r="I15" s="9" t="str">
        <f aca="false">IF(OR($H15="",$H15=0),"",$A15&amp;"|N|"&amp;$H15)</f>
        <v>10|N|3</v>
      </c>
      <c r="J15" s="9" t="n">
        <f aca="false">IF($B15="","",SUMPRODUCT(MIN((Raw!$A$2:$A$1001=$A15)*(Raw!$R$2:$R$1001="C")*Raw!$D$2:$D$1001+(1-(Raw!$A$2:$A$1001=$A15)*(Raw!$R$2:$R$1001="C"))*9999)))</f>
        <v>4</v>
      </c>
      <c r="K15" s="9" t="str">
        <f aca="false">IF(OR($J15="",$J15=0,$J15=9999),"",$A15&amp;"|C|"&amp;$J15)</f>
        <v>10|C|4</v>
      </c>
      <c r="L15" s="16" t="n">
        <f aca="false">IF($I15="","",IF(INDEX(Raw!$I$2:$I$1001,MATCH($I15,Raw!$S$2:$S$1001,0))&lt;&gt;0,"",INDEX(Raw!$H$2:$H$1001,MATCH($I15,Raw!$S$2:$S$1001,0))))</f>
        <v>26.4</v>
      </c>
      <c r="M15" s="19" t="n">
        <f aca="false">IF($I15="","",IF(INDEX(Raw!$I$2:$I$1001,MATCH($I15,Raw!$S$2:$S$1001,0))&lt;&gt;0,"",INDEX(Raw!$F$2:$F$1001,MATCH($I15,Raw!$S$2:$S$1001,0))))</f>
        <v>1514</v>
      </c>
      <c r="N15" s="20" t="n">
        <f aca="false">IF($I15="","",IF(INDEX(Raw!$I$2:$I$1001,MATCH($I15,Raw!$S$2:$S$1001,0))&lt;&gt;0,"",INDEX(Raw!$G$2:$G$1001,MATCH($I15,Raw!$S$2:$S$1001,0))))</f>
        <v>30.3</v>
      </c>
      <c r="O15" s="16" t="n">
        <f aca="false">IF($I15="","",IF(INDEX(Raw!$I$2:$I$1001,MATCH($I15,Raw!$S$2:$S$1001,0))&lt;&gt;0,"",INDEX(Raw!$N$2:$N$1001,MATCH($I15,Raw!$S$2:$S$1001,0))))</f>
        <v>-5.523</v>
      </c>
      <c r="P15" s="16" t="n">
        <f aca="false">IF($K15="","",IF(INDEX(Raw!$I$2:$I$1001,MATCH($K15,Raw!$S$2:$S$1001,0))&lt;&gt;0,"",INDEX(Raw!$K$2:$K$1001,MATCH($K15,Raw!$S$2:$S$1001,0))))</f>
        <v>125.163</v>
      </c>
      <c r="Q15" s="19" t="n">
        <f aca="false">IF($K15="","",IF(INDEX(Raw!$I$2:$I$1001,MATCH($K15,Raw!$S$2:$S$1001,0))&lt;&gt;0,"",INDEX(Raw!$J$2:$J$1001,MATCH($K15,Raw!$S$2:$S$1001,0))))</f>
        <v>5679</v>
      </c>
      <c r="R15" s="16" t="n">
        <f aca="false">IF($K15="","",IF(INDEX(Raw!$I$2:$I$1001,MATCH($K15,Raw!$S$2:$S$1001,0))&lt;&gt;0,"",INDEX(Raw!$O$2:$O$1001,MATCH($K15,Raw!$S$2:$S$1001,0))))</f>
        <v>-9.552</v>
      </c>
      <c r="S15" s="21" t="str">
        <f aca="false">IF($B15="","",IF($C15=0,"",IF(INDEX(Setup!$D$37:$D$49,$C15-36)="","",INDEX(Setup!$D$37:$D$49,$C15-36))))</f>
        <v/>
      </c>
      <c r="T15" s="21" t="str">
        <f aca="false">IF($B15="","",IF($C15=0,"",IF(INDEX(Setup!$C$37:$C$49,$C15-36)="","",INDEX(Setup!$C$37:$C$49,$C15-36))))</f>
        <v/>
      </c>
      <c r="U15" s="21" t="n">
        <f aca="false">IF($B15="","",IF($C15=0,"",IF(INDEX(Setup!$F$37:$F$49,$C15-36)="","",INDEX(Setup!$F$37:$F$49,$C15-36))))</f>
        <v>10.36</v>
      </c>
      <c r="V15" s="21" t="n">
        <f aca="false">IF($B15="","",IF($C15=0,"",IF(INDEX(Setup!$E$37:$E$49,$C15-36)="","",INDEX(Setup!$E$37:$E$49,$C15-36))))</f>
        <v>71.09</v>
      </c>
      <c r="W15" s="16" t="n">
        <f aca="false">IF($O15="","",IF(OR(Fits!$C$5&lt;&gt;"Yes",$D15="Blank",$L15&lt;=Fits!$B$6),$O15,($L15*$O15-Fits!$B$6*Fits!$B$7)/($L15-Fits!$B$6)))</f>
        <v>-5.523</v>
      </c>
      <c r="X15" s="16" t="n">
        <f aca="false">IF($W15="","",$W15-Fits!$B$20*($L15-Fits!$B$16))</f>
        <v>-5.523</v>
      </c>
      <c r="Y15" s="22" t="n">
        <f aca="false">IF($W15="","",IF(OR(Fits!$B$38="Row",$BI15=""),$A15,$BI15))</f>
        <v>10</v>
      </c>
      <c r="Z15" s="16" t="n">
        <f aca="false">IF($X15="","",$X15-Fits!$B$39*($Y15-Fits!$B$40))</f>
        <v>-5.87369954986828</v>
      </c>
      <c r="AA15" s="23" t="n">
        <f aca="false">IF(OR($Z15="",Fits!$B$55&lt;2),"",Fits!$B$56*$Z15+Fits!$B$57)</f>
        <v>-5.00265759762402</v>
      </c>
      <c r="AB15" s="16" t="n">
        <f aca="false">IF($R15="","",IF(OR(Fits!$C$9&lt;&gt;"Yes",$D15="Blank",$P15&lt;=Fits!$B$10),$R15,($P15*$R15-Fits!$B$10*Fits!$B$11)/($P15-Fits!$B$10)))</f>
        <v>-9.552</v>
      </c>
      <c r="AC15" s="16" t="n">
        <f aca="false">IF($AB15="","",$AB15-Fits!$B$28*($P15-Fits!$B$24))</f>
        <v>-9.54784053144367</v>
      </c>
      <c r="AD15" s="22" t="n">
        <f aca="false">IF($AB15="","",IF(OR(Fits!$B$50="Row",$BI15=""),$A15,$BI15))</f>
        <v>10</v>
      </c>
      <c r="AE15" s="16" t="n">
        <f aca="false">IF($AC15="","",$AC15-Fits!$B$51*($AD15-Fits!$B$52))</f>
        <v>-9.48609598083839</v>
      </c>
      <c r="AF15" s="23" t="n">
        <f aca="false">IF(OR($AE15="",Fits!$B$62&lt;2),"",Fits!$B$63*$AE15+Fits!$B$64)</f>
        <v>-26.6125707484483</v>
      </c>
      <c r="AG15" s="21" t="n">
        <f aca="false">IF(OR($L15="",Fits!$B$69&lt;3),"",($L15-Fits!$B$71)/Fits!$B$70)</f>
        <v>40.3315652027011</v>
      </c>
      <c r="AH15" s="21" t="n">
        <f aca="false">IF(OR($P15="",Fits!$B$75&lt;3),"",($P15-Fits!$B$77)/Fits!$B$76)</f>
        <v>281.096858238062</v>
      </c>
      <c r="AI15" s="23" t="n">
        <f aca="false">IF(OR($AG15="",$G15="",$G15=0),"",$AG15/($G15*1000)*100)</f>
        <v>10.0828913006753</v>
      </c>
      <c r="AJ15" s="23" t="n">
        <f aca="false">IF(OR($AH15="",$G15="",$G15=0),"",$AH15/($G15*1000)*100)</f>
        <v>70.2742145595156</v>
      </c>
      <c r="AK15" s="23" t="n">
        <f aca="false">IF(OR($AG15="",$AH15="",$AG15&lt;=0),"",($AH15/Setup!$B$52)/($AG15/Setup!$B$53))</f>
        <v>8.12787239473654</v>
      </c>
      <c r="AL15" s="23" t="n">
        <f aca="false">IF(OR($AG15="",$AH15="",$AG15&lt;=0),"",$AH15/$AG15)</f>
        <v>6.96964912780614</v>
      </c>
      <c r="AM15" s="9" t="str">
        <f aca="false">IF($D15="Linearity",IF($L15="","",$L15),"")</f>
        <v/>
      </c>
      <c r="AN15" s="9" t="str">
        <f aca="false">IF($D15="Linearity",IF($W15="","",$W15),"")</f>
        <v/>
      </c>
      <c r="AO15" s="9" t="str">
        <f aca="false">IF($D15="Linearity",IF($P15="","",$P15),"")</f>
        <v/>
      </c>
      <c r="AP15" s="9" t="str">
        <f aca="false">IF($D15="Linearity",IF($AB15="","",$AB15),"")</f>
        <v/>
      </c>
      <c r="AQ15" s="9" t="n">
        <f aca="false">IF($D15="Drift",IF($A15&lt;IF(Setup!$B$14="",0,Setup!$B$14),"",$A15),"")</f>
        <v>10</v>
      </c>
      <c r="AR15" s="22" t="n">
        <f aca="false">IF($D15="Drift",IF($A15&lt;IF(Setup!$B$14="",0,Setup!$B$14),"",IF($BI15="","",$BI15)),"")</f>
        <v>28.1</v>
      </c>
      <c r="AS15" s="24" t="n">
        <f aca="false">IF($D15="Drift",IF($A15&lt;IF(Setup!$B$14="",0,Setup!$B$14),"",IF(OR($X15="",$BX15=1),"",$X15)),"")</f>
        <v>-5.523</v>
      </c>
      <c r="AT15" s="24" t="n">
        <f aca="false">IF($D15="Drift",IF($A15&lt;IF(Setup!$B$14="",0,Setup!$B$14),"",IF(OR($AC15="",$BY15=1),"",$AC15)),"")</f>
        <v>-9.54784053144367</v>
      </c>
      <c r="AU15" s="9" t="str">
        <f aca="false">IF($D15="Anchor",IF(OR($Z15="",$S15=""),"",$Z15),"")</f>
        <v/>
      </c>
      <c r="AV15" s="9" t="str">
        <f aca="false">IF($D15="Anchor",IF(OR($Z15="",$S15=""),"",$S15),"")</f>
        <v/>
      </c>
      <c r="AW15" s="9" t="str">
        <f aca="false">IF($D15="Anchor",IF(OR($AE15="",$T15=""),"",$AE15),"")</f>
        <v/>
      </c>
      <c r="AX15" s="9" t="str">
        <f aca="false">IF($D15="Anchor",IF(OR($AE15="",$T15=""),"",$T15),"")</f>
        <v/>
      </c>
      <c r="AY15" s="9" t="n">
        <f aca="false">IF(OR($D15="Blank",$D15="Exclude",$D15="Sample",$D15="",$G15="",$U15="",$L15=""),"",$G15*1000*$U15/100)</f>
        <v>41.44</v>
      </c>
      <c r="AZ15" s="24" t="n">
        <f aca="false">IF($AY15="","",$L15)</f>
        <v>26.4</v>
      </c>
      <c r="BA15" s="9" t="n">
        <f aca="false">IF(OR($D15="Blank",$D15="Exclude",$D15="Sample",$D15="",$G15="",$V15="",$P15=""),"",$G15*1000*$V15/100)</f>
        <v>284.36</v>
      </c>
      <c r="BB15" s="24" t="n">
        <f aca="false">IF($BA15="","",$P15)</f>
        <v>125.163</v>
      </c>
      <c r="BC15" s="9" t="str">
        <f aca="false">IF(AND($D15="Blank",$L15&lt;&gt;""),$O15,"")</f>
        <v/>
      </c>
      <c r="BD15" s="9" t="str">
        <f aca="false">IF($BC15="","",$L15)</f>
        <v/>
      </c>
      <c r="BE15" s="9" t="str">
        <f aca="false">IF(AND($D15="Blank",$P15&lt;&gt;""),$R15,"")</f>
        <v/>
      </c>
      <c r="BF15" s="9" t="str">
        <f aca="false">IF($BE15="","",$P15)</f>
        <v/>
      </c>
      <c r="BG15" s="25" t="n">
        <f aca="false">IF(AND($D15="Drift",$BX15&lt;&gt;1),IF($AA15="","",$AA15),"")</f>
        <v>-5.00265759762402</v>
      </c>
      <c r="BH15" s="25" t="n">
        <f aca="false">IF(AND($D15="Drift",$BY15&lt;&gt;1),IF($AF15="","",$AF15),"")</f>
        <v>-26.6125707484483</v>
      </c>
      <c r="BI15" s="20" t="n">
        <f aca="false">IF($B15="","",IFERROR(INDEX(Raw!$G$2:$G$1001,MATCH($A15&amp;"|N|"&amp;SUMPRODUCT(MAX((Raw!$A$2:$A$1001=$A15)*(Raw!$R$2:$R$1001="N")*(Raw!$I$2:$I$1001=1)*Raw!$D$2:$D$1001)),Raw!$S$2:$S$1001,0)),""))</f>
        <v>28.1</v>
      </c>
      <c r="BJ15" s="21" t="n">
        <f aca="false">IF(OR($BI15="",Fits!$B$85&lt;=0),"",($BI15-Fits!$B$83)/Fits!$B$85)</f>
        <v>0.45045045045045</v>
      </c>
      <c r="BK15" s="9" t="n">
        <f aca="false">IF($AS15="","",IF($A15&gt;=Fits!$B$86,"",$A15))</f>
        <v>10</v>
      </c>
      <c r="BL15" s="24" t="n">
        <f aca="false">IF($BK15="","",$X15)</f>
        <v>-5.523</v>
      </c>
      <c r="BM15" s="9" t="str">
        <f aca="false">IF($AS15="","",IF($A15&lt;Fits!$B$86,"",$A15))</f>
        <v/>
      </c>
      <c r="BN15" s="9" t="str">
        <f aca="false">IF($BM15="","",$X15)</f>
        <v/>
      </c>
      <c r="BO15" s="24" t="n">
        <f aca="false">IF(AND($D15="Drift",$BX15&lt;&gt;1),IF($O15="","",$O15),"")</f>
        <v>-5.523</v>
      </c>
      <c r="BP15" s="24" t="n">
        <f aca="false">IF(AND($D15="Drift",$BX15&lt;&gt;1),IF($W15="","",$W15),"")</f>
        <v>-5.523</v>
      </c>
      <c r="BQ15" s="24" t="n">
        <f aca="false">IF(AND($D15="Drift",$BX15&lt;&gt;1),IF($X15="","",$X15),"")</f>
        <v>-5.523</v>
      </c>
      <c r="BR15" s="24" t="n">
        <f aca="false">IF(AND($D15="Drift",$BX15&lt;&gt;1),IF($Z15="","",$Z15),"")</f>
        <v>-5.87369954986828</v>
      </c>
      <c r="BS15" s="9" t="n">
        <f aca="false">IF(OR($B15="",$H15=""),"",SUMPRODUCT(MIN((Raw!$A$2:$A$1001=$A15)*(Raw!$R$2:$R$1001="N")*(Raw!$I$2:$I$1001=0)*(Raw!$D$2:$D$1001&lt;$H15)*Raw!$D$2:$D$1001+(1-(Raw!$A$2:$A$1001=$A15)*(Raw!$R$2:$R$1001="N")*(Raw!$I$2:$I$1001=0)*(Raw!$D$2:$D$1001&lt;$H15))*9999)))</f>
        <v>1</v>
      </c>
      <c r="BT15" s="16" t="n">
        <f aca="false">IF(OR($BS15="",$BS15=9999,$BS15=0),"",IFERROR(INDEX(Raw!$N$2:$N$1001,MATCH($A15&amp;"|N|"&amp;$BS15,Raw!$S$2:$S$1001,0)),""))</f>
        <v>-1.284</v>
      </c>
      <c r="BU15" s="9" t="n">
        <f aca="false">IF($B15="","",SUMPRODUCT(MIN((Raw!$A$2:$A$1001=$A15)*(Raw!$R$2:$R$1001="C")*(Raw!$I$2:$I$1001=1)*Raw!$D$2:$D$1001+(1-(Raw!$A$2:$A$1001=$A15)*(Raw!$R$2:$R$1001="C")*(Raw!$I$2:$I$1001=1))*9999)))</f>
        <v>5</v>
      </c>
      <c r="BV15" s="9" t="n">
        <f aca="false">IF(OR($BU15="",$BU15=9999),"",SUMPRODUCT(MIN((Raw!$A$2:$A$1001=$A15)*(Raw!$R$2:$R$1001="C")*(Raw!$I$2:$I$1001=0)*(Raw!$D$2:$D$1001&gt;$BU15)*Raw!$D$2:$D$1001+(1-(Raw!$A$2:$A$1001=$A15)*(Raw!$R$2:$R$1001="C")*(Raw!$I$2:$I$1001=0)*(Raw!$D$2:$D$1001&gt;$BU15))*9999)))</f>
        <v>6</v>
      </c>
      <c r="BW15" s="16" t="n">
        <f aca="false">IF(OR($BV15="",$BV15=9999,$BV15=0),"",IFERROR(INDEX(Raw!$O$2:$O$1001,MATCH($A15&amp;"|C|"&amp;$BV15,Raw!$S$2:$S$1001,0)),""))</f>
        <v>-25.36</v>
      </c>
      <c r="BX15" s="9" t="n">
        <f aca="false">IF($B15="","",IF(ISNUMBER(SEARCH(","&amp;$A15&amp;",",","&amp;SUBSTITUTE(Setup!$B$16," ","")&amp;",")),1,0))</f>
        <v>0</v>
      </c>
      <c r="BY15" s="9" t="n">
        <f aca="false">IF($B15="","",IF(ISNUMBER(SEARCH(","&amp;$A15&amp;",",","&amp;SUBSTITUTE(Setup!$B$17," ","")&amp;",")),1,0))</f>
        <v>0</v>
      </c>
      <c r="BZ15" s="22" t="n">
        <f aca="false">IF($AS15="","",IF(Fits!$B$38="Row",$AQ15,IF($AR15="","",$AR15)))</f>
        <v>10</v>
      </c>
      <c r="CA15" s="22" t="n">
        <f aca="false">IF($AT15="","",IF(Fits!$B$50="Row",$AQ15,IF($AR15="","",$AR15)))</f>
        <v>10</v>
      </c>
      <c r="CB15" s="20" t="n">
        <f aca="false">IF(OR($D15&lt;&gt;"Drift",$X15="",$A15&lt;IF(Setup!$B$14="",0,Setup!$B$14),Fits!$B$107&lt;3,Fits!$B$110="",Fits!$B$109=0,IF(Fits!$B$38="Row",$AQ15,$AR15)=""),"",IF($BX15=1,IF(OR(Fits!$B$111="",Fits!$B$111=0),"",($X15-(IF(Fits!$B$38="Row",Fits!$B$32,Fits!$B$35)*IF(Fits!$B$38="Row",$AQ15,$AR15)+Fits!$B$110))/(Fits!$B$111*SQRT(1+(1/Fits!$B$107+(IF(Fits!$B$38="Row",$AQ15,$AR15)-Fits!$B$108)^2/Fits!$B$109)))),IF(OR(Fits!$B$107&lt;4,(1/Fits!$B$107+(IF(Fits!$B$38="Row",$AQ15,$AR15)-Fits!$B$108)^2/Fits!$B$109)&gt;=1),"",IF((Fits!$B$116-($X15-(IF(Fits!$B$38="Row",Fits!$B$32,Fits!$B$35)*IF(Fits!$B$38="Row",$AQ15,$AR15)+Fits!$B$110))^2/(1-(1/Fits!$B$107+(IF(Fits!$B$38="Row",$AQ15,$AR15)-Fits!$B$108)^2/Fits!$B$109)))&lt;=0,"",($X15-(IF(Fits!$B$38="Row",Fits!$B$32,Fits!$B$35)*IF(Fits!$B$38="Row",$AQ15,$AR15)+Fits!$B$110))/(SQRT((Fits!$B$116-($X15-(IF(Fits!$B$38="Row",Fits!$B$32,Fits!$B$35)*IF(Fits!$B$38="Row",$AQ15,$AR15)+Fits!$B$110))^2/(1-(1/Fits!$B$107+(IF(Fits!$B$38="Row",$AQ15,$AR15)-Fits!$B$108)^2/Fits!$B$109)))/(Fits!$B$107-3))*SQRT(1-(1/Fits!$B$107+(IF(Fits!$B$38="Row",$AQ15,$AR15)-Fits!$B$108)^2/Fits!$B$109)))))))</f>
        <v>2.19514391015055</v>
      </c>
      <c r="CC15" s="20" t="n">
        <f aca="false">IF(OR($D15&lt;&gt;"Drift",$AC15="",$A15&lt;IF(Setup!$B$14="",0,Setup!$B$14),Fits!$B$120&lt;3,Fits!$B$123="",Fits!$B$122=0,IF(Fits!$B$50="Row",$AQ15,$AR15)=""),"",IF($BY15=1,IF(OR(Fits!$B$124="",Fits!$B$124=0),"",($AC15-(IF(Fits!$B$50="Row",Fits!$B$44,Fits!$B$47)*IF(Fits!$B$50="Row",$AQ15,$AR15)+Fits!$B$123))/(Fits!$B$124*SQRT(1+(1/Fits!$B$120+(IF(Fits!$B$50="Row",$AQ15,$AR15)-Fits!$B$121)^2/Fits!$B$122)))),IF(OR(Fits!$B$120&lt;4,(1/Fits!$B$120+(IF(Fits!$B$50="Row",$AQ15,$AR15)-Fits!$B$121)^2/Fits!$B$122)&gt;=1),"",IF((Fits!$B$129-($AC15-(IF(Fits!$B$50="Row",Fits!$B$44,Fits!$B$47)*IF(Fits!$B$50="Row",$AQ15,$AR15)+Fits!$B$123))^2/(1-(1/Fits!$B$120+(IF(Fits!$B$50="Row",$AQ15,$AR15)-Fits!$B$121)^2/Fits!$B$122)))&lt;=0,"",($AC15-(IF(Fits!$B$50="Row",Fits!$B$44,Fits!$B$47)*IF(Fits!$B$50="Row",$AQ15,$AR15)+Fits!$B$123))/(SQRT((Fits!$B$129-($AC15-(IF(Fits!$B$50="Row",Fits!$B$44,Fits!$B$47)*IF(Fits!$B$50="Row",$AQ15,$AR15)+Fits!$B$123))^2/(1-(1/Fits!$B$120+(IF(Fits!$B$50="Row",$AQ15,$AR15)-Fits!$B$121)^2/Fits!$B$122)))/(Fits!$B$120-3))*SQRT(1-(1/Fits!$B$120+(IF(Fits!$B$50="Row",$AQ15,$AR15)-Fits!$B$121)^2/Fits!$B$122)))))))</f>
        <v>-0.178495840491667</v>
      </c>
      <c r="CD15" s="9" t="str">
        <f aca="false">IF($AU15="","",1)</f>
        <v/>
      </c>
      <c r="CE15" s="24" t="str">
        <f aca="false">IF($AU15="","",$AU15-Fits!$B$133)</f>
        <v/>
      </c>
      <c r="CF15" s="24" t="str">
        <f aca="false">IF($AU15="","",($AV15-(Fits!$B$56*$AU15+Fits!$B$57))-Fits!$B$56*($AU15-Fits!$B$133))</f>
        <v/>
      </c>
      <c r="CG15" s="25" t="str">
        <f aca="false">IF($AU15="","",$AU15^2)</f>
        <v/>
      </c>
      <c r="CH15" s="9" t="str">
        <f aca="false">IF($AW15="","",1)</f>
        <v/>
      </c>
      <c r="CI15" s="24" t="str">
        <f aca="false">IF($AW15="","",$AW15-Fits!$B$153)</f>
        <v/>
      </c>
      <c r="CJ15" s="24" t="str">
        <f aca="false">IF($AW15="","",($AX15-(Fits!$B$63*$AW15+Fits!$B$64))-Fits!$B$63*($AW15-Fits!$B$153))</f>
        <v/>
      </c>
      <c r="CK15" s="25" t="str">
        <f aca="false">IF($AW15="","",$AW15^2)</f>
        <v/>
      </c>
      <c r="CL15" s="26" t="n">
        <f aca="false">IF(OR($Z15="",Fits!$B$55&lt;3,Fits!$B$133="",Fits!$B$134="",Fits!$B$134=0,Fits!$B$136=""),"",SQRT((Fits!$B$136*Fits!$B$56)^2+SUMPRODUCT((Fits!$J$163:$J$175*(Fits!$B$163:$B$175/Fits!$B$55+Fits!$H$163:$H$175*($Z15-Fits!$B$133)/Fits!$B$134))^2)+SUMPRODUCT((Fits!$G$163:$G$175*(($Z15-Fits!$B$133)*Fits!$I$163:$I$175/Fits!$B$134-Fits!$B$163:$B$175*Fits!$B$56/Fits!$B$55))^2)))</f>
        <v>0.254558632217453</v>
      </c>
      <c r="CM15" s="26" t="n">
        <f aca="false">IF($CL15="","",Setup!$B$32*$CL15)</f>
        <v>0.509117264434906</v>
      </c>
      <c r="CN15" s="26" t="n">
        <f aca="false">IF(OR($AE15="",Fits!$B$62&lt;3,Fits!$B$153="",Fits!$B$154="",Fits!$B$154=0,Fits!$B$156=""),"",SQRT((Fits!$B$156*Fits!$B$63)^2+SUMPRODUCT((Fits!$J$183:$J$195*(Fits!$B$183:$B$195/Fits!$B$62+Fits!$H$183:$H$195*($AE15-Fits!$B$153)/Fits!$B$154))^2)+SUMPRODUCT((Fits!$G$183:$G$195*(($AE15-Fits!$B$153)*Fits!$I$183:$I$195/Fits!$B$154-Fits!$B$183:$B$195*Fits!$B$63/Fits!$B$62))^2)))</f>
        <v>0.03788252944442</v>
      </c>
      <c r="CO15" s="26" t="n">
        <f aca="false">IF($CN15="","",Setup!$B$32*$CN15)</f>
        <v>0.07576505888884</v>
      </c>
      <c r="CP15" s="9" t="n">
        <f aca="false">IF(OR(NOT(ISNUMBER($BJ15)),$EK15=1),$CP14,IF($BJ15&lt;=Setup!$B$26,$CP14+1,0))</f>
        <v>0</v>
      </c>
      <c r="CQ15" s="9" t="n">
        <f aca="false">IF($BT15="","",$A15)</f>
        <v>10</v>
      </c>
      <c r="CR15" s="9" t="n">
        <f aca="false">IF($BW15="","",$A15)</f>
        <v>10</v>
      </c>
      <c r="CS15" s="9" t="n">
        <f aca="false">IF($B15="","",IF(Setup!$A$37="",0,IF(ISNUMBER(SEARCH(Setup!$A$37,$B15)),37,0)))</f>
        <v>0</v>
      </c>
      <c r="CT15" s="9" t="n">
        <f aca="false">IF($B15="","",IF(Setup!$A$38="",0,IF(ISNUMBER(SEARCH(Setup!$A$38,$B15)),38,0)))</f>
        <v>0</v>
      </c>
      <c r="CU15" s="9" t="n">
        <f aca="false">IF($B15="","",IF(Setup!$A$39="",0,IF(ISNUMBER(SEARCH(Setup!$A$39,$B15)),39,0)))</f>
        <v>0</v>
      </c>
      <c r="CV15" s="9" t="n">
        <f aca="false">IF($B15="","",IF(Setup!$A$40="",0,IF(ISNUMBER(SEARCH(Setup!$A$40,$B15)),40,0)))</f>
        <v>0</v>
      </c>
      <c r="CW15" s="9" t="n">
        <f aca="false">IF($B15="","",IF(Setup!$A$41="",0,IF(ISNUMBER(SEARCH(Setup!$A$41,$B15)),41,0)))</f>
        <v>0</v>
      </c>
      <c r="CX15" s="9" t="n">
        <f aca="false">IF($B15="","",IF(Setup!$A$42="",0,IF(ISNUMBER(SEARCH(Setup!$A$42,$B15)),42,0)))</f>
        <v>0</v>
      </c>
      <c r="CY15" s="9" t="n">
        <f aca="false">IF($B15="","",IF(Setup!$A$43="",0,IF(ISNUMBER(SEARCH(Setup!$A$43,$B15)),43,0)))</f>
        <v>43</v>
      </c>
      <c r="CZ15" s="9" t="n">
        <f aca="false">IF($B15="","",IF(Setup!$A$44="",0,IF(ISNUMBER(SEARCH(Setup!$A$44,$B15)),44,0)))</f>
        <v>0</v>
      </c>
      <c r="DA15" s="9" t="n">
        <f aca="false">IF($B15="","",IF(Setup!$A$45="",0,IF(ISNUMBER(SEARCH(Setup!$A$45,$B15)),45,0)))</f>
        <v>0</v>
      </c>
      <c r="DB15" s="9" t="n">
        <f aca="false">IF($B15="","",IF(Setup!$A$46="",0,IF(ISNUMBER(SEARCH(Setup!$A$46,$B15)),46,0)))</f>
        <v>0</v>
      </c>
      <c r="DC15" s="9" t="n">
        <f aca="false">IF($B15="","",IF(Setup!$A$47="",0,IF(ISNUMBER(SEARCH(Setup!$A$47,$B15)),47,0)))</f>
        <v>0</v>
      </c>
      <c r="DD15" s="9" t="n">
        <f aca="false">IF($B15="","",IF(Setup!$A$48="",0,IF(ISNUMBER(SEARCH(Setup!$A$48,$B15)),48,0)))</f>
        <v>0</v>
      </c>
      <c r="DE15" s="9" t="n">
        <f aca="false">IF($B15="","",IF(Setup!$A$49="",0,IF(ISNUMBER(SEARCH(Setup!$A$49,$B15)),49,0)))</f>
        <v>0</v>
      </c>
      <c r="DF15" s="9" t="n">
        <f aca="false">IF($B15="",NA(),$A15)</f>
        <v>10</v>
      </c>
      <c r="DG15" s="22" t="n">
        <f aca="false">IF($BI15="",NA(),$BI15)</f>
        <v>28.1</v>
      </c>
      <c r="DH15" s="22" t="n">
        <f aca="false">IF($N15="",NA(),$N15)</f>
        <v>30.3</v>
      </c>
      <c r="DI15" s="22" t="n">
        <f aca="false">IF(AND($D15="Drift",$N15&lt;&gt;""),$N15,NA())</f>
        <v>30.3</v>
      </c>
      <c r="DJ15" s="22" t="n">
        <f aca="false">IF(AND($D15="Drift",$N15&lt;&gt;""),$N15,"")</f>
        <v>30.3</v>
      </c>
      <c r="DK15" s="9" t="n">
        <f aca="false">IF($DJ15="","",$A15)</f>
        <v>10</v>
      </c>
      <c r="DL15" s="9" t="e">
        <f aca="false">IF($AN15="",NA(),$AM15)</f>
        <v>#N/A</v>
      </c>
      <c r="DM15" s="9" t="e">
        <f aca="false">IF($AN15="",NA(),$AN15)</f>
        <v>#N/A</v>
      </c>
      <c r="DN15" s="9" t="e">
        <f aca="false">IF(AND($D15="Sample",$L15&lt;&gt;""),$L15,NA())</f>
        <v>#N/A</v>
      </c>
      <c r="DO15" s="9" t="e">
        <f aca="false">IF(AND($D15="Sample",$L15&lt;&gt;"",Fits!$B$98&lt;&gt;""),Fits!$B$98,NA())</f>
        <v>#N/A</v>
      </c>
      <c r="DP15" s="24" t="n">
        <f aca="false">IF($AS15="",NA(),$AS15)</f>
        <v>-5.523</v>
      </c>
      <c r="DQ15" s="9" t="e">
        <f aca="false">IF(AND($D15="Drift",$AS15="",$X15&lt;&gt;""),$X15,NA())</f>
        <v>#N/A</v>
      </c>
      <c r="DR15" s="24" t="n">
        <f aca="false">IF(AND($D15="Drift",$Z15&lt;&gt;""),$Z15,NA())</f>
        <v>-5.87369954986828</v>
      </c>
      <c r="DS15" s="9" t="e">
        <f aca="false">IF(AND(OR($D15="Sample",$D15="Check"),$AA15&lt;&gt;""),$AA15,NA())</f>
        <v>#N/A</v>
      </c>
      <c r="DT15" s="25" t="n">
        <f aca="false">IF(OR($B15="",Fits!$B$138=""),NA(),Fits!$B$138)</f>
        <v>1.76</v>
      </c>
      <c r="DU15" s="25" t="n">
        <f aca="false">IF(OR($B15="",Fits!$B$139=""),NA(),Fits!$B$139)</f>
        <v>20.68</v>
      </c>
      <c r="DV15" s="24" t="n">
        <f aca="false">IF($BT15="",NA(),$BT15)</f>
        <v>-1.284</v>
      </c>
      <c r="DW15" s="9" t="e">
        <f aca="false">IF($AP15="",NA(),$AO15)</f>
        <v>#N/A</v>
      </c>
      <c r="DX15" s="9" t="e">
        <f aca="false">IF($AP15="",NA(),$AP15)</f>
        <v>#N/A</v>
      </c>
      <c r="DY15" s="9" t="e">
        <f aca="false">IF(AND($D15="Sample",$P15&lt;&gt;""),$P15,NA())</f>
        <v>#N/A</v>
      </c>
      <c r="DZ15" s="9" t="e">
        <f aca="false">IF(AND($D15="Sample",$P15&lt;&gt;"",Fits!$B$105&lt;&gt;""),Fits!$B$105,NA())</f>
        <v>#N/A</v>
      </c>
      <c r="EA15" s="24" t="n">
        <f aca="false">IF($AT15="",NA(),$AT15)</f>
        <v>-9.54784053144367</v>
      </c>
      <c r="EB15" s="9" t="e">
        <f aca="false">IF(AND($D15="Drift",$AT15="",$AC15&lt;&gt;""),$AC15,NA())</f>
        <v>#N/A</v>
      </c>
      <c r="EC15" s="24" t="n">
        <f aca="false">IF(AND($D15="Drift",$AE15&lt;&gt;""),$AE15,NA())</f>
        <v>-9.48609598083839</v>
      </c>
      <c r="ED15" s="9" t="e">
        <f aca="false">IF(AND(OR($D15="Sample",$D15="Check"),$AF15&lt;&gt;""),$AF15,NA())</f>
        <v>#N/A</v>
      </c>
      <c r="EE15" s="25" t="n">
        <f aca="false">IF(OR($B15="",Fits!$B$158=""),NA(),Fits!$B$158)</f>
        <v>-40.81</v>
      </c>
      <c r="EF15" s="25" t="n">
        <f aca="false">IF(OR($B15="",Fits!$B$159=""),NA(),Fits!$B$159)</f>
        <v>-20.29</v>
      </c>
      <c r="EG15" s="24" t="n">
        <f aca="false">IF($BW15="",NA(),$BW15)</f>
        <v>-25.36</v>
      </c>
      <c r="EH15" s="9" t="e">
        <f aca="false">IF(AND($EN15=1,ISNUMBER($N15)),$N15,NA())</f>
        <v>#N/A</v>
      </c>
      <c r="EI15" s="9" t="n">
        <f aca="false">IF($B15="","",$A15)</f>
        <v>10</v>
      </c>
      <c r="EJ15" s="9" t="n">
        <f aca="false">IF(OR(AND(ISNUMBER($L15),Fits!$B$97&gt;0,$L15&gt;Fits!$B$97),AND(ISNUMBER($P15),Fits!$B$104&gt;0,$P15&gt;Fits!$B$104)),1,0)</f>
        <v>0</v>
      </c>
      <c r="EK15" s="9" t="n">
        <f aca="false">IF(OR($EJ14=1,$EJ13=1),1,0)</f>
        <v>0</v>
      </c>
      <c r="EL15" s="22" t="n">
        <f aca="false">IF(AND($EK15=0,ISNUMBER($N15)),$N15,$EL14)</f>
        <v>30.3</v>
      </c>
      <c r="EM15" s="9" t="str">
        <f aca="false">IF(AND($EK15=1,ISNUMBER($N15),ISNUMBER($EL15)),$N15-$EL15,"")</f>
        <v/>
      </c>
      <c r="EN15" s="9" t="n">
        <f aca="false">IF(Setup!$B$28="",0,IF(ISNUMBER($EM15),IF($EM15&gt;Setup!$B$28,1,0),0))</f>
        <v>0</v>
      </c>
      <c r="EO15" s="9" t="str">
        <f aca="false">IF($EN15=1,COUNTIF($EN$6:$EN15,1),"")</f>
        <v/>
      </c>
      <c r="EP15" s="9" t="n">
        <f aca="false">IF(AND($EJ14=1,OR($D15="Sample",$D15="Check")),1,0)</f>
        <v>0</v>
      </c>
      <c r="EQ15" s="9" t="str">
        <f aca="false">IF(ISNUMBER($BI15),IF(COUNT($BI$6:$BI15)&lt;=5,$BI15,""),"")</f>
        <v/>
      </c>
      <c r="ER15" s="9" t="str">
        <f aca="false">IF(OR(NOT(ISNUMBER($BJ15)),$EK15=1),$ER14,IF($BJ15&lt;=Setup!$B$26,IF($CP14=0,$A15,$ER14),""))</f>
        <v/>
      </c>
    </row>
    <row r="16" customFormat="false" ht="15" hidden="false" customHeight="false" outlineLevel="0" collapsed="false">
      <c r="A16" s="8" t="n">
        <v>11</v>
      </c>
      <c r="B16" s="8" t="str">
        <f aca="false">IFERROR(INDEX(Raw!$B$2:$B$1001,MATCH($A16,Raw!$A$2:$A$1001,0)),"")</f>
        <v>USGS 64</v>
      </c>
      <c r="C16" s="9" t="n">
        <f aca="false">IF($B16="","",MAX($CS16:$DE16))</f>
        <v>37</v>
      </c>
      <c r="D16" s="8" t="str">
        <f aca="false">IF($B16="","",IF($C16=0,"Sample",INDEX(Setup!$B$37:$B$49,$C16-36)))</f>
        <v>Anchor</v>
      </c>
      <c r="E16" s="16" t="n">
        <f aca="false">IF($B16="","",IFERROR(IF(INDEX(Raw!$E$2:$E$1001,MATCH($A16,Raw!$A$2:$A$1001,0))=0,"",INDEX(Raw!$E$2:$E$1001,MATCH($A16,Raw!$A$2:$A$1001,0))),""))</f>
        <v>0.397</v>
      </c>
      <c r="F16" s="18"/>
      <c r="G16" s="16" t="n">
        <f aca="false">IF($B16="","",IF($F16&lt;&gt;"",$F16,IF($E16="","",$E16)))</f>
        <v>0.397</v>
      </c>
      <c r="H16" s="9" t="n">
        <f aca="false">IF($B16="","",SUMPRODUCT(MAX((Raw!$A$2:$A$1001=$A16)*(Raw!$R$2:$R$1001="N")*Raw!$D$2:$D$1001)))</f>
        <v>3</v>
      </c>
      <c r="I16" s="9" t="str">
        <f aca="false">IF(OR($H16="",$H16=0),"",$A16&amp;"|N|"&amp;$H16)</f>
        <v>11|N|3</v>
      </c>
      <c r="J16" s="9" t="n">
        <f aca="false">IF($B16="","",SUMPRODUCT(MIN((Raw!$A$2:$A$1001=$A16)*(Raw!$R$2:$R$1001="C")*Raw!$D$2:$D$1001+(1-(Raw!$A$2:$A$1001=$A16)*(Raw!$R$2:$R$1001="C"))*9999)))</f>
        <v>4</v>
      </c>
      <c r="K16" s="9" t="str">
        <f aca="false">IF(OR($J16="",$J16=0,$J16=9999),"",$A16&amp;"|C|"&amp;$J16)</f>
        <v>11|C|4</v>
      </c>
      <c r="L16" s="16" t="n">
        <f aca="false">IF($I16="","",IF(INDEX(Raw!$I$2:$I$1001,MATCH($I16,Raw!$S$2:$S$1001,0))&lt;&gt;0,"",INDEX(Raw!$H$2:$H$1001,MATCH($I16,Raw!$S$2:$S$1001,0))))</f>
        <v>46.912</v>
      </c>
      <c r="M16" s="19" t="n">
        <f aca="false">IF($I16="","",IF(INDEX(Raw!$I$2:$I$1001,MATCH($I16,Raw!$S$2:$S$1001,0))&lt;&gt;0,"",INDEX(Raw!$F$2:$F$1001,MATCH($I16,Raw!$S$2:$S$1001,0))))</f>
        <v>2696</v>
      </c>
      <c r="N16" s="20" t="n">
        <f aca="false">IF($I16="","",IF(INDEX(Raw!$I$2:$I$1001,MATCH($I16,Raw!$S$2:$S$1001,0))&lt;&gt;0,"",INDEX(Raw!$G$2:$G$1001,MATCH($I16,Raw!$S$2:$S$1001,0))))</f>
        <v>30</v>
      </c>
      <c r="O16" s="16" t="n">
        <f aca="false">IF($I16="","",IF(INDEX(Raw!$I$2:$I$1001,MATCH($I16,Raw!$S$2:$S$1001,0))&lt;&gt;0,"",INDEX(Raw!$N$2:$N$1001,MATCH($I16,Raw!$S$2:$S$1001,0))))</f>
        <v>0.951</v>
      </c>
      <c r="P16" s="16" t="n">
        <f aca="false">IF($K16="","",IF(INDEX(Raw!$I$2:$I$1001,MATCH($K16,Raw!$S$2:$S$1001,0))&lt;&gt;0,"",INDEX(Raw!$K$2:$K$1001,MATCH($K16,Raw!$S$2:$S$1001,0))))</f>
        <v>56.217</v>
      </c>
      <c r="Q16" s="19" t="n">
        <f aca="false">IF($K16="","",IF(INDEX(Raw!$I$2:$I$1001,MATCH($K16,Raw!$S$2:$S$1001,0))&lt;&gt;0,"",INDEX(Raw!$J$2:$J$1001,MATCH($K16,Raw!$S$2:$S$1001,0))))</f>
        <v>2564</v>
      </c>
      <c r="R16" s="16" t="n">
        <f aca="false">IF($K16="","",IF(INDEX(Raw!$I$2:$I$1001,MATCH($K16,Raw!$S$2:$S$1001,0))&lt;&gt;0,"",INDEX(Raw!$O$2:$O$1001,MATCH($K16,Raw!$S$2:$S$1001,0))))</f>
        <v>-23.653</v>
      </c>
      <c r="S16" s="21" t="n">
        <f aca="false">IF($B16="","",IF($C16=0,"",IF(INDEX(Setup!$D$37:$D$49,$C16-36)="","",INDEX(Setup!$D$37:$D$49,$C16-36))))</f>
        <v>1.76</v>
      </c>
      <c r="T16" s="21" t="n">
        <f aca="false">IF($B16="","",IF($C16=0,"",IF(INDEX(Setup!$C$37:$C$49,$C16-36)="","",INDEX(Setup!$C$37:$C$49,$C16-36))))</f>
        <v>-40.81</v>
      </c>
      <c r="U16" s="21" t="n">
        <f aca="false">IF($B16="","",IF($C16=0,"",IF(INDEX(Setup!$F$37:$F$49,$C16-36)="","",INDEX(Setup!$F$37:$F$49,$C16-36))))</f>
        <v>18.66</v>
      </c>
      <c r="V16" s="21" t="n">
        <f aca="false">IF($B16="","",IF($C16=0,"",IF(INDEX(Setup!$E$37:$E$49,$C16-36)="","",INDEX(Setup!$E$37:$E$49,$C16-36))))</f>
        <v>32</v>
      </c>
      <c r="W16" s="16" t="n">
        <f aca="false">IF($O16="","",IF(OR(Fits!$C$5&lt;&gt;"Yes",$D16="Blank",$L16&lt;=Fits!$B$6),$O16,($L16*$O16-Fits!$B$6*Fits!$B$7)/($L16-Fits!$B$6)))</f>
        <v>0.951</v>
      </c>
      <c r="X16" s="16" t="n">
        <f aca="false">IF($W16="","",$W16-Fits!$B$20*($L16-Fits!$B$16))</f>
        <v>0.951</v>
      </c>
      <c r="Y16" s="22" t="n">
        <f aca="false">IF($W16="","",IF(OR(Fits!$B$38="Row",$BI16=""),$A16,$BI16))</f>
        <v>11</v>
      </c>
      <c r="Z16" s="16" t="n">
        <f aca="false">IF($X16="","",$X16-Fits!$B$39*($Y16-Fits!$B$40))</f>
        <v>0.615054800126173</v>
      </c>
      <c r="AA16" s="23" t="n">
        <f aca="false">IF(OR($Z16="",Fits!$B$55&lt;2),"",Fits!$B$56*$Z16+Fits!$B$57)</f>
        <v>1.65868297325424</v>
      </c>
      <c r="AB16" s="16" t="n">
        <f aca="false">IF($R16="","",IF(OR(Fits!$C$9&lt;&gt;"Yes",$D16="Blank",$P16&lt;=Fits!$B$10),$R16,($P16*$R16-Fits!$B$10*Fits!$B$11)/($P16-Fits!$B$10)))</f>
        <v>-23.653</v>
      </c>
      <c r="AC16" s="16" t="n">
        <f aca="false">IF($AB16="","",$AB16-Fits!$B$28*($P16-Fits!$B$24))</f>
        <v>-23.5293742872925</v>
      </c>
      <c r="AD16" s="22" t="n">
        <f aca="false">IF($AB16="","",IF(OR(Fits!$B$50="Row",$BI16=""),$A16,$BI16))</f>
        <v>11</v>
      </c>
      <c r="AE16" s="16" t="n">
        <f aca="false">IF($AC16="","",$AC16-Fits!$B$51*($AD16-Fits!$B$52))</f>
        <v>-23.4702274038648</v>
      </c>
      <c r="AF16" s="23" t="n">
        <f aca="false">IF(OR($AE16="",Fits!$B$62&lt;2),"",Fits!$B$63*$AE16+Fits!$B$64)</f>
        <v>-40.7945858915913</v>
      </c>
      <c r="AG16" s="21" t="n">
        <f aca="false">IF(OR($L16="",Fits!$B$69&lt;3),"",($L16-Fits!$B$71)/Fits!$B$70)</f>
        <v>74.2155098673638</v>
      </c>
      <c r="AH16" s="21" t="n">
        <f aca="false">IF(OR($P16="",Fits!$B$75&lt;3),"",($P16-Fits!$B$77)/Fits!$B$76)</f>
        <v>124.061743881209</v>
      </c>
      <c r="AI16" s="23" t="n">
        <f aca="false">IF(OR($AG16="",$G16="",$G16=0),"",$AG16/($G16*1000)*100)</f>
        <v>18.6940830900161</v>
      </c>
      <c r="AJ16" s="23" t="n">
        <f aca="false">IF(OR($AH16="",$G16="",$G16=0),"",$AH16/($G16*1000)*100)</f>
        <v>31.2498095418661</v>
      </c>
      <c r="AK16" s="23" t="n">
        <f aca="false">IF(OR($AG16="",$AH16="",$AG16&lt;=0),"",($AH16/Setup!$B$52)/($AG16/Setup!$B$53))</f>
        <v>1.94943683460046</v>
      </c>
      <c r="AL16" s="23" t="n">
        <f aca="false">IF(OR($AG16="",$AH16="",$AG16&lt;=0),"",$AH16/$AG16)</f>
        <v>1.67164173773014</v>
      </c>
      <c r="AM16" s="9" t="str">
        <f aca="false">IF($D16="Linearity",IF($L16="","",$L16),"")</f>
        <v/>
      </c>
      <c r="AN16" s="9" t="str">
        <f aca="false">IF($D16="Linearity",IF($W16="","",$W16),"")</f>
        <v/>
      </c>
      <c r="AO16" s="9" t="str">
        <f aca="false">IF($D16="Linearity",IF($P16="","",$P16),"")</f>
        <v/>
      </c>
      <c r="AP16" s="9" t="str">
        <f aca="false">IF($D16="Linearity",IF($AB16="","",$AB16),"")</f>
        <v/>
      </c>
      <c r="AQ16" s="9" t="str">
        <f aca="false">IF($D16="Drift",IF($A16&lt;IF(Setup!$B$14="",0,Setup!$B$14),"",$A16),"")</f>
        <v/>
      </c>
      <c r="AR16" s="9" t="str">
        <f aca="false">IF($D16="Drift",IF($A16&lt;IF(Setup!$B$14="",0,Setup!$B$14),"",IF($BI16="","",$BI16)),"")</f>
        <v/>
      </c>
      <c r="AS16" s="9" t="str">
        <f aca="false">IF($D16="Drift",IF($A16&lt;IF(Setup!$B$14="",0,Setup!$B$14),"",IF(OR($X16="",$BX16=1),"",$X16)),"")</f>
        <v/>
      </c>
      <c r="AT16" s="9" t="str">
        <f aca="false">IF($D16="Drift",IF($A16&lt;IF(Setup!$B$14="",0,Setup!$B$14),"",IF(OR($AC16="",$BY16=1),"",$AC16)),"")</f>
        <v/>
      </c>
      <c r="AU16" s="24" t="n">
        <f aca="false">IF($D16="Anchor",IF(OR($Z16="",$S16=""),"",$Z16),"")</f>
        <v>0.615054800126173</v>
      </c>
      <c r="AV16" s="25" t="n">
        <f aca="false">IF($D16="Anchor",IF(OR($Z16="",$S16=""),"",$S16),"")</f>
        <v>1.76</v>
      </c>
      <c r="AW16" s="24" t="n">
        <f aca="false">IF($D16="Anchor",IF(OR($AE16="",$T16=""),"",$AE16),"")</f>
        <v>-23.4702274038648</v>
      </c>
      <c r="AX16" s="25" t="n">
        <f aca="false">IF($D16="Anchor",IF(OR($AE16="",$T16=""),"",$T16),"")</f>
        <v>-40.81</v>
      </c>
      <c r="AY16" s="9" t="n">
        <f aca="false">IF(OR($D16="Blank",$D16="Exclude",$D16="Sample",$D16="",$G16="",$U16="",$L16=""),"",$G16*1000*$U16/100)</f>
        <v>74.0802</v>
      </c>
      <c r="AZ16" s="24" t="n">
        <f aca="false">IF($AY16="","",$L16)</f>
        <v>46.912</v>
      </c>
      <c r="BA16" s="9" t="n">
        <f aca="false">IF(OR($D16="Blank",$D16="Exclude",$D16="Sample",$D16="",$G16="",$V16="",$P16=""),"",$G16*1000*$V16/100)</f>
        <v>127.04</v>
      </c>
      <c r="BB16" s="24" t="n">
        <f aca="false">IF($BA16="","",$P16)</f>
        <v>56.217</v>
      </c>
      <c r="BC16" s="9" t="str">
        <f aca="false">IF(AND($D16="Blank",$L16&lt;&gt;""),$O16,"")</f>
        <v/>
      </c>
      <c r="BD16" s="9" t="str">
        <f aca="false">IF($BC16="","",$L16)</f>
        <v/>
      </c>
      <c r="BE16" s="9" t="str">
        <f aca="false">IF(AND($D16="Blank",$P16&lt;&gt;""),$R16,"")</f>
        <v/>
      </c>
      <c r="BF16" s="9" t="str">
        <f aca="false">IF($BE16="","",$P16)</f>
        <v/>
      </c>
      <c r="BG16" s="9" t="str">
        <f aca="false">IF(AND($D16="Drift",$BX16&lt;&gt;1),IF($AA16="","",$AA16),"")</f>
        <v/>
      </c>
      <c r="BH16" s="9" t="str">
        <f aca="false">IF(AND($D16="Drift",$BY16&lt;&gt;1),IF($AF16="","",$AF16),"")</f>
        <v/>
      </c>
      <c r="BI16" s="20" t="n">
        <f aca="false">IF($B16="","",IFERROR(INDEX(Raw!$G$2:$G$1001,MATCH($A16&amp;"|N|"&amp;SUMPRODUCT(MAX((Raw!$A$2:$A$1001=$A16)*(Raw!$R$2:$R$1001="N")*(Raw!$I$2:$I$1001=1)*Raw!$D$2:$D$1001)),Raw!$S$2:$S$1001,0)),""))</f>
        <v>27.7</v>
      </c>
      <c r="BJ16" s="21" t="n">
        <f aca="false">IF(OR($BI16="",Fits!$B$85&lt;=0),"",($BI16-Fits!$B$83)/Fits!$B$85)</f>
        <v>0.414414414414414</v>
      </c>
      <c r="BK16" s="9" t="str">
        <f aca="false">IF($AS16="","",IF($A16&gt;=Fits!$B$86,"",$A16))</f>
        <v/>
      </c>
      <c r="BL16" s="9" t="str">
        <f aca="false">IF($BK16="","",$X16)</f>
        <v/>
      </c>
      <c r="BM16" s="9" t="str">
        <f aca="false">IF($AS16="","",IF($A16&lt;Fits!$B$86,"",$A16))</f>
        <v/>
      </c>
      <c r="BN16" s="9" t="str">
        <f aca="false">IF($BM16="","",$X16)</f>
        <v/>
      </c>
      <c r="BO16" s="9" t="str">
        <f aca="false">IF(AND($D16="Drift",$BX16&lt;&gt;1),IF($O16="","",$O16),"")</f>
        <v/>
      </c>
      <c r="BP16" s="9" t="str">
        <f aca="false">IF(AND($D16="Drift",$BX16&lt;&gt;1),IF($W16="","",$W16),"")</f>
        <v/>
      </c>
      <c r="BQ16" s="9" t="str">
        <f aca="false">IF(AND($D16="Drift",$BX16&lt;&gt;1),IF($X16="","",$X16),"")</f>
        <v/>
      </c>
      <c r="BR16" s="9" t="str">
        <f aca="false">IF(AND($D16="Drift",$BX16&lt;&gt;1),IF($Z16="","",$Z16),"")</f>
        <v/>
      </c>
      <c r="BS16" s="9" t="n">
        <f aca="false">IF(OR($B16="",$H16=""),"",SUMPRODUCT(MIN((Raw!$A$2:$A$1001=$A16)*(Raw!$R$2:$R$1001="N")*(Raw!$I$2:$I$1001=0)*(Raw!$D$2:$D$1001&lt;$H16)*Raw!$D$2:$D$1001+(1-(Raw!$A$2:$A$1001=$A16)*(Raw!$R$2:$R$1001="N")*(Raw!$I$2:$I$1001=0)*(Raw!$D$2:$D$1001&lt;$H16))*9999)))</f>
        <v>1</v>
      </c>
      <c r="BT16" s="16" t="n">
        <f aca="false">IF(OR($BS16="",$BS16=9999,$BS16=0),"",IFERROR(INDEX(Raw!$N$2:$N$1001,MATCH($A16&amp;"|N|"&amp;$BS16,Raw!$S$2:$S$1001,0)),""))</f>
        <v>-1.203</v>
      </c>
      <c r="BU16" s="9" t="n">
        <f aca="false">IF($B16="","",SUMPRODUCT(MIN((Raw!$A$2:$A$1001=$A16)*(Raw!$R$2:$R$1001="C")*(Raw!$I$2:$I$1001=1)*Raw!$D$2:$D$1001+(1-(Raw!$A$2:$A$1001=$A16)*(Raw!$R$2:$R$1001="C")*(Raw!$I$2:$I$1001=1))*9999)))</f>
        <v>5</v>
      </c>
      <c r="BV16" s="9" t="n">
        <f aca="false">IF(OR($BU16="",$BU16=9999),"",SUMPRODUCT(MIN((Raw!$A$2:$A$1001=$A16)*(Raw!$R$2:$R$1001="C")*(Raw!$I$2:$I$1001=0)*(Raw!$D$2:$D$1001&gt;$BU16)*Raw!$D$2:$D$1001+(1-(Raw!$A$2:$A$1001=$A16)*(Raw!$R$2:$R$1001="C")*(Raw!$I$2:$I$1001=0)*(Raw!$D$2:$D$1001&gt;$BU16))*9999)))</f>
        <v>6</v>
      </c>
      <c r="BW16" s="16" t="n">
        <f aca="false">IF(OR($BV16="",$BV16=9999,$BV16=0),"",IFERROR(INDEX(Raw!$O$2:$O$1001,MATCH($A16&amp;"|C|"&amp;$BV16,Raw!$S$2:$S$1001,0)),""))</f>
        <v>-25.384</v>
      </c>
      <c r="BX16" s="9" t="n">
        <f aca="false">IF($B16="","",IF(ISNUMBER(SEARCH(","&amp;$A16&amp;",",","&amp;SUBSTITUTE(Setup!$B$16," ","")&amp;",")),1,0))</f>
        <v>0</v>
      </c>
      <c r="BY16" s="9" t="n">
        <f aca="false">IF($B16="","",IF(ISNUMBER(SEARCH(","&amp;$A16&amp;",",","&amp;SUBSTITUTE(Setup!$B$17," ","")&amp;",")),1,0))</f>
        <v>0</v>
      </c>
      <c r="BZ16" s="22" t="str">
        <f aca="false">IF($AS16="","",IF(Fits!$B$38="Row",$AQ16,IF($AR16="","",$AR16)))</f>
        <v/>
      </c>
      <c r="CA16" s="22" t="str">
        <f aca="false">IF($AT16="","",IF(Fits!$B$50="Row",$AQ16,IF($AR16="","",$AR16)))</f>
        <v/>
      </c>
      <c r="CB16" s="20" t="str">
        <f aca="false">IF(OR($D16&lt;&gt;"Drift",$X16="",$A16&lt;IF(Setup!$B$14="",0,Setup!$B$14),Fits!$B$107&lt;3,Fits!$B$110="",Fits!$B$109=0,IF(Fits!$B$38="Row",$AQ16,$AR16)=""),"",IF($BX16=1,IF(OR(Fits!$B$111="",Fits!$B$111=0),"",($X16-(IF(Fits!$B$38="Row",Fits!$B$32,Fits!$B$35)*IF(Fits!$B$38="Row",$AQ16,$AR16)+Fits!$B$110))/(Fits!$B$111*SQRT(1+(1/Fits!$B$107+(IF(Fits!$B$38="Row",$AQ16,$AR16)-Fits!$B$108)^2/Fits!$B$109)))),IF(OR(Fits!$B$107&lt;4,(1/Fits!$B$107+(IF(Fits!$B$38="Row",$AQ16,$AR16)-Fits!$B$108)^2/Fits!$B$109)&gt;=1),"",IF((Fits!$B$116-($X16-(IF(Fits!$B$38="Row",Fits!$B$32,Fits!$B$35)*IF(Fits!$B$38="Row",$AQ16,$AR16)+Fits!$B$110))^2/(1-(1/Fits!$B$107+(IF(Fits!$B$38="Row",$AQ16,$AR16)-Fits!$B$108)^2/Fits!$B$109)))&lt;=0,"",($X16-(IF(Fits!$B$38="Row",Fits!$B$32,Fits!$B$35)*IF(Fits!$B$38="Row",$AQ16,$AR16)+Fits!$B$110))/(SQRT((Fits!$B$116-($X16-(IF(Fits!$B$38="Row",Fits!$B$32,Fits!$B$35)*IF(Fits!$B$38="Row",$AQ16,$AR16)+Fits!$B$110))^2/(1-(1/Fits!$B$107+(IF(Fits!$B$38="Row",$AQ16,$AR16)-Fits!$B$108)^2/Fits!$B$109)))/(Fits!$B$107-3))*SQRT(1-(1/Fits!$B$107+(IF(Fits!$B$38="Row",$AQ16,$AR16)-Fits!$B$108)^2/Fits!$B$109)))))))</f>
        <v/>
      </c>
      <c r="CC16" s="20" t="str">
        <f aca="false">IF(OR($D16&lt;&gt;"Drift",$AC16="",$A16&lt;IF(Setup!$B$14="",0,Setup!$B$14),Fits!$B$120&lt;3,Fits!$B$123="",Fits!$B$122=0,IF(Fits!$B$50="Row",$AQ16,$AR16)=""),"",IF($BY16=1,IF(OR(Fits!$B$124="",Fits!$B$124=0),"",($AC16-(IF(Fits!$B$50="Row",Fits!$B$44,Fits!$B$47)*IF(Fits!$B$50="Row",$AQ16,$AR16)+Fits!$B$123))/(Fits!$B$124*SQRT(1+(1/Fits!$B$120+(IF(Fits!$B$50="Row",$AQ16,$AR16)-Fits!$B$121)^2/Fits!$B$122)))),IF(OR(Fits!$B$120&lt;4,(1/Fits!$B$120+(IF(Fits!$B$50="Row",$AQ16,$AR16)-Fits!$B$121)^2/Fits!$B$122)&gt;=1),"",IF((Fits!$B$129-($AC16-(IF(Fits!$B$50="Row",Fits!$B$44,Fits!$B$47)*IF(Fits!$B$50="Row",$AQ16,$AR16)+Fits!$B$123))^2/(1-(1/Fits!$B$120+(IF(Fits!$B$50="Row",$AQ16,$AR16)-Fits!$B$121)^2/Fits!$B$122)))&lt;=0,"",($AC16-(IF(Fits!$B$50="Row",Fits!$B$44,Fits!$B$47)*IF(Fits!$B$50="Row",$AQ16,$AR16)+Fits!$B$123))/(SQRT((Fits!$B$129-($AC16-(IF(Fits!$B$50="Row",Fits!$B$44,Fits!$B$47)*IF(Fits!$B$50="Row",$AQ16,$AR16)+Fits!$B$123))^2/(1-(1/Fits!$B$120+(IF(Fits!$B$50="Row",$AQ16,$AR16)-Fits!$B$121)^2/Fits!$B$122)))/(Fits!$B$120-3))*SQRT(1-(1/Fits!$B$120+(IF(Fits!$B$50="Row",$AQ16,$AR16)-Fits!$B$121)^2/Fits!$B$122)))))))</f>
        <v/>
      </c>
      <c r="CD16" s="9" t="n">
        <f aca="false">IF($AU16="","",1)</f>
        <v>1</v>
      </c>
      <c r="CE16" s="24" t="n">
        <f aca="false">IF($AU16="","",$AU16-Fits!$B$133)</f>
        <v>-9.31359638331671</v>
      </c>
      <c r="CF16" s="24" t="n">
        <f aca="false">IF($AU16="","",($AV16-(Fits!$B$56*$AU16+Fits!$B$57))-Fits!$B$56*($AU16-Fits!$B$133))</f>
        <v>9.66263405349152</v>
      </c>
      <c r="CG16" s="25" t="n">
        <f aca="false">IF($AU16="","",$AU16^2)</f>
        <v>0.378292407158247</v>
      </c>
      <c r="CH16" s="9" t="n">
        <f aca="false">IF($AW16="","",1)</f>
        <v>1</v>
      </c>
      <c r="CI16" s="24" t="n">
        <f aca="false">IF($AW16="","",$AW16-Fits!$B$153)</f>
        <v>-10.1016416945346</v>
      </c>
      <c r="CJ16" s="24" t="n">
        <f aca="false">IF($AW16="","",($AX16-(Fits!$B$63*$AW16+Fits!$B$64))-Fits!$B$63*($AW16-Fits!$B$153))</f>
        <v>10.2291717831826</v>
      </c>
      <c r="CK16" s="25" t="n">
        <f aca="false">IF($AW16="","",$AW16^2)</f>
        <v>550.851574389125</v>
      </c>
      <c r="CL16" s="26" t="n">
        <f aca="false">IF(OR($Z16="",Fits!$B$55&lt;3,Fits!$B$133="",Fits!$B$134="",Fits!$B$134=0,Fits!$B$136=""),"",SQRT((Fits!$B$136*Fits!$B$56)^2+SUMPRODUCT((Fits!$J$163:$J$175*(Fits!$B$163:$B$175/Fits!$B$55+Fits!$H$163:$H$175*($Z16-Fits!$B$133)/Fits!$B$134))^2)+SUMPRODUCT((Fits!$G$163:$G$175*(($Z16-Fits!$B$133)*Fits!$I$163:$I$175/Fits!$B$134-Fits!$B$163:$B$175*Fits!$B$56/Fits!$B$55))^2)))</f>
        <v>0.220176398544159</v>
      </c>
      <c r="CM16" s="26" t="n">
        <f aca="false">IF($CL16="","",Setup!$B$32*$CL16)</f>
        <v>0.440352797088319</v>
      </c>
      <c r="CN16" s="26" t="n">
        <f aca="false">IF(OR($AE16="",Fits!$B$62&lt;3,Fits!$B$153="",Fits!$B$154="",Fits!$B$154=0,Fits!$B$156=""),"",SQRT((Fits!$B$156*Fits!$B$63)^2+SUMPRODUCT((Fits!$J$183:$J$195*(Fits!$B$183:$B$195/Fits!$B$62+Fits!$H$183:$H$195*($AE16-Fits!$B$153)/Fits!$B$154))^2)+SUMPRODUCT((Fits!$G$183:$G$195*(($AE16-Fits!$B$153)*Fits!$I$183:$I$195/Fits!$B$154-Fits!$B$183:$B$195*Fits!$B$63/Fits!$B$62))^2)))</f>
        <v>0.0466541638023693</v>
      </c>
      <c r="CO16" s="26" t="n">
        <f aca="false">IF($CN16="","",Setup!$B$32*$CN16)</f>
        <v>0.0933083276047385</v>
      </c>
      <c r="CP16" s="9" t="n">
        <f aca="false">IF(OR(NOT(ISNUMBER($BJ16)),$EK16=1),$CP15,IF($BJ16&lt;=Setup!$B$26,$CP15+1,0))</f>
        <v>0</v>
      </c>
      <c r="CQ16" s="9" t="n">
        <f aca="false">IF($BT16="","",$A16)</f>
        <v>11</v>
      </c>
      <c r="CR16" s="9" t="n">
        <f aca="false">IF($BW16="","",$A16)</f>
        <v>11</v>
      </c>
      <c r="CS16" s="9" t="n">
        <f aca="false">IF($B16="","",IF(Setup!$A$37="",0,IF(ISNUMBER(SEARCH(Setup!$A$37,$B16)),37,0)))</f>
        <v>37</v>
      </c>
      <c r="CT16" s="9" t="n">
        <f aca="false">IF($B16="","",IF(Setup!$A$38="",0,IF(ISNUMBER(SEARCH(Setup!$A$38,$B16)),38,0)))</f>
        <v>0</v>
      </c>
      <c r="CU16" s="9" t="n">
        <f aca="false">IF($B16="","",IF(Setup!$A$39="",0,IF(ISNUMBER(SEARCH(Setup!$A$39,$B16)),39,0)))</f>
        <v>0</v>
      </c>
      <c r="CV16" s="9" t="n">
        <f aca="false">IF($B16="","",IF(Setup!$A$40="",0,IF(ISNUMBER(SEARCH(Setup!$A$40,$B16)),40,0)))</f>
        <v>0</v>
      </c>
      <c r="CW16" s="9" t="n">
        <f aca="false">IF($B16="","",IF(Setup!$A$41="",0,IF(ISNUMBER(SEARCH(Setup!$A$41,$B16)),41,0)))</f>
        <v>0</v>
      </c>
      <c r="CX16" s="9" t="n">
        <f aca="false">IF($B16="","",IF(Setup!$A$42="",0,IF(ISNUMBER(SEARCH(Setup!$A$42,$B16)),42,0)))</f>
        <v>0</v>
      </c>
      <c r="CY16" s="9" t="n">
        <f aca="false">IF($B16="","",IF(Setup!$A$43="",0,IF(ISNUMBER(SEARCH(Setup!$A$43,$B16)),43,0)))</f>
        <v>0</v>
      </c>
      <c r="CZ16" s="9" t="n">
        <f aca="false">IF($B16="","",IF(Setup!$A$44="",0,IF(ISNUMBER(SEARCH(Setup!$A$44,$B16)),44,0)))</f>
        <v>0</v>
      </c>
      <c r="DA16" s="9" t="n">
        <f aca="false">IF($B16="","",IF(Setup!$A$45="",0,IF(ISNUMBER(SEARCH(Setup!$A$45,$B16)),45,0)))</f>
        <v>0</v>
      </c>
      <c r="DB16" s="9" t="n">
        <f aca="false">IF($B16="","",IF(Setup!$A$46="",0,IF(ISNUMBER(SEARCH(Setup!$A$46,$B16)),46,0)))</f>
        <v>0</v>
      </c>
      <c r="DC16" s="9" t="n">
        <f aca="false">IF($B16="","",IF(Setup!$A$47="",0,IF(ISNUMBER(SEARCH(Setup!$A$47,$B16)),47,0)))</f>
        <v>0</v>
      </c>
      <c r="DD16" s="9" t="n">
        <f aca="false">IF($B16="","",IF(Setup!$A$48="",0,IF(ISNUMBER(SEARCH(Setup!$A$48,$B16)),48,0)))</f>
        <v>0</v>
      </c>
      <c r="DE16" s="9" t="n">
        <f aca="false">IF($B16="","",IF(Setup!$A$49="",0,IF(ISNUMBER(SEARCH(Setup!$A$49,$B16)),49,0)))</f>
        <v>0</v>
      </c>
      <c r="DF16" s="9" t="n">
        <f aca="false">IF($B16="",NA(),$A16)</f>
        <v>11</v>
      </c>
      <c r="DG16" s="22" t="n">
        <f aca="false">IF($BI16="",NA(),$BI16)</f>
        <v>27.7</v>
      </c>
      <c r="DH16" s="22" t="n">
        <f aca="false">IF($N16="",NA(),$N16)</f>
        <v>30</v>
      </c>
      <c r="DI16" s="9" t="e">
        <f aca="false">IF(AND($D16="Drift",$N16&lt;&gt;""),$N16,NA())</f>
        <v>#N/A</v>
      </c>
      <c r="DJ16" s="9" t="str">
        <f aca="false">IF(AND($D16="Drift",$N16&lt;&gt;""),$N16,"")</f>
        <v/>
      </c>
      <c r="DK16" s="9" t="str">
        <f aca="false">IF($DJ16="","",$A16)</f>
        <v/>
      </c>
      <c r="DL16" s="9" t="e">
        <f aca="false">IF($AN16="",NA(),$AM16)</f>
        <v>#N/A</v>
      </c>
      <c r="DM16" s="9" t="e">
        <f aca="false">IF($AN16="",NA(),$AN16)</f>
        <v>#N/A</v>
      </c>
      <c r="DN16" s="9" t="e">
        <f aca="false">IF(AND($D16="Sample",$L16&lt;&gt;""),$L16,NA())</f>
        <v>#N/A</v>
      </c>
      <c r="DO16" s="9" t="e">
        <f aca="false">IF(AND($D16="Sample",$L16&lt;&gt;"",Fits!$B$98&lt;&gt;""),Fits!$B$98,NA())</f>
        <v>#N/A</v>
      </c>
      <c r="DP16" s="9" t="e">
        <f aca="false">IF($AS16="",NA(),$AS16)</f>
        <v>#N/A</v>
      </c>
      <c r="DQ16" s="9" t="e">
        <f aca="false">IF(AND($D16="Drift",$AS16="",$X16&lt;&gt;""),$X16,NA())</f>
        <v>#N/A</v>
      </c>
      <c r="DR16" s="9" t="e">
        <f aca="false">IF(AND($D16="Drift",$Z16&lt;&gt;""),$Z16,NA())</f>
        <v>#N/A</v>
      </c>
      <c r="DS16" s="9" t="e">
        <f aca="false">IF(AND(OR($D16="Sample",$D16="Check"),$AA16&lt;&gt;""),$AA16,NA())</f>
        <v>#N/A</v>
      </c>
      <c r="DT16" s="25" t="n">
        <f aca="false">IF(OR($B16="",Fits!$B$138=""),NA(),Fits!$B$138)</f>
        <v>1.76</v>
      </c>
      <c r="DU16" s="25" t="n">
        <f aca="false">IF(OR($B16="",Fits!$B$139=""),NA(),Fits!$B$139)</f>
        <v>20.68</v>
      </c>
      <c r="DV16" s="24" t="n">
        <f aca="false">IF($BT16="",NA(),$BT16)</f>
        <v>-1.203</v>
      </c>
      <c r="DW16" s="9" t="e">
        <f aca="false">IF($AP16="",NA(),$AO16)</f>
        <v>#N/A</v>
      </c>
      <c r="DX16" s="9" t="e">
        <f aca="false">IF($AP16="",NA(),$AP16)</f>
        <v>#N/A</v>
      </c>
      <c r="DY16" s="9" t="e">
        <f aca="false">IF(AND($D16="Sample",$P16&lt;&gt;""),$P16,NA())</f>
        <v>#N/A</v>
      </c>
      <c r="DZ16" s="9" t="e">
        <f aca="false">IF(AND($D16="Sample",$P16&lt;&gt;"",Fits!$B$105&lt;&gt;""),Fits!$B$105,NA())</f>
        <v>#N/A</v>
      </c>
      <c r="EA16" s="9" t="e">
        <f aca="false">IF($AT16="",NA(),$AT16)</f>
        <v>#N/A</v>
      </c>
      <c r="EB16" s="9" t="e">
        <f aca="false">IF(AND($D16="Drift",$AT16="",$AC16&lt;&gt;""),$AC16,NA())</f>
        <v>#N/A</v>
      </c>
      <c r="EC16" s="9" t="e">
        <f aca="false">IF(AND($D16="Drift",$AE16&lt;&gt;""),$AE16,NA())</f>
        <v>#N/A</v>
      </c>
      <c r="ED16" s="9" t="e">
        <f aca="false">IF(AND(OR($D16="Sample",$D16="Check"),$AF16&lt;&gt;""),$AF16,NA())</f>
        <v>#N/A</v>
      </c>
      <c r="EE16" s="25" t="n">
        <f aca="false">IF(OR($B16="",Fits!$B$158=""),NA(),Fits!$B$158)</f>
        <v>-40.81</v>
      </c>
      <c r="EF16" s="25" t="n">
        <f aca="false">IF(OR($B16="",Fits!$B$159=""),NA(),Fits!$B$159)</f>
        <v>-20.29</v>
      </c>
      <c r="EG16" s="24" t="n">
        <f aca="false">IF($BW16="",NA(),$BW16)</f>
        <v>-25.384</v>
      </c>
      <c r="EH16" s="9" t="e">
        <f aca="false">IF(AND($EN16=1,ISNUMBER($N16)),$N16,NA())</f>
        <v>#N/A</v>
      </c>
      <c r="EI16" s="9" t="n">
        <f aca="false">IF($B16="","",$A16)</f>
        <v>11</v>
      </c>
      <c r="EJ16" s="9" t="n">
        <f aca="false">IF(OR(AND(ISNUMBER($L16),Fits!$B$97&gt;0,$L16&gt;Fits!$B$97),AND(ISNUMBER($P16),Fits!$B$104&gt;0,$P16&gt;Fits!$B$104)),1,0)</f>
        <v>0</v>
      </c>
      <c r="EK16" s="9" t="n">
        <f aca="false">IF(OR($EJ15=1,$EJ14=1),1,0)</f>
        <v>0</v>
      </c>
      <c r="EL16" s="22" t="n">
        <f aca="false">IF(AND($EK16=0,ISNUMBER($N16)),$N16,$EL15)</f>
        <v>30</v>
      </c>
      <c r="EM16" s="9" t="str">
        <f aca="false">IF(AND($EK16=1,ISNUMBER($N16),ISNUMBER($EL16)),$N16-$EL16,"")</f>
        <v/>
      </c>
      <c r="EN16" s="9" t="n">
        <f aca="false">IF(Setup!$B$28="",0,IF(ISNUMBER($EM16),IF($EM16&gt;Setup!$B$28,1,0),0))</f>
        <v>0</v>
      </c>
      <c r="EO16" s="9" t="str">
        <f aca="false">IF($EN16=1,COUNTIF($EN$6:$EN16,1),"")</f>
        <v/>
      </c>
      <c r="EP16" s="9" t="n">
        <f aca="false">IF(AND($EJ15=1,OR($D16="Sample",$D16="Check")),1,0)</f>
        <v>0</v>
      </c>
      <c r="EQ16" s="9" t="str">
        <f aca="false">IF(ISNUMBER($BI16),IF(COUNT($BI$6:$BI16)&lt;=5,$BI16,""),"")</f>
        <v/>
      </c>
      <c r="ER16" s="9" t="str">
        <f aca="false">IF(OR(NOT(ISNUMBER($BJ16)),$EK16=1),$ER15,IF($BJ16&lt;=Setup!$B$26,IF($CP15=0,$A16,$ER15),""))</f>
        <v/>
      </c>
    </row>
    <row r="17" customFormat="false" ht="15" hidden="false" customHeight="false" outlineLevel="0" collapsed="false">
      <c r="A17" s="8" t="n">
        <v>12</v>
      </c>
      <c r="B17" s="8" t="str">
        <f aca="false">IFERROR(INDEX(Raw!$B$2:$B$1001,MATCH($A17,Raw!$A$2:$A$1001,0)),"")</f>
        <v>USGS 64</v>
      </c>
      <c r="C17" s="9" t="n">
        <f aca="false">IF($B17="","",MAX($CS17:$DE17))</f>
        <v>37</v>
      </c>
      <c r="D17" s="8" t="str">
        <f aca="false">IF($B17="","",IF($C17=0,"Sample",INDEX(Setup!$B$37:$B$49,$C17-36)))</f>
        <v>Anchor</v>
      </c>
      <c r="E17" s="16" t="n">
        <f aca="false">IF($B17="","",IFERROR(IF(INDEX(Raw!$E$2:$E$1001,MATCH($A17,Raw!$A$2:$A$1001,0))=0,"",INDEX(Raw!$E$2:$E$1001,MATCH($A17,Raw!$A$2:$A$1001,0))),""))</f>
        <v>0.409</v>
      </c>
      <c r="F17" s="18"/>
      <c r="G17" s="16" t="n">
        <f aca="false">IF($B17="","",IF($F17&lt;&gt;"",$F17,IF($E17="","",$E17)))</f>
        <v>0.409</v>
      </c>
      <c r="H17" s="9" t="n">
        <f aca="false">IF($B17="","",SUMPRODUCT(MAX((Raw!$A$2:$A$1001=$A17)*(Raw!$R$2:$R$1001="N")*Raw!$D$2:$D$1001)))</f>
        <v>3</v>
      </c>
      <c r="I17" s="9" t="str">
        <f aca="false">IF(OR($H17="",$H17=0),"",$A17&amp;"|N|"&amp;$H17)</f>
        <v>12|N|3</v>
      </c>
      <c r="J17" s="9" t="n">
        <f aca="false">IF($B17="","",SUMPRODUCT(MIN((Raw!$A$2:$A$1001=$A17)*(Raw!$R$2:$R$1001="C")*Raw!$D$2:$D$1001+(1-(Raw!$A$2:$A$1001=$A17)*(Raw!$R$2:$R$1001="C"))*9999)))</f>
        <v>4</v>
      </c>
      <c r="K17" s="9" t="str">
        <f aca="false">IF(OR($J17="",$J17=0,$J17=9999),"",$A17&amp;"|C|"&amp;$J17)</f>
        <v>12|C|4</v>
      </c>
      <c r="L17" s="16" t="n">
        <f aca="false">IF($I17="","",IF(INDEX(Raw!$I$2:$I$1001,MATCH($I17,Raw!$S$2:$S$1001,0))&lt;&gt;0,"",INDEX(Raw!$H$2:$H$1001,MATCH($I17,Raw!$S$2:$S$1001,0))))</f>
        <v>48.488</v>
      </c>
      <c r="M17" s="19" t="n">
        <f aca="false">IF($I17="","",IF(INDEX(Raw!$I$2:$I$1001,MATCH($I17,Raw!$S$2:$S$1001,0))&lt;&gt;0,"",INDEX(Raw!$F$2:$F$1001,MATCH($I17,Raw!$S$2:$S$1001,0))))</f>
        <v>2800</v>
      </c>
      <c r="N17" s="20" t="n">
        <f aca="false">IF($I17="","",IF(INDEX(Raw!$I$2:$I$1001,MATCH($I17,Raw!$S$2:$S$1001,0))&lt;&gt;0,"",INDEX(Raw!$G$2:$G$1001,MATCH($I17,Raw!$S$2:$S$1001,0))))</f>
        <v>29.5</v>
      </c>
      <c r="O17" s="16" t="n">
        <f aca="false">IF($I17="","",IF(INDEX(Raw!$I$2:$I$1001,MATCH($I17,Raw!$S$2:$S$1001,0))&lt;&gt;0,"",INDEX(Raw!$N$2:$N$1001,MATCH($I17,Raw!$S$2:$S$1001,0))))</f>
        <v>1.272</v>
      </c>
      <c r="P17" s="16" t="n">
        <f aca="false">IF($K17="","",IF(INDEX(Raw!$I$2:$I$1001,MATCH($K17,Raw!$S$2:$S$1001,0))&lt;&gt;0,"",INDEX(Raw!$K$2:$K$1001,MATCH($K17,Raw!$S$2:$S$1001,0))))</f>
        <v>57.934</v>
      </c>
      <c r="Q17" s="19" t="n">
        <f aca="false">IF($K17="","",IF(INDEX(Raw!$I$2:$I$1001,MATCH($K17,Raw!$S$2:$S$1001,0))&lt;&gt;0,"",INDEX(Raw!$J$2:$J$1001,MATCH($K17,Raw!$S$2:$S$1001,0))))</f>
        <v>2636</v>
      </c>
      <c r="R17" s="16" t="n">
        <f aca="false">IF($K17="","",IF(INDEX(Raw!$I$2:$I$1001,MATCH($K17,Raw!$S$2:$S$1001,0))&lt;&gt;0,"",INDEX(Raw!$O$2:$O$1001,MATCH($K17,Raw!$S$2:$S$1001,0))))</f>
        <v>-23.686</v>
      </c>
      <c r="S17" s="21" t="n">
        <f aca="false">IF($B17="","",IF($C17=0,"",IF(INDEX(Setup!$D$37:$D$49,$C17-36)="","",INDEX(Setup!$D$37:$D$49,$C17-36))))</f>
        <v>1.76</v>
      </c>
      <c r="T17" s="21" t="n">
        <f aca="false">IF($B17="","",IF($C17=0,"",IF(INDEX(Setup!$C$37:$C$49,$C17-36)="","",INDEX(Setup!$C$37:$C$49,$C17-36))))</f>
        <v>-40.81</v>
      </c>
      <c r="U17" s="21" t="n">
        <f aca="false">IF($B17="","",IF($C17=0,"",IF(INDEX(Setup!$F$37:$F$49,$C17-36)="","",INDEX(Setup!$F$37:$F$49,$C17-36))))</f>
        <v>18.66</v>
      </c>
      <c r="V17" s="21" t="n">
        <f aca="false">IF($B17="","",IF($C17=0,"",IF(INDEX(Setup!$E$37:$E$49,$C17-36)="","",INDEX(Setup!$E$37:$E$49,$C17-36))))</f>
        <v>32</v>
      </c>
      <c r="W17" s="16" t="n">
        <f aca="false">IF($O17="","",IF(OR(Fits!$C$5&lt;&gt;"Yes",$D17="Blank",$L17&lt;=Fits!$B$6),$O17,($L17*$O17-Fits!$B$6*Fits!$B$7)/($L17-Fits!$B$6)))</f>
        <v>1.272</v>
      </c>
      <c r="X17" s="16" t="n">
        <f aca="false">IF($W17="","",$W17-Fits!$B$20*($L17-Fits!$B$16))</f>
        <v>1.272</v>
      </c>
      <c r="Y17" s="22" t="n">
        <f aca="false">IF($W17="","",IF(OR(Fits!$B$38="Row",$BI17=""),$A17,$BI17))</f>
        <v>12</v>
      </c>
      <c r="Z17" s="16" t="n">
        <f aca="false">IF($X17="","",$X17-Fits!$B$39*($Y17-Fits!$B$40))</f>
        <v>0.950809150120632</v>
      </c>
      <c r="AA17" s="23" t="n">
        <f aca="false">IF(OR($Z17="",Fits!$B$55&lt;2),"",Fits!$B$56*$Z17+Fits!$B$57)</f>
        <v>2.00336763117612</v>
      </c>
      <c r="AB17" s="16" t="n">
        <f aca="false">IF($R17="","",IF(OR(Fits!$C$9&lt;&gt;"Yes",$D17="Blank",$P17&lt;=Fits!$B$10),$R17,($P17*$R17-Fits!$B$10*Fits!$B$11)/($P17-Fits!$B$10)))</f>
        <v>-23.686</v>
      </c>
      <c r="AC17" s="16" t="n">
        <f aca="false">IF($AB17="","",$AB17-Fits!$B$28*($P17-Fits!$B$24))</f>
        <v>-23.5653494206027</v>
      </c>
      <c r="AD17" s="22" t="n">
        <f aca="false">IF($AB17="","",IF(OR(Fits!$B$50="Row",$BI17=""),$A17,$BI17))</f>
        <v>12</v>
      </c>
      <c r="AE17" s="16" t="n">
        <f aca="false">IF($AC17="","",$AC17-Fits!$B$51*($AD17-Fits!$B$52))</f>
        <v>-23.5088002043526</v>
      </c>
      <c r="AF17" s="23" t="n">
        <f aca="false">IF(OR($AE17="",Fits!$B$62&lt;2),"",Fits!$B$63*$AE17+Fits!$B$64)</f>
        <v>-40.8337045199911</v>
      </c>
      <c r="AG17" s="21" t="n">
        <f aca="false">IF(OR($L17="",Fits!$B$69&lt;3),"",($L17-Fits!$B$71)/Fits!$B$70)</f>
        <v>76.8189174722541</v>
      </c>
      <c r="AH17" s="21" t="n">
        <f aca="false">IF(OR($P17="",Fits!$B$75&lt;3),"",($P17-Fits!$B$77)/Fits!$B$76)</f>
        <v>127.972475342798</v>
      </c>
      <c r="AI17" s="23" t="n">
        <f aca="false">IF(OR($AG17="",$G17="",$G17=0),"",$AG17/($G17*1000)*100)</f>
        <v>18.7821314113091</v>
      </c>
      <c r="AJ17" s="23" t="n">
        <f aca="false">IF(OR($AH17="",$G17="",$G17=0),"",$AH17/($G17*1000)*100)</f>
        <v>31.2891137757451</v>
      </c>
      <c r="AK17" s="23" t="n">
        <f aca="false">IF(OR($AG17="",$AH17="",$AG17&lt;=0),"",($AH17/Setup!$B$52)/($AG17/Setup!$B$53))</f>
        <v>1.94273851122067</v>
      </c>
      <c r="AL17" s="23" t="n">
        <f aca="false">IF(OR($AG17="",$AH17="",$AG17&lt;=0),"",$AH17/$AG17)</f>
        <v>1.66589792662751</v>
      </c>
      <c r="AM17" s="9" t="str">
        <f aca="false">IF($D17="Linearity",IF($L17="","",$L17),"")</f>
        <v/>
      </c>
      <c r="AN17" s="9" t="str">
        <f aca="false">IF($D17="Linearity",IF($W17="","",$W17),"")</f>
        <v/>
      </c>
      <c r="AO17" s="9" t="str">
        <f aca="false">IF($D17="Linearity",IF($P17="","",$P17),"")</f>
        <v/>
      </c>
      <c r="AP17" s="9" t="str">
        <f aca="false">IF($D17="Linearity",IF($AB17="","",$AB17),"")</f>
        <v/>
      </c>
      <c r="AQ17" s="9" t="str">
        <f aca="false">IF($D17="Drift",IF($A17&lt;IF(Setup!$B$14="",0,Setup!$B$14),"",$A17),"")</f>
        <v/>
      </c>
      <c r="AR17" s="9" t="str">
        <f aca="false">IF($D17="Drift",IF($A17&lt;IF(Setup!$B$14="",0,Setup!$B$14),"",IF($BI17="","",$BI17)),"")</f>
        <v/>
      </c>
      <c r="AS17" s="9" t="str">
        <f aca="false">IF($D17="Drift",IF($A17&lt;IF(Setup!$B$14="",0,Setup!$B$14),"",IF(OR($X17="",$BX17=1),"",$X17)),"")</f>
        <v/>
      </c>
      <c r="AT17" s="9" t="str">
        <f aca="false">IF($D17="Drift",IF($A17&lt;IF(Setup!$B$14="",0,Setup!$B$14),"",IF(OR($AC17="",$BY17=1),"",$AC17)),"")</f>
        <v/>
      </c>
      <c r="AU17" s="24" t="n">
        <f aca="false">IF($D17="Anchor",IF(OR($Z17="",$S17=""),"",$Z17),"")</f>
        <v>0.950809150120632</v>
      </c>
      <c r="AV17" s="25" t="n">
        <f aca="false">IF($D17="Anchor",IF(OR($Z17="",$S17=""),"",$S17),"")</f>
        <v>1.76</v>
      </c>
      <c r="AW17" s="24" t="n">
        <f aca="false">IF($D17="Anchor",IF(OR($AE17="",$T17=""),"",$AE17),"")</f>
        <v>-23.5088002043526</v>
      </c>
      <c r="AX17" s="25" t="n">
        <f aca="false">IF($D17="Anchor",IF(OR($AE17="",$T17=""),"",$T17),"")</f>
        <v>-40.81</v>
      </c>
      <c r="AY17" s="9" t="n">
        <f aca="false">IF(OR($D17="Blank",$D17="Exclude",$D17="Sample",$D17="",$G17="",$U17="",$L17=""),"",$G17*1000*$U17/100)</f>
        <v>76.3194</v>
      </c>
      <c r="AZ17" s="24" t="n">
        <f aca="false">IF($AY17="","",$L17)</f>
        <v>48.488</v>
      </c>
      <c r="BA17" s="9" t="n">
        <f aca="false">IF(OR($D17="Blank",$D17="Exclude",$D17="Sample",$D17="",$G17="",$V17="",$P17=""),"",$G17*1000*$V17/100)</f>
        <v>130.88</v>
      </c>
      <c r="BB17" s="24" t="n">
        <f aca="false">IF($BA17="","",$P17)</f>
        <v>57.934</v>
      </c>
      <c r="BC17" s="9" t="str">
        <f aca="false">IF(AND($D17="Blank",$L17&lt;&gt;""),$O17,"")</f>
        <v/>
      </c>
      <c r="BD17" s="9" t="str">
        <f aca="false">IF($BC17="","",$L17)</f>
        <v/>
      </c>
      <c r="BE17" s="9" t="str">
        <f aca="false">IF(AND($D17="Blank",$P17&lt;&gt;""),$R17,"")</f>
        <v/>
      </c>
      <c r="BF17" s="9" t="str">
        <f aca="false">IF($BE17="","",$P17)</f>
        <v/>
      </c>
      <c r="BG17" s="9" t="str">
        <f aca="false">IF(AND($D17="Drift",$BX17&lt;&gt;1),IF($AA17="","",$AA17),"")</f>
        <v/>
      </c>
      <c r="BH17" s="9" t="str">
        <f aca="false">IF(AND($D17="Drift",$BY17&lt;&gt;1),IF($AF17="","",$AF17),"")</f>
        <v/>
      </c>
      <c r="BI17" s="20" t="n">
        <f aca="false">IF($B17="","",IFERROR(INDEX(Raw!$G$2:$G$1001,MATCH($A17&amp;"|N|"&amp;SUMPRODUCT(MAX((Raw!$A$2:$A$1001=$A17)*(Raw!$R$2:$R$1001="N")*(Raw!$I$2:$I$1001=1)*Raw!$D$2:$D$1001)),Raw!$S$2:$S$1001,0)),""))</f>
        <v>27.3</v>
      </c>
      <c r="BJ17" s="21" t="n">
        <f aca="false">IF(OR($BI17="",Fits!$B$85&lt;=0),"",($BI17-Fits!$B$83)/Fits!$B$85)</f>
        <v>0.378378378378378</v>
      </c>
      <c r="BK17" s="9" t="str">
        <f aca="false">IF($AS17="","",IF($A17&gt;=Fits!$B$86,"",$A17))</f>
        <v/>
      </c>
      <c r="BL17" s="9" t="str">
        <f aca="false">IF($BK17="","",$X17)</f>
        <v/>
      </c>
      <c r="BM17" s="9" t="str">
        <f aca="false">IF($AS17="","",IF($A17&lt;Fits!$B$86,"",$A17))</f>
        <v/>
      </c>
      <c r="BN17" s="9" t="str">
        <f aca="false">IF($BM17="","",$X17)</f>
        <v/>
      </c>
      <c r="BO17" s="9" t="str">
        <f aca="false">IF(AND($D17="Drift",$BX17&lt;&gt;1),IF($O17="","",$O17),"")</f>
        <v/>
      </c>
      <c r="BP17" s="9" t="str">
        <f aca="false">IF(AND($D17="Drift",$BX17&lt;&gt;1),IF($W17="","",$W17),"")</f>
        <v/>
      </c>
      <c r="BQ17" s="9" t="str">
        <f aca="false">IF(AND($D17="Drift",$BX17&lt;&gt;1),IF($X17="","",$X17),"")</f>
        <v/>
      </c>
      <c r="BR17" s="9" t="str">
        <f aca="false">IF(AND($D17="Drift",$BX17&lt;&gt;1),IF($Z17="","",$Z17),"")</f>
        <v/>
      </c>
      <c r="BS17" s="9" t="n">
        <f aca="false">IF(OR($B17="",$H17=""),"",SUMPRODUCT(MIN((Raw!$A$2:$A$1001=$A17)*(Raw!$R$2:$R$1001="N")*(Raw!$I$2:$I$1001=0)*(Raw!$D$2:$D$1001&lt;$H17)*Raw!$D$2:$D$1001+(1-(Raw!$A$2:$A$1001=$A17)*(Raw!$R$2:$R$1001="N")*(Raw!$I$2:$I$1001=0)*(Raw!$D$2:$D$1001&lt;$H17))*9999)))</f>
        <v>1</v>
      </c>
      <c r="BT17" s="16" t="n">
        <f aca="false">IF(OR($BS17="",$BS17=9999,$BS17=0),"",IFERROR(INDEX(Raw!$N$2:$N$1001,MATCH($A17&amp;"|N|"&amp;$BS17,Raw!$S$2:$S$1001,0)),""))</f>
        <v>-1.129</v>
      </c>
      <c r="BU17" s="9" t="n">
        <f aca="false">IF($B17="","",SUMPRODUCT(MIN((Raw!$A$2:$A$1001=$A17)*(Raw!$R$2:$R$1001="C")*(Raw!$I$2:$I$1001=1)*Raw!$D$2:$D$1001+(1-(Raw!$A$2:$A$1001=$A17)*(Raw!$R$2:$R$1001="C")*(Raw!$I$2:$I$1001=1))*9999)))</f>
        <v>5</v>
      </c>
      <c r="BV17" s="9" t="n">
        <f aca="false">IF(OR($BU17="",$BU17=9999),"",SUMPRODUCT(MIN((Raw!$A$2:$A$1001=$A17)*(Raw!$R$2:$R$1001="C")*(Raw!$I$2:$I$1001=0)*(Raw!$D$2:$D$1001&gt;$BU17)*Raw!$D$2:$D$1001+(1-(Raw!$A$2:$A$1001=$A17)*(Raw!$R$2:$R$1001="C")*(Raw!$I$2:$I$1001=0)*(Raw!$D$2:$D$1001&gt;$BU17))*9999)))</f>
        <v>6</v>
      </c>
      <c r="BW17" s="16" t="n">
        <f aca="false">IF(OR($BV17="",$BV17=9999,$BV17=0),"",IFERROR(INDEX(Raw!$O$2:$O$1001,MATCH($A17&amp;"|C|"&amp;$BV17,Raw!$S$2:$S$1001,0)),""))</f>
        <v>-25.396</v>
      </c>
      <c r="BX17" s="9" t="n">
        <f aca="false">IF($B17="","",IF(ISNUMBER(SEARCH(","&amp;$A17&amp;",",","&amp;SUBSTITUTE(Setup!$B$16," ","")&amp;",")),1,0))</f>
        <v>0</v>
      </c>
      <c r="BY17" s="9" t="n">
        <f aca="false">IF($B17="","",IF(ISNUMBER(SEARCH(","&amp;$A17&amp;",",","&amp;SUBSTITUTE(Setup!$B$17," ","")&amp;",")),1,0))</f>
        <v>0</v>
      </c>
      <c r="BZ17" s="22" t="str">
        <f aca="false">IF($AS17="","",IF(Fits!$B$38="Row",$AQ17,IF($AR17="","",$AR17)))</f>
        <v/>
      </c>
      <c r="CA17" s="22" t="str">
        <f aca="false">IF($AT17="","",IF(Fits!$B$50="Row",$AQ17,IF($AR17="","",$AR17)))</f>
        <v/>
      </c>
      <c r="CB17" s="20" t="str">
        <f aca="false">IF(OR($D17&lt;&gt;"Drift",$X17="",$A17&lt;IF(Setup!$B$14="",0,Setup!$B$14),Fits!$B$107&lt;3,Fits!$B$110="",Fits!$B$109=0,IF(Fits!$B$38="Row",$AQ17,$AR17)=""),"",IF($BX17=1,IF(OR(Fits!$B$111="",Fits!$B$111=0),"",($X17-(IF(Fits!$B$38="Row",Fits!$B$32,Fits!$B$35)*IF(Fits!$B$38="Row",$AQ17,$AR17)+Fits!$B$110))/(Fits!$B$111*SQRT(1+(1/Fits!$B$107+(IF(Fits!$B$38="Row",$AQ17,$AR17)-Fits!$B$108)^2/Fits!$B$109)))),IF(OR(Fits!$B$107&lt;4,(1/Fits!$B$107+(IF(Fits!$B$38="Row",$AQ17,$AR17)-Fits!$B$108)^2/Fits!$B$109)&gt;=1),"",IF((Fits!$B$116-($X17-(IF(Fits!$B$38="Row",Fits!$B$32,Fits!$B$35)*IF(Fits!$B$38="Row",$AQ17,$AR17)+Fits!$B$110))^2/(1-(1/Fits!$B$107+(IF(Fits!$B$38="Row",$AQ17,$AR17)-Fits!$B$108)^2/Fits!$B$109)))&lt;=0,"",($X17-(IF(Fits!$B$38="Row",Fits!$B$32,Fits!$B$35)*IF(Fits!$B$38="Row",$AQ17,$AR17)+Fits!$B$110))/(SQRT((Fits!$B$116-($X17-(IF(Fits!$B$38="Row",Fits!$B$32,Fits!$B$35)*IF(Fits!$B$38="Row",$AQ17,$AR17)+Fits!$B$110))^2/(1-(1/Fits!$B$107+(IF(Fits!$B$38="Row",$AQ17,$AR17)-Fits!$B$108)^2/Fits!$B$109)))/(Fits!$B$107-3))*SQRT(1-(1/Fits!$B$107+(IF(Fits!$B$38="Row",$AQ17,$AR17)-Fits!$B$108)^2/Fits!$B$109)))))))</f>
        <v/>
      </c>
      <c r="CC17" s="20" t="str">
        <f aca="false">IF(OR($D17&lt;&gt;"Drift",$AC17="",$A17&lt;IF(Setup!$B$14="",0,Setup!$B$14),Fits!$B$120&lt;3,Fits!$B$123="",Fits!$B$122=0,IF(Fits!$B$50="Row",$AQ17,$AR17)=""),"",IF($BY17=1,IF(OR(Fits!$B$124="",Fits!$B$124=0),"",($AC17-(IF(Fits!$B$50="Row",Fits!$B$44,Fits!$B$47)*IF(Fits!$B$50="Row",$AQ17,$AR17)+Fits!$B$123))/(Fits!$B$124*SQRT(1+(1/Fits!$B$120+(IF(Fits!$B$50="Row",$AQ17,$AR17)-Fits!$B$121)^2/Fits!$B$122)))),IF(OR(Fits!$B$120&lt;4,(1/Fits!$B$120+(IF(Fits!$B$50="Row",$AQ17,$AR17)-Fits!$B$121)^2/Fits!$B$122)&gt;=1),"",IF((Fits!$B$129-($AC17-(IF(Fits!$B$50="Row",Fits!$B$44,Fits!$B$47)*IF(Fits!$B$50="Row",$AQ17,$AR17)+Fits!$B$123))^2/(1-(1/Fits!$B$120+(IF(Fits!$B$50="Row",$AQ17,$AR17)-Fits!$B$121)^2/Fits!$B$122)))&lt;=0,"",($AC17-(IF(Fits!$B$50="Row",Fits!$B$44,Fits!$B$47)*IF(Fits!$B$50="Row",$AQ17,$AR17)+Fits!$B$123))/(SQRT((Fits!$B$129-($AC17-(IF(Fits!$B$50="Row",Fits!$B$44,Fits!$B$47)*IF(Fits!$B$50="Row",$AQ17,$AR17)+Fits!$B$123))^2/(1-(1/Fits!$B$120+(IF(Fits!$B$50="Row",$AQ17,$AR17)-Fits!$B$121)^2/Fits!$B$122)))/(Fits!$B$120-3))*SQRT(1-(1/Fits!$B$120+(IF(Fits!$B$50="Row",$AQ17,$AR17)-Fits!$B$121)^2/Fits!$B$122)))))))</f>
        <v/>
      </c>
      <c r="CD17" s="9" t="n">
        <f aca="false">IF($AU17="","",1)</f>
        <v>1</v>
      </c>
      <c r="CE17" s="24" t="n">
        <f aca="false">IF($AU17="","",$AU17-Fits!$B$133)</f>
        <v>-8.97784203332225</v>
      </c>
      <c r="CF17" s="24" t="n">
        <f aca="false">IF($AU17="","",($AV17-(Fits!$B$56*$AU17+Fits!$B$57))-Fits!$B$56*($AU17-Fits!$B$133))</f>
        <v>8.97326473764776</v>
      </c>
      <c r="CG17" s="25" t="n">
        <f aca="false">IF($AU17="","",$AU17^2)</f>
        <v>0.904038039953119</v>
      </c>
      <c r="CH17" s="9" t="n">
        <f aca="false">IF($AW17="","",1)</f>
        <v>1</v>
      </c>
      <c r="CI17" s="24" t="n">
        <f aca="false">IF($AW17="","",$AW17-Fits!$B$153)</f>
        <v>-10.1402144950224</v>
      </c>
      <c r="CJ17" s="24" t="n">
        <f aca="false">IF($AW17="","",($AX17-(Fits!$B$63*$AW17+Fits!$B$64))-Fits!$B$63*($AW17-Fits!$B$153))</f>
        <v>10.3074090399822</v>
      </c>
      <c r="CK17" s="25" t="n">
        <f aca="false">IF($AW17="","",$AW17^2)</f>
        <v>552.663687048168</v>
      </c>
      <c r="CL17" s="26" t="n">
        <f aca="false">IF(OR($Z17="",Fits!$B$55&lt;3,Fits!$B$133="",Fits!$B$134="",Fits!$B$134=0,Fits!$B$136=""),"",SQRT((Fits!$B$136*Fits!$B$56)^2+SUMPRODUCT((Fits!$J$163:$J$175*(Fits!$B$163:$B$175/Fits!$B$55+Fits!$H$163:$H$175*($Z17-Fits!$B$133)/Fits!$B$134))^2)+SUMPRODUCT((Fits!$G$163:$G$175*(($Z17-Fits!$B$133)*Fits!$I$163:$I$175/Fits!$B$134-Fits!$B$163:$B$175*Fits!$B$56/Fits!$B$55))^2)))</f>
        <v>0.21867018734307</v>
      </c>
      <c r="CM17" s="26" t="n">
        <f aca="false">IF($CL17="","",Setup!$B$32*$CL17)</f>
        <v>0.43734037468614</v>
      </c>
      <c r="CN17" s="26" t="n">
        <f aca="false">IF(OR($AE17="",Fits!$B$62&lt;3,Fits!$B$153="",Fits!$B$154="",Fits!$B$154=0,Fits!$B$156=""),"",SQRT((Fits!$B$156*Fits!$B$63)^2+SUMPRODUCT((Fits!$J$183:$J$195*(Fits!$B$183:$B$195/Fits!$B$62+Fits!$H$183:$H$195*($AE17-Fits!$B$153)/Fits!$B$154))^2)+SUMPRODUCT((Fits!$G$183:$G$195*(($AE17-Fits!$B$153)*Fits!$I$183:$I$195/Fits!$B$154-Fits!$B$183:$B$195*Fits!$B$63/Fits!$B$62))^2)))</f>
        <v>0.0467254392374568</v>
      </c>
      <c r="CO17" s="26" t="n">
        <f aca="false">IF($CN17="","",Setup!$B$32*$CN17)</f>
        <v>0.0934508784749136</v>
      </c>
      <c r="CP17" s="9" t="n">
        <f aca="false">IF(OR(NOT(ISNUMBER($BJ17)),$EK17=1),$CP16,IF($BJ17&lt;=Setup!$B$26,$CP16+1,0))</f>
        <v>0</v>
      </c>
      <c r="CQ17" s="9" t="n">
        <f aca="false">IF($BT17="","",$A17)</f>
        <v>12</v>
      </c>
      <c r="CR17" s="9" t="n">
        <f aca="false">IF($BW17="","",$A17)</f>
        <v>12</v>
      </c>
      <c r="CS17" s="9" t="n">
        <f aca="false">IF($B17="","",IF(Setup!$A$37="",0,IF(ISNUMBER(SEARCH(Setup!$A$37,$B17)),37,0)))</f>
        <v>37</v>
      </c>
      <c r="CT17" s="9" t="n">
        <f aca="false">IF($B17="","",IF(Setup!$A$38="",0,IF(ISNUMBER(SEARCH(Setup!$A$38,$B17)),38,0)))</f>
        <v>0</v>
      </c>
      <c r="CU17" s="9" t="n">
        <f aca="false">IF($B17="","",IF(Setup!$A$39="",0,IF(ISNUMBER(SEARCH(Setup!$A$39,$B17)),39,0)))</f>
        <v>0</v>
      </c>
      <c r="CV17" s="9" t="n">
        <f aca="false">IF($B17="","",IF(Setup!$A$40="",0,IF(ISNUMBER(SEARCH(Setup!$A$40,$B17)),40,0)))</f>
        <v>0</v>
      </c>
      <c r="CW17" s="9" t="n">
        <f aca="false">IF($B17="","",IF(Setup!$A$41="",0,IF(ISNUMBER(SEARCH(Setup!$A$41,$B17)),41,0)))</f>
        <v>0</v>
      </c>
      <c r="CX17" s="9" t="n">
        <f aca="false">IF($B17="","",IF(Setup!$A$42="",0,IF(ISNUMBER(SEARCH(Setup!$A$42,$B17)),42,0)))</f>
        <v>0</v>
      </c>
      <c r="CY17" s="9" t="n">
        <f aca="false">IF($B17="","",IF(Setup!$A$43="",0,IF(ISNUMBER(SEARCH(Setup!$A$43,$B17)),43,0)))</f>
        <v>0</v>
      </c>
      <c r="CZ17" s="9" t="n">
        <f aca="false">IF($B17="","",IF(Setup!$A$44="",0,IF(ISNUMBER(SEARCH(Setup!$A$44,$B17)),44,0)))</f>
        <v>0</v>
      </c>
      <c r="DA17" s="9" t="n">
        <f aca="false">IF($B17="","",IF(Setup!$A$45="",0,IF(ISNUMBER(SEARCH(Setup!$A$45,$B17)),45,0)))</f>
        <v>0</v>
      </c>
      <c r="DB17" s="9" t="n">
        <f aca="false">IF($B17="","",IF(Setup!$A$46="",0,IF(ISNUMBER(SEARCH(Setup!$A$46,$B17)),46,0)))</f>
        <v>0</v>
      </c>
      <c r="DC17" s="9" t="n">
        <f aca="false">IF($B17="","",IF(Setup!$A$47="",0,IF(ISNUMBER(SEARCH(Setup!$A$47,$B17)),47,0)))</f>
        <v>0</v>
      </c>
      <c r="DD17" s="9" t="n">
        <f aca="false">IF($B17="","",IF(Setup!$A$48="",0,IF(ISNUMBER(SEARCH(Setup!$A$48,$B17)),48,0)))</f>
        <v>0</v>
      </c>
      <c r="DE17" s="9" t="n">
        <f aca="false">IF($B17="","",IF(Setup!$A$49="",0,IF(ISNUMBER(SEARCH(Setup!$A$49,$B17)),49,0)))</f>
        <v>0</v>
      </c>
      <c r="DF17" s="9" t="n">
        <f aca="false">IF($B17="",NA(),$A17)</f>
        <v>12</v>
      </c>
      <c r="DG17" s="22" t="n">
        <f aca="false">IF($BI17="",NA(),$BI17)</f>
        <v>27.3</v>
      </c>
      <c r="DH17" s="22" t="n">
        <f aca="false">IF($N17="",NA(),$N17)</f>
        <v>29.5</v>
      </c>
      <c r="DI17" s="9" t="e">
        <f aca="false">IF(AND($D17="Drift",$N17&lt;&gt;""),$N17,NA())</f>
        <v>#N/A</v>
      </c>
      <c r="DJ17" s="9" t="str">
        <f aca="false">IF(AND($D17="Drift",$N17&lt;&gt;""),$N17,"")</f>
        <v/>
      </c>
      <c r="DK17" s="9" t="str">
        <f aca="false">IF($DJ17="","",$A17)</f>
        <v/>
      </c>
      <c r="DL17" s="9" t="e">
        <f aca="false">IF($AN17="",NA(),$AM17)</f>
        <v>#N/A</v>
      </c>
      <c r="DM17" s="9" t="e">
        <f aca="false">IF($AN17="",NA(),$AN17)</f>
        <v>#N/A</v>
      </c>
      <c r="DN17" s="9" t="e">
        <f aca="false">IF(AND($D17="Sample",$L17&lt;&gt;""),$L17,NA())</f>
        <v>#N/A</v>
      </c>
      <c r="DO17" s="9" t="e">
        <f aca="false">IF(AND($D17="Sample",$L17&lt;&gt;"",Fits!$B$98&lt;&gt;""),Fits!$B$98,NA())</f>
        <v>#N/A</v>
      </c>
      <c r="DP17" s="9" t="e">
        <f aca="false">IF($AS17="",NA(),$AS17)</f>
        <v>#N/A</v>
      </c>
      <c r="DQ17" s="9" t="e">
        <f aca="false">IF(AND($D17="Drift",$AS17="",$X17&lt;&gt;""),$X17,NA())</f>
        <v>#N/A</v>
      </c>
      <c r="DR17" s="9" t="e">
        <f aca="false">IF(AND($D17="Drift",$Z17&lt;&gt;""),$Z17,NA())</f>
        <v>#N/A</v>
      </c>
      <c r="DS17" s="9" t="e">
        <f aca="false">IF(AND(OR($D17="Sample",$D17="Check"),$AA17&lt;&gt;""),$AA17,NA())</f>
        <v>#N/A</v>
      </c>
      <c r="DT17" s="25" t="n">
        <f aca="false">IF(OR($B17="",Fits!$B$138=""),NA(),Fits!$B$138)</f>
        <v>1.76</v>
      </c>
      <c r="DU17" s="25" t="n">
        <f aca="false">IF(OR($B17="",Fits!$B$139=""),NA(),Fits!$B$139)</f>
        <v>20.68</v>
      </c>
      <c r="DV17" s="24" t="n">
        <f aca="false">IF($BT17="",NA(),$BT17)</f>
        <v>-1.129</v>
      </c>
      <c r="DW17" s="9" t="e">
        <f aca="false">IF($AP17="",NA(),$AO17)</f>
        <v>#N/A</v>
      </c>
      <c r="DX17" s="9" t="e">
        <f aca="false">IF($AP17="",NA(),$AP17)</f>
        <v>#N/A</v>
      </c>
      <c r="DY17" s="9" t="e">
        <f aca="false">IF(AND($D17="Sample",$P17&lt;&gt;""),$P17,NA())</f>
        <v>#N/A</v>
      </c>
      <c r="DZ17" s="9" t="e">
        <f aca="false">IF(AND($D17="Sample",$P17&lt;&gt;"",Fits!$B$105&lt;&gt;""),Fits!$B$105,NA())</f>
        <v>#N/A</v>
      </c>
      <c r="EA17" s="9" t="e">
        <f aca="false">IF($AT17="",NA(),$AT17)</f>
        <v>#N/A</v>
      </c>
      <c r="EB17" s="9" t="e">
        <f aca="false">IF(AND($D17="Drift",$AT17="",$AC17&lt;&gt;""),$AC17,NA())</f>
        <v>#N/A</v>
      </c>
      <c r="EC17" s="9" t="e">
        <f aca="false">IF(AND($D17="Drift",$AE17&lt;&gt;""),$AE17,NA())</f>
        <v>#N/A</v>
      </c>
      <c r="ED17" s="9" t="e">
        <f aca="false">IF(AND(OR($D17="Sample",$D17="Check"),$AF17&lt;&gt;""),$AF17,NA())</f>
        <v>#N/A</v>
      </c>
      <c r="EE17" s="25" t="n">
        <f aca="false">IF(OR($B17="",Fits!$B$158=""),NA(),Fits!$B$158)</f>
        <v>-40.81</v>
      </c>
      <c r="EF17" s="25" t="n">
        <f aca="false">IF(OR($B17="",Fits!$B$159=""),NA(),Fits!$B$159)</f>
        <v>-20.29</v>
      </c>
      <c r="EG17" s="24" t="n">
        <f aca="false">IF($BW17="",NA(),$BW17)</f>
        <v>-25.396</v>
      </c>
      <c r="EH17" s="9" t="e">
        <f aca="false">IF(AND($EN17=1,ISNUMBER($N17)),$N17,NA())</f>
        <v>#N/A</v>
      </c>
      <c r="EI17" s="9" t="n">
        <f aca="false">IF($B17="","",$A17)</f>
        <v>12</v>
      </c>
      <c r="EJ17" s="9" t="n">
        <f aca="false">IF(OR(AND(ISNUMBER($L17),Fits!$B$97&gt;0,$L17&gt;Fits!$B$97),AND(ISNUMBER($P17),Fits!$B$104&gt;0,$P17&gt;Fits!$B$104)),1,0)</f>
        <v>0</v>
      </c>
      <c r="EK17" s="9" t="n">
        <f aca="false">IF(OR($EJ16=1,$EJ15=1),1,0)</f>
        <v>0</v>
      </c>
      <c r="EL17" s="22" t="n">
        <f aca="false">IF(AND($EK17=0,ISNUMBER($N17)),$N17,$EL16)</f>
        <v>29.5</v>
      </c>
      <c r="EM17" s="9" t="str">
        <f aca="false">IF(AND($EK17=1,ISNUMBER($N17),ISNUMBER($EL17)),$N17-$EL17,"")</f>
        <v/>
      </c>
      <c r="EN17" s="9" t="n">
        <f aca="false">IF(Setup!$B$28="",0,IF(ISNUMBER($EM17),IF($EM17&gt;Setup!$B$28,1,0),0))</f>
        <v>0</v>
      </c>
      <c r="EO17" s="9" t="str">
        <f aca="false">IF($EN17=1,COUNTIF($EN$6:$EN17,1),"")</f>
        <v/>
      </c>
      <c r="EP17" s="9" t="n">
        <f aca="false">IF(AND($EJ16=1,OR($D17="Sample",$D17="Check")),1,0)</f>
        <v>0</v>
      </c>
      <c r="EQ17" s="9" t="str">
        <f aca="false">IF(ISNUMBER($BI17),IF(COUNT($BI$6:$BI17)&lt;=5,$BI17,""),"")</f>
        <v/>
      </c>
      <c r="ER17" s="9" t="str">
        <f aca="false">IF(OR(NOT(ISNUMBER($BJ17)),$EK17=1),$ER16,IF($BJ17&lt;=Setup!$B$26,IF($CP16=0,$A17,$ER16),""))</f>
        <v/>
      </c>
    </row>
    <row r="18" customFormat="false" ht="15" hidden="false" customHeight="false" outlineLevel="0" collapsed="false">
      <c r="A18" s="8" t="n">
        <v>13</v>
      </c>
      <c r="B18" s="8" t="str">
        <f aca="false">IFERROR(INDEX(Raw!$B$2:$B$1001,MATCH($A18,Raw!$A$2:$A$1001,0)),"")</f>
        <v>USGS 64</v>
      </c>
      <c r="C18" s="9" t="n">
        <f aca="false">IF($B18="","",MAX($CS18:$DE18))</f>
        <v>37</v>
      </c>
      <c r="D18" s="8" t="str">
        <f aca="false">IF($B18="","",IF($C18=0,"Sample",INDEX(Setup!$B$37:$B$49,$C18-36)))</f>
        <v>Anchor</v>
      </c>
      <c r="E18" s="16" t="n">
        <f aca="false">IF($B18="","",IFERROR(IF(INDEX(Raw!$E$2:$E$1001,MATCH($A18,Raw!$A$2:$A$1001,0))=0,"",INDEX(Raw!$E$2:$E$1001,MATCH($A18,Raw!$A$2:$A$1001,0))),""))</f>
        <v>0.389</v>
      </c>
      <c r="F18" s="18"/>
      <c r="G18" s="16" t="n">
        <f aca="false">IF($B18="","",IF($F18&lt;&gt;"",$F18,IF($E18="","",$E18)))</f>
        <v>0.389</v>
      </c>
      <c r="H18" s="9" t="n">
        <f aca="false">IF($B18="","",SUMPRODUCT(MAX((Raw!$A$2:$A$1001=$A18)*(Raw!$R$2:$R$1001="N")*Raw!$D$2:$D$1001)))</f>
        <v>3</v>
      </c>
      <c r="I18" s="9" t="str">
        <f aca="false">IF(OR($H18="",$H18=0),"",$A18&amp;"|N|"&amp;$H18)</f>
        <v>13|N|3</v>
      </c>
      <c r="J18" s="9" t="n">
        <f aca="false">IF($B18="","",SUMPRODUCT(MIN((Raw!$A$2:$A$1001=$A18)*(Raw!$R$2:$R$1001="C")*Raw!$D$2:$D$1001+(1-(Raw!$A$2:$A$1001=$A18)*(Raw!$R$2:$R$1001="C"))*9999)))</f>
        <v>4</v>
      </c>
      <c r="K18" s="9" t="str">
        <f aca="false">IF(OR($J18="",$J18=0,$J18=9999),"",$A18&amp;"|C|"&amp;$J18)</f>
        <v>13|C|4</v>
      </c>
      <c r="L18" s="16" t="n">
        <f aca="false">IF($I18="","",IF(INDEX(Raw!$I$2:$I$1001,MATCH($I18,Raw!$S$2:$S$1001,0))&lt;&gt;0,"",INDEX(Raw!$H$2:$H$1001,MATCH($I18,Raw!$S$2:$S$1001,0))))</f>
        <v>46.173</v>
      </c>
      <c r="M18" s="19" t="n">
        <f aca="false">IF($I18="","",IF(INDEX(Raw!$I$2:$I$1001,MATCH($I18,Raw!$S$2:$S$1001,0))&lt;&gt;0,"",INDEX(Raw!$F$2:$F$1001,MATCH($I18,Raw!$S$2:$S$1001,0))))</f>
        <v>2667</v>
      </c>
      <c r="N18" s="20" t="n">
        <f aca="false">IF($I18="","",IF(INDEX(Raw!$I$2:$I$1001,MATCH($I18,Raw!$S$2:$S$1001,0))&lt;&gt;0,"",INDEX(Raw!$G$2:$G$1001,MATCH($I18,Raw!$S$2:$S$1001,0))))</f>
        <v>29</v>
      </c>
      <c r="O18" s="16" t="n">
        <f aca="false">IF($I18="","",IF(INDEX(Raw!$I$2:$I$1001,MATCH($I18,Raw!$S$2:$S$1001,0))&lt;&gt;0,"",INDEX(Raw!$N$2:$N$1001,MATCH($I18,Raw!$S$2:$S$1001,0))))</f>
        <v>0.888</v>
      </c>
      <c r="P18" s="16" t="n">
        <f aca="false">IF($K18="","",IF(INDEX(Raw!$I$2:$I$1001,MATCH($K18,Raw!$S$2:$S$1001,0))&lt;&gt;0,"",INDEX(Raw!$K$2:$K$1001,MATCH($K18,Raw!$S$2:$S$1001,0))))</f>
        <v>55.493</v>
      </c>
      <c r="Q18" s="19" t="n">
        <f aca="false">IF($K18="","",IF(INDEX(Raw!$I$2:$I$1001,MATCH($K18,Raw!$S$2:$S$1001,0))&lt;&gt;0,"",INDEX(Raw!$J$2:$J$1001,MATCH($K18,Raw!$S$2:$S$1001,0))))</f>
        <v>2543</v>
      </c>
      <c r="R18" s="16" t="n">
        <f aca="false">IF($K18="","",IF(INDEX(Raw!$I$2:$I$1001,MATCH($K18,Raw!$S$2:$S$1001,0))&lt;&gt;0,"",INDEX(Raw!$O$2:$O$1001,MATCH($K18,Raw!$S$2:$S$1001,0))))</f>
        <v>-23.656</v>
      </c>
      <c r="S18" s="21" t="n">
        <f aca="false">IF($B18="","",IF($C18=0,"",IF(INDEX(Setup!$D$37:$D$49,$C18-36)="","",INDEX(Setup!$D$37:$D$49,$C18-36))))</f>
        <v>1.76</v>
      </c>
      <c r="T18" s="21" t="n">
        <f aca="false">IF($B18="","",IF($C18=0,"",IF(INDEX(Setup!$C$37:$C$49,$C18-36)="","",INDEX(Setup!$C$37:$C$49,$C18-36))))</f>
        <v>-40.81</v>
      </c>
      <c r="U18" s="21" t="n">
        <f aca="false">IF($B18="","",IF($C18=0,"",IF(INDEX(Setup!$F$37:$F$49,$C18-36)="","",INDEX(Setup!$F$37:$F$49,$C18-36))))</f>
        <v>18.66</v>
      </c>
      <c r="V18" s="21" t="n">
        <f aca="false">IF($B18="","",IF($C18=0,"",IF(INDEX(Setup!$E$37:$E$49,$C18-36)="","",INDEX(Setup!$E$37:$E$49,$C18-36))))</f>
        <v>32</v>
      </c>
      <c r="W18" s="16" t="n">
        <f aca="false">IF($O18="","",IF(OR(Fits!$C$5&lt;&gt;"Yes",$D18="Blank",$L18&lt;=Fits!$B$6),$O18,($L18*$O18-Fits!$B$6*Fits!$B$7)/($L18-Fits!$B$6)))</f>
        <v>0.888</v>
      </c>
      <c r="X18" s="16" t="n">
        <f aca="false">IF($W18="","",$W18-Fits!$B$20*($L18-Fits!$B$16))</f>
        <v>0.888</v>
      </c>
      <c r="Y18" s="22" t="n">
        <f aca="false">IF($W18="","",IF(OR(Fits!$B$38="Row",$BI18=""),$A18,$BI18))</f>
        <v>13</v>
      </c>
      <c r="Z18" s="16" t="n">
        <f aca="false">IF($X18="","",$X18-Fits!$B$39*($Y18-Fits!$B$40))</f>
        <v>0.581563500115091</v>
      </c>
      <c r="AA18" s="23" t="n">
        <f aca="false">IF(OR($Z18="",Fits!$B$55&lt;2),"",Fits!$B$56*$Z18+Fits!$B$57)</f>
        <v>1.62430088025122</v>
      </c>
      <c r="AB18" s="16" t="n">
        <f aca="false">IF($R18="","",IF(OR(Fits!$C$9&lt;&gt;"Yes",$D18="Blank",$P18&lt;=Fits!$B$10),$R18,($P18*$R18-Fits!$B$10*Fits!$B$11)/($P18-Fits!$B$10)))</f>
        <v>-23.656</v>
      </c>
      <c r="AC18" s="16" t="n">
        <f aca="false">IF($AB18="","",$AB18-Fits!$B$28*($P18-Fits!$B$24))</f>
        <v>-23.5311197756346</v>
      </c>
      <c r="AD18" s="22" t="n">
        <f aca="false">IF($AB18="","",IF(OR(Fits!$B$50="Row",$BI18=""),$A18,$BI18))</f>
        <v>13</v>
      </c>
      <c r="AE18" s="16" t="n">
        <f aca="false">IF($AC18="","",$AC18-Fits!$B$51*($AD18-Fits!$B$52))</f>
        <v>-23.477168226562</v>
      </c>
      <c r="AF18" s="23" t="n">
        <f aca="false">IF(OR($AE18="",Fits!$B$62&lt;2),"",Fits!$B$63*$AE18+Fits!$B$64)</f>
        <v>-40.8016249310297</v>
      </c>
      <c r="AG18" s="21" t="n">
        <f aca="false">IF(OR($L18="",Fits!$B$69&lt;3),"",($L18-Fits!$B$71)/Fits!$B$70)</f>
        <v>72.9947495754769</v>
      </c>
      <c r="AH18" s="21" t="n">
        <f aca="false">IF(OR($P18="",Fits!$B$75&lt;3),"",($P18-Fits!$B$77)/Fits!$B$76)</f>
        <v>122.412722577661</v>
      </c>
      <c r="AI18" s="23" t="n">
        <f aca="false">IF(OR($AG18="",$G18="",$G18=0),"",$AG18/($G18*1000)*100)</f>
        <v>18.7647171145185</v>
      </c>
      <c r="AJ18" s="23" t="n">
        <f aca="false">IF(OR($AH18="",$G18="",$G18=0),"",$AH18/($G18*1000)*100)</f>
        <v>31.4685662153371</v>
      </c>
      <c r="AK18" s="23" t="n">
        <f aca="false">IF(OR($AG18="",$AH18="",$AG18&lt;=0),"",($AH18/Setup!$B$52)/($AG18/Setup!$B$53))</f>
        <v>1.95569396635104</v>
      </c>
      <c r="AL18" s="23" t="n">
        <f aca="false">IF(OR($AG18="",$AH18="",$AG18&lt;=0),"",$AH18/$AG18)</f>
        <v>1.67700722708948</v>
      </c>
      <c r="AM18" s="9" t="str">
        <f aca="false">IF($D18="Linearity",IF($L18="","",$L18),"")</f>
        <v/>
      </c>
      <c r="AN18" s="9" t="str">
        <f aca="false">IF($D18="Linearity",IF($W18="","",$W18),"")</f>
        <v/>
      </c>
      <c r="AO18" s="9" t="str">
        <f aca="false">IF($D18="Linearity",IF($P18="","",$P18),"")</f>
        <v/>
      </c>
      <c r="AP18" s="9" t="str">
        <f aca="false">IF($D18="Linearity",IF($AB18="","",$AB18),"")</f>
        <v/>
      </c>
      <c r="AQ18" s="9" t="str">
        <f aca="false">IF($D18="Drift",IF($A18&lt;IF(Setup!$B$14="",0,Setup!$B$14),"",$A18),"")</f>
        <v/>
      </c>
      <c r="AR18" s="9" t="str">
        <f aca="false">IF($D18="Drift",IF($A18&lt;IF(Setup!$B$14="",0,Setup!$B$14),"",IF($BI18="","",$BI18)),"")</f>
        <v/>
      </c>
      <c r="AS18" s="9" t="str">
        <f aca="false">IF($D18="Drift",IF($A18&lt;IF(Setup!$B$14="",0,Setup!$B$14),"",IF(OR($X18="",$BX18=1),"",$X18)),"")</f>
        <v/>
      </c>
      <c r="AT18" s="9" t="str">
        <f aca="false">IF($D18="Drift",IF($A18&lt;IF(Setup!$B$14="",0,Setup!$B$14),"",IF(OR($AC18="",$BY18=1),"",$AC18)),"")</f>
        <v/>
      </c>
      <c r="AU18" s="24" t="n">
        <f aca="false">IF($D18="Anchor",IF(OR($Z18="",$S18=""),"",$Z18),"")</f>
        <v>0.581563500115091</v>
      </c>
      <c r="AV18" s="25" t="n">
        <f aca="false">IF($D18="Anchor",IF(OR($Z18="",$S18=""),"",$S18),"")</f>
        <v>1.76</v>
      </c>
      <c r="AW18" s="24" t="n">
        <f aca="false">IF($D18="Anchor",IF(OR($AE18="",$T18=""),"",$AE18),"")</f>
        <v>-23.477168226562</v>
      </c>
      <c r="AX18" s="25" t="n">
        <f aca="false">IF($D18="Anchor",IF(OR($AE18="",$T18=""),"",$T18),"")</f>
        <v>-40.81</v>
      </c>
      <c r="AY18" s="9" t="n">
        <f aca="false">IF(OR($D18="Blank",$D18="Exclude",$D18="Sample",$D18="",$G18="",$U18="",$L18=""),"",$G18*1000*$U18/100)</f>
        <v>72.5874</v>
      </c>
      <c r="AZ18" s="24" t="n">
        <f aca="false">IF($AY18="","",$L18)</f>
        <v>46.173</v>
      </c>
      <c r="BA18" s="9" t="n">
        <f aca="false">IF(OR($D18="Blank",$D18="Exclude",$D18="Sample",$D18="",$G18="",$V18="",$P18=""),"",$G18*1000*$V18/100)</f>
        <v>124.48</v>
      </c>
      <c r="BB18" s="24" t="n">
        <f aca="false">IF($BA18="","",$P18)</f>
        <v>55.493</v>
      </c>
      <c r="BC18" s="9" t="str">
        <f aca="false">IF(AND($D18="Blank",$L18&lt;&gt;""),$O18,"")</f>
        <v/>
      </c>
      <c r="BD18" s="9" t="str">
        <f aca="false">IF($BC18="","",$L18)</f>
        <v/>
      </c>
      <c r="BE18" s="9" t="str">
        <f aca="false">IF(AND($D18="Blank",$P18&lt;&gt;""),$R18,"")</f>
        <v/>
      </c>
      <c r="BF18" s="9" t="str">
        <f aca="false">IF($BE18="","",$P18)</f>
        <v/>
      </c>
      <c r="BG18" s="9" t="str">
        <f aca="false">IF(AND($D18="Drift",$BX18&lt;&gt;1),IF($AA18="","",$AA18),"")</f>
        <v/>
      </c>
      <c r="BH18" s="9" t="str">
        <f aca="false">IF(AND($D18="Drift",$BY18&lt;&gt;1),IF($AF18="","",$AF18),"")</f>
        <v/>
      </c>
      <c r="BI18" s="20" t="n">
        <f aca="false">IF($B18="","",IFERROR(INDEX(Raw!$G$2:$G$1001,MATCH($A18&amp;"|N|"&amp;SUMPRODUCT(MAX((Raw!$A$2:$A$1001=$A18)*(Raw!$R$2:$R$1001="N")*(Raw!$I$2:$I$1001=1)*Raw!$D$2:$D$1001)),Raw!$S$2:$S$1001,0)),""))</f>
        <v>27</v>
      </c>
      <c r="BJ18" s="21" t="n">
        <f aca="false">IF(OR($BI18="",Fits!$B$85&lt;=0),"",($BI18-Fits!$B$83)/Fits!$B$85)</f>
        <v>0.351351351351351</v>
      </c>
      <c r="BK18" s="9" t="str">
        <f aca="false">IF($AS18="","",IF($A18&gt;=Fits!$B$86,"",$A18))</f>
        <v/>
      </c>
      <c r="BL18" s="9" t="str">
        <f aca="false">IF($BK18="","",$X18)</f>
        <v/>
      </c>
      <c r="BM18" s="9" t="str">
        <f aca="false">IF($AS18="","",IF($A18&lt;Fits!$B$86,"",$A18))</f>
        <v/>
      </c>
      <c r="BN18" s="9" t="str">
        <f aca="false">IF($BM18="","",$X18)</f>
        <v/>
      </c>
      <c r="BO18" s="9" t="str">
        <f aca="false">IF(AND($D18="Drift",$BX18&lt;&gt;1),IF($O18="","",$O18),"")</f>
        <v/>
      </c>
      <c r="BP18" s="9" t="str">
        <f aca="false">IF(AND($D18="Drift",$BX18&lt;&gt;1),IF($W18="","",$W18),"")</f>
        <v/>
      </c>
      <c r="BQ18" s="9" t="str">
        <f aca="false">IF(AND($D18="Drift",$BX18&lt;&gt;1),IF($X18="","",$X18),"")</f>
        <v/>
      </c>
      <c r="BR18" s="9" t="str">
        <f aca="false">IF(AND($D18="Drift",$BX18&lt;&gt;1),IF($Z18="","",$Z18),"")</f>
        <v/>
      </c>
      <c r="BS18" s="9" t="n">
        <f aca="false">IF(OR($B18="",$H18=""),"",SUMPRODUCT(MIN((Raw!$A$2:$A$1001=$A18)*(Raw!$R$2:$R$1001="N")*(Raw!$I$2:$I$1001=0)*(Raw!$D$2:$D$1001&lt;$H18)*Raw!$D$2:$D$1001+(1-(Raw!$A$2:$A$1001=$A18)*(Raw!$R$2:$R$1001="N")*(Raw!$I$2:$I$1001=0)*(Raw!$D$2:$D$1001&lt;$H18))*9999)))</f>
        <v>1</v>
      </c>
      <c r="BT18" s="16" t="n">
        <f aca="false">IF(OR($BS18="",$BS18=9999,$BS18=0),"",IFERROR(INDEX(Raw!$N$2:$N$1001,MATCH($A18&amp;"|N|"&amp;$BS18,Raw!$S$2:$S$1001,0)),""))</f>
        <v>-1.266</v>
      </c>
      <c r="BU18" s="9" t="n">
        <f aca="false">IF($B18="","",SUMPRODUCT(MIN((Raw!$A$2:$A$1001=$A18)*(Raw!$R$2:$R$1001="C")*(Raw!$I$2:$I$1001=1)*Raw!$D$2:$D$1001+(1-(Raw!$A$2:$A$1001=$A18)*(Raw!$R$2:$R$1001="C")*(Raw!$I$2:$I$1001=1))*9999)))</f>
        <v>5</v>
      </c>
      <c r="BV18" s="9" t="n">
        <f aca="false">IF(OR($BU18="",$BU18=9999),"",SUMPRODUCT(MIN((Raw!$A$2:$A$1001=$A18)*(Raw!$R$2:$R$1001="C")*(Raw!$I$2:$I$1001=0)*(Raw!$D$2:$D$1001&gt;$BU18)*Raw!$D$2:$D$1001+(1-(Raw!$A$2:$A$1001=$A18)*(Raw!$R$2:$R$1001="C")*(Raw!$I$2:$I$1001=0)*(Raw!$D$2:$D$1001&gt;$BU18))*9999)))</f>
        <v>6</v>
      </c>
      <c r="BW18" s="16" t="n">
        <f aca="false">IF(OR($BV18="",$BV18=9999,$BV18=0),"",IFERROR(INDEX(Raw!$O$2:$O$1001,MATCH($A18&amp;"|C|"&amp;$BV18,Raw!$S$2:$S$1001,0)),""))</f>
        <v>-25.393</v>
      </c>
      <c r="BX18" s="9" t="n">
        <f aca="false">IF($B18="","",IF(ISNUMBER(SEARCH(","&amp;$A18&amp;",",","&amp;SUBSTITUTE(Setup!$B$16," ","")&amp;",")),1,0))</f>
        <v>0</v>
      </c>
      <c r="BY18" s="9" t="n">
        <f aca="false">IF($B18="","",IF(ISNUMBER(SEARCH(","&amp;$A18&amp;",",","&amp;SUBSTITUTE(Setup!$B$17," ","")&amp;",")),1,0))</f>
        <v>0</v>
      </c>
      <c r="BZ18" s="22" t="str">
        <f aca="false">IF($AS18="","",IF(Fits!$B$38="Row",$AQ18,IF($AR18="","",$AR18)))</f>
        <v/>
      </c>
      <c r="CA18" s="22" t="str">
        <f aca="false">IF($AT18="","",IF(Fits!$B$50="Row",$AQ18,IF($AR18="","",$AR18)))</f>
        <v/>
      </c>
      <c r="CB18" s="20" t="str">
        <f aca="false">IF(OR($D18&lt;&gt;"Drift",$X18="",$A18&lt;IF(Setup!$B$14="",0,Setup!$B$14),Fits!$B$107&lt;3,Fits!$B$110="",Fits!$B$109=0,IF(Fits!$B$38="Row",$AQ18,$AR18)=""),"",IF($BX18=1,IF(OR(Fits!$B$111="",Fits!$B$111=0),"",($X18-(IF(Fits!$B$38="Row",Fits!$B$32,Fits!$B$35)*IF(Fits!$B$38="Row",$AQ18,$AR18)+Fits!$B$110))/(Fits!$B$111*SQRT(1+(1/Fits!$B$107+(IF(Fits!$B$38="Row",$AQ18,$AR18)-Fits!$B$108)^2/Fits!$B$109)))),IF(OR(Fits!$B$107&lt;4,(1/Fits!$B$107+(IF(Fits!$B$38="Row",$AQ18,$AR18)-Fits!$B$108)^2/Fits!$B$109)&gt;=1),"",IF((Fits!$B$116-($X18-(IF(Fits!$B$38="Row",Fits!$B$32,Fits!$B$35)*IF(Fits!$B$38="Row",$AQ18,$AR18)+Fits!$B$110))^2/(1-(1/Fits!$B$107+(IF(Fits!$B$38="Row",$AQ18,$AR18)-Fits!$B$108)^2/Fits!$B$109)))&lt;=0,"",($X18-(IF(Fits!$B$38="Row",Fits!$B$32,Fits!$B$35)*IF(Fits!$B$38="Row",$AQ18,$AR18)+Fits!$B$110))/(SQRT((Fits!$B$116-($X18-(IF(Fits!$B$38="Row",Fits!$B$32,Fits!$B$35)*IF(Fits!$B$38="Row",$AQ18,$AR18)+Fits!$B$110))^2/(1-(1/Fits!$B$107+(IF(Fits!$B$38="Row",$AQ18,$AR18)-Fits!$B$108)^2/Fits!$B$109)))/(Fits!$B$107-3))*SQRT(1-(1/Fits!$B$107+(IF(Fits!$B$38="Row",$AQ18,$AR18)-Fits!$B$108)^2/Fits!$B$109)))))))</f>
        <v/>
      </c>
      <c r="CC18" s="20" t="str">
        <f aca="false">IF(OR($D18&lt;&gt;"Drift",$AC18="",$A18&lt;IF(Setup!$B$14="",0,Setup!$B$14),Fits!$B$120&lt;3,Fits!$B$123="",Fits!$B$122=0,IF(Fits!$B$50="Row",$AQ18,$AR18)=""),"",IF($BY18=1,IF(OR(Fits!$B$124="",Fits!$B$124=0),"",($AC18-(IF(Fits!$B$50="Row",Fits!$B$44,Fits!$B$47)*IF(Fits!$B$50="Row",$AQ18,$AR18)+Fits!$B$123))/(Fits!$B$124*SQRT(1+(1/Fits!$B$120+(IF(Fits!$B$50="Row",$AQ18,$AR18)-Fits!$B$121)^2/Fits!$B$122)))),IF(OR(Fits!$B$120&lt;4,(1/Fits!$B$120+(IF(Fits!$B$50="Row",$AQ18,$AR18)-Fits!$B$121)^2/Fits!$B$122)&gt;=1),"",IF((Fits!$B$129-($AC18-(IF(Fits!$B$50="Row",Fits!$B$44,Fits!$B$47)*IF(Fits!$B$50="Row",$AQ18,$AR18)+Fits!$B$123))^2/(1-(1/Fits!$B$120+(IF(Fits!$B$50="Row",$AQ18,$AR18)-Fits!$B$121)^2/Fits!$B$122)))&lt;=0,"",($AC18-(IF(Fits!$B$50="Row",Fits!$B$44,Fits!$B$47)*IF(Fits!$B$50="Row",$AQ18,$AR18)+Fits!$B$123))/(SQRT((Fits!$B$129-($AC18-(IF(Fits!$B$50="Row",Fits!$B$44,Fits!$B$47)*IF(Fits!$B$50="Row",$AQ18,$AR18)+Fits!$B$123))^2/(1-(1/Fits!$B$120+(IF(Fits!$B$50="Row",$AQ18,$AR18)-Fits!$B$121)^2/Fits!$B$122)))/(Fits!$B$120-3))*SQRT(1-(1/Fits!$B$120+(IF(Fits!$B$50="Row",$AQ18,$AR18)-Fits!$B$121)^2/Fits!$B$122)))))))</f>
        <v/>
      </c>
      <c r="CD18" s="9" t="n">
        <f aca="false">IF($AU18="","",1)</f>
        <v>1</v>
      </c>
      <c r="CE18" s="24" t="n">
        <f aca="false">IF($AU18="","",$AU18-Fits!$B$133)</f>
        <v>-9.34708768332779</v>
      </c>
      <c r="CF18" s="24" t="n">
        <f aca="false">IF($AU18="","",($AV18-(Fits!$B$56*$AU18+Fits!$B$57))-Fits!$B$56*($AU18-Fits!$B$133))</f>
        <v>9.73139823949757</v>
      </c>
      <c r="CG18" s="25" t="n">
        <f aca="false">IF($AU18="","",$AU18^2)</f>
        <v>0.338216104666115</v>
      </c>
      <c r="CH18" s="9" t="n">
        <f aca="false">IF($AW18="","",1)</f>
        <v>1</v>
      </c>
      <c r="CI18" s="24" t="n">
        <f aca="false">IF($AW18="","",$AW18-Fits!$B$153)</f>
        <v>-10.1085825172318</v>
      </c>
      <c r="CJ18" s="24" t="n">
        <f aca="false">IF($AW18="","",($AX18-(Fits!$B$63*$AW18+Fits!$B$64))-Fits!$B$63*($AW18-Fits!$B$153))</f>
        <v>10.2432498620594</v>
      </c>
      <c r="CK18" s="25" t="n">
        <f aca="false">IF($AW18="","",$AW18^2)</f>
        <v>551.177427938293</v>
      </c>
      <c r="CL18" s="26" t="n">
        <f aca="false">IF(OR($Z18="",Fits!$B$55&lt;3,Fits!$B$133="",Fits!$B$134="",Fits!$B$134=0,Fits!$B$136=""),"",SQRT((Fits!$B$136*Fits!$B$56)^2+SUMPRODUCT((Fits!$J$163:$J$175*(Fits!$B$163:$B$175/Fits!$B$55+Fits!$H$163:$H$175*($Z18-Fits!$B$133)/Fits!$B$134))^2)+SUMPRODUCT((Fits!$G$163:$G$175*(($Z18-Fits!$B$133)*Fits!$I$163:$I$175/Fits!$B$134-Fits!$B$163:$B$175*Fits!$B$56/Fits!$B$55))^2)))</f>
        <v>0.220328326061678</v>
      </c>
      <c r="CM18" s="26" t="n">
        <f aca="false">IF($CL18="","",Setup!$B$32*$CL18)</f>
        <v>0.440656652123356</v>
      </c>
      <c r="CN18" s="26" t="n">
        <f aca="false">IF(OR($AE18="",Fits!$B$62&lt;3,Fits!$B$153="",Fits!$B$154="",Fits!$B$154=0,Fits!$B$156=""),"",SQRT((Fits!$B$156*Fits!$B$63)^2+SUMPRODUCT((Fits!$J$183:$J$195*(Fits!$B$183:$B$195/Fits!$B$62+Fits!$H$183:$H$195*($AE18-Fits!$B$153)/Fits!$B$154))^2)+SUMPRODUCT((Fits!$G$183:$G$195*(($AE18-Fits!$B$153)*Fits!$I$183:$I$195/Fits!$B$154-Fits!$B$183:$B$195*Fits!$B$63/Fits!$B$62))^2)))</f>
        <v>0.0466669771469431</v>
      </c>
      <c r="CO18" s="26" t="n">
        <f aca="false">IF($CN18="","",Setup!$B$32*$CN18)</f>
        <v>0.0933339542938861</v>
      </c>
      <c r="CP18" s="9" t="n">
        <f aca="false">IF(OR(NOT(ISNUMBER($BJ18)),$EK18=1),$CP17,IF($BJ18&lt;=Setup!$B$26,$CP17+1,0))</f>
        <v>0</v>
      </c>
      <c r="CQ18" s="9" t="n">
        <f aca="false">IF($BT18="","",$A18)</f>
        <v>13</v>
      </c>
      <c r="CR18" s="9" t="n">
        <f aca="false">IF($BW18="","",$A18)</f>
        <v>13</v>
      </c>
      <c r="CS18" s="9" t="n">
        <f aca="false">IF($B18="","",IF(Setup!$A$37="",0,IF(ISNUMBER(SEARCH(Setup!$A$37,$B18)),37,0)))</f>
        <v>37</v>
      </c>
      <c r="CT18" s="9" t="n">
        <f aca="false">IF($B18="","",IF(Setup!$A$38="",0,IF(ISNUMBER(SEARCH(Setup!$A$38,$B18)),38,0)))</f>
        <v>0</v>
      </c>
      <c r="CU18" s="9" t="n">
        <f aca="false">IF($B18="","",IF(Setup!$A$39="",0,IF(ISNUMBER(SEARCH(Setup!$A$39,$B18)),39,0)))</f>
        <v>0</v>
      </c>
      <c r="CV18" s="9" t="n">
        <f aca="false">IF($B18="","",IF(Setup!$A$40="",0,IF(ISNUMBER(SEARCH(Setup!$A$40,$B18)),40,0)))</f>
        <v>0</v>
      </c>
      <c r="CW18" s="9" t="n">
        <f aca="false">IF($B18="","",IF(Setup!$A$41="",0,IF(ISNUMBER(SEARCH(Setup!$A$41,$B18)),41,0)))</f>
        <v>0</v>
      </c>
      <c r="CX18" s="9" t="n">
        <f aca="false">IF($B18="","",IF(Setup!$A$42="",0,IF(ISNUMBER(SEARCH(Setup!$A$42,$B18)),42,0)))</f>
        <v>0</v>
      </c>
      <c r="CY18" s="9" t="n">
        <f aca="false">IF($B18="","",IF(Setup!$A$43="",0,IF(ISNUMBER(SEARCH(Setup!$A$43,$B18)),43,0)))</f>
        <v>0</v>
      </c>
      <c r="CZ18" s="9" t="n">
        <f aca="false">IF($B18="","",IF(Setup!$A$44="",0,IF(ISNUMBER(SEARCH(Setup!$A$44,$B18)),44,0)))</f>
        <v>0</v>
      </c>
      <c r="DA18" s="9" t="n">
        <f aca="false">IF($B18="","",IF(Setup!$A$45="",0,IF(ISNUMBER(SEARCH(Setup!$A$45,$B18)),45,0)))</f>
        <v>0</v>
      </c>
      <c r="DB18" s="9" t="n">
        <f aca="false">IF($B18="","",IF(Setup!$A$46="",0,IF(ISNUMBER(SEARCH(Setup!$A$46,$B18)),46,0)))</f>
        <v>0</v>
      </c>
      <c r="DC18" s="9" t="n">
        <f aca="false">IF($B18="","",IF(Setup!$A$47="",0,IF(ISNUMBER(SEARCH(Setup!$A$47,$B18)),47,0)))</f>
        <v>0</v>
      </c>
      <c r="DD18" s="9" t="n">
        <f aca="false">IF($B18="","",IF(Setup!$A$48="",0,IF(ISNUMBER(SEARCH(Setup!$A$48,$B18)),48,0)))</f>
        <v>0</v>
      </c>
      <c r="DE18" s="9" t="n">
        <f aca="false">IF($B18="","",IF(Setup!$A$49="",0,IF(ISNUMBER(SEARCH(Setup!$A$49,$B18)),49,0)))</f>
        <v>0</v>
      </c>
      <c r="DF18" s="9" t="n">
        <f aca="false">IF($B18="",NA(),$A18)</f>
        <v>13</v>
      </c>
      <c r="DG18" s="22" t="n">
        <f aca="false">IF($BI18="",NA(),$BI18)</f>
        <v>27</v>
      </c>
      <c r="DH18" s="22" t="n">
        <f aca="false">IF($N18="",NA(),$N18)</f>
        <v>29</v>
      </c>
      <c r="DI18" s="9" t="e">
        <f aca="false">IF(AND($D18="Drift",$N18&lt;&gt;""),$N18,NA())</f>
        <v>#N/A</v>
      </c>
      <c r="DJ18" s="9" t="str">
        <f aca="false">IF(AND($D18="Drift",$N18&lt;&gt;""),$N18,"")</f>
        <v/>
      </c>
      <c r="DK18" s="9" t="str">
        <f aca="false">IF($DJ18="","",$A18)</f>
        <v/>
      </c>
      <c r="DL18" s="9" t="e">
        <f aca="false">IF($AN18="",NA(),$AM18)</f>
        <v>#N/A</v>
      </c>
      <c r="DM18" s="9" t="e">
        <f aca="false">IF($AN18="",NA(),$AN18)</f>
        <v>#N/A</v>
      </c>
      <c r="DN18" s="9" t="e">
        <f aca="false">IF(AND($D18="Sample",$L18&lt;&gt;""),$L18,NA())</f>
        <v>#N/A</v>
      </c>
      <c r="DO18" s="9" t="e">
        <f aca="false">IF(AND($D18="Sample",$L18&lt;&gt;"",Fits!$B$98&lt;&gt;""),Fits!$B$98,NA())</f>
        <v>#N/A</v>
      </c>
      <c r="DP18" s="9" t="e">
        <f aca="false">IF($AS18="",NA(),$AS18)</f>
        <v>#N/A</v>
      </c>
      <c r="DQ18" s="9" t="e">
        <f aca="false">IF(AND($D18="Drift",$AS18="",$X18&lt;&gt;""),$X18,NA())</f>
        <v>#N/A</v>
      </c>
      <c r="DR18" s="9" t="e">
        <f aca="false">IF(AND($D18="Drift",$Z18&lt;&gt;""),$Z18,NA())</f>
        <v>#N/A</v>
      </c>
      <c r="DS18" s="9" t="e">
        <f aca="false">IF(AND(OR($D18="Sample",$D18="Check"),$AA18&lt;&gt;""),$AA18,NA())</f>
        <v>#N/A</v>
      </c>
      <c r="DT18" s="25" t="n">
        <f aca="false">IF(OR($B18="",Fits!$B$138=""),NA(),Fits!$B$138)</f>
        <v>1.76</v>
      </c>
      <c r="DU18" s="25" t="n">
        <f aca="false">IF(OR($B18="",Fits!$B$139=""),NA(),Fits!$B$139)</f>
        <v>20.68</v>
      </c>
      <c r="DV18" s="24" t="n">
        <f aca="false">IF($BT18="",NA(),$BT18)</f>
        <v>-1.266</v>
      </c>
      <c r="DW18" s="9" t="e">
        <f aca="false">IF($AP18="",NA(),$AO18)</f>
        <v>#N/A</v>
      </c>
      <c r="DX18" s="9" t="e">
        <f aca="false">IF($AP18="",NA(),$AP18)</f>
        <v>#N/A</v>
      </c>
      <c r="DY18" s="9" t="e">
        <f aca="false">IF(AND($D18="Sample",$P18&lt;&gt;""),$P18,NA())</f>
        <v>#N/A</v>
      </c>
      <c r="DZ18" s="9" t="e">
        <f aca="false">IF(AND($D18="Sample",$P18&lt;&gt;"",Fits!$B$105&lt;&gt;""),Fits!$B$105,NA())</f>
        <v>#N/A</v>
      </c>
      <c r="EA18" s="9" t="e">
        <f aca="false">IF($AT18="",NA(),$AT18)</f>
        <v>#N/A</v>
      </c>
      <c r="EB18" s="9" t="e">
        <f aca="false">IF(AND($D18="Drift",$AT18="",$AC18&lt;&gt;""),$AC18,NA())</f>
        <v>#N/A</v>
      </c>
      <c r="EC18" s="9" t="e">
        <f aca="false">IF(AND($D18="Drift",$AE18&lt;&gt;""),$AE18,NA())</f>
        <v>#N/A</v>
      </c>
      <c r="ED18" s="9" t="e">
        <f aca="false">IF(AND(OR($D18="Sample",$D18="Check"),$AF18&lt;&gt;""),$AF18,NA())</f>
        <v>#N/A</v>
      </c>
      <c r="EE18" s="25" t="n">
        <f aca="false">IF(OR($B18="",Fits!$B$158=""),NA(),Fits!$B$158)</f>
        <v>-40.81</v>
      </c>
      <c r="EF18" s="25" t="n">
        <f aca="false">IF(OR($B18="",Fits!$B$159=""),NA(),Fits!$B$159)</f>
        <v>-20.29</v>
      </c>
      <c r="EG18" s="24" t="n">
        <f aca="false">IF($BW18="",NA(),$BW18)</f>
        <v>-25.393</v>
      </c>
      <c r="EH18" s="9" t="e">
        <f aca="false">IF(AND($EN18=1,ISNUMBER($N18)),$N18,NA())</f>
        <v>#N/A</v>
      </c>
      <c r="EI18" s="9" t="n">
        <f aca="false">IF($B18="","",$A18)</f>
        <v>13</v>
      </c>
      <c r="EJ18" s="9" t="n">
        <f aca="false">IF(OR(AND(ISNUMBER($L18),Fits!$B$97&gt;0,$L18&gt;Fits!$B$97),AND(ISNUMBER($P18),Fits!$B$104&gt;0,$P18&gt;Fits!$B$104)),1,0)</f>
        <v>0</v>
      </c>
      <c r="EK18" s="9" t="n">
        <f aca="false">IF(OR($EJ17=1,$EJ16=1),1,0)</f>
        <v>0</v>
      </c>
      <c r="EL18" s="22" t="n">
        <f aca="false">IF(AND($EK18=0,ISNUMBER($N18)),$N18,$EL17)</f>
        <v>29</v>
      </c>
      <c r="EM18" s="9" t="str">
        <f aca="false">IF(AND($EK18=1,ISNUMBER($N18),ISNUMBER($EL18)),$N18-$EL18,"")</f>
        <v/>
      </c>
      <c r="EN18" s="9" t="n">
        <f aca="false">IF(Setup!$B$28="",0,IF(ISNUMBER($EM18),IF($EM18&gt;Setup!$B$28,1,0),0))</f>
        <v>0</v>
      </c>
      <c r="EO18" s="9" t="str">
        <f aca="false">IF($EN18=1,COUNTIF($EN$6:$EN18,1),"")</f>
        <v/>
      </c>
      <c r="EP18" s="9" t="n">
        <f aca="false">IF(AND($EJ17=1,OR($D18="Sample",$D18="Check")),1,0)</f>
        <v>0</v>
      </c>
      <c r="EQ18" s="9" t="str">
        <f aca="false">IF(ISNUMBER($BI18),IF(COUNT($BI$6:$BI18)&lt;=5,$BI18,""),"")</f>
        <v/>
      </c>
      <c r="ER18" s="9" t="str">
        <f aca="false">IF(OR(NOT(ISNUMBER($BJ18)),$EK18=1),$ER17,IF($BJ18&lt;=Setup!$B$26,IF($CP17=0,$A18,$ER17),""))</f>
        <v/>
      </c>
    </row>
    <row r="19" customFormat="false" ht="15" hidden="false" customHeight="false" outlineLevel="0" collapsed="false">
      <c r="A19" s="8" t="n">
        <v>14</v>
      </c>
      <c r="B19" s="8" t="str">
        <f aca="false">IFERROR(INDEX(Raw!$B$2:$B$1001,MATCH($A19,Raw!$A$2:$A$1001,0)),"")</f>
        <v>Ace Drift2</v>
      </c>
      <c r="C19" s="9" t="n">
        <f aca="false">IF($B19="","",MAX($CS19:$DE19))</f>
        <v>43</v>
      </c>
      <c r="D19" s="8" t="str">
        <f aca="false">IF($B19="","",IF($C19=0,"Sample",INDEX(Setup!$B$37:$B$49,$C19-36)))</f>
        <v>Drift</v>
      </c>
      <c r="E19" s="16" t="n">
        <f aca="false">IF($B19="","",IFERROR(IF(INDEX(Raw!$E$2:$E$1001,MATCH($A19,Raw!$A$2:$A$1001,0))=0,"",INDEX(Raw!$E$2:$E$1001,MATCH($A19,Raw!$A$2:$A$1001,0))),""))</f>
        <v>0.428</v>
      </c>
      <c r="F19" s="18"/>
      <c r="G19" s="16" t="n">
        <f aca="false">IF($B19="","",IF($F19&lt;&gt;"",$F19,IF($E19="","",$E19)))</f>
        <v>0.428</v>
      </c>
      <c r="H19" s="9" t="n">
        <f aca="false">IF($B19="","",SUMPRODUCT(MAX((Raw!$A$2:$A$1001=$A19)*(Raw!$R$2:$R$1001="N")*Raw!$D$2:$D$1001)))</f>
        <v>3</v>
      </c>
      <c r="I19" s="9" t="str">
        <f aca="false">IF(OR($H19="",$H19=0),"",$A19&amp;"|N|"&amp;$H19)</f>
        <v>14|N|3</v>
      </c>
      <c r="J19" s="9" t="n">
        <f aca="false">IF($B19="","",SUMPRODUCT(MIN((Raw!$A$2:$A$1001=$A19)*(Raw!$R$2:$R$1001="C")*Raw!$D$2:$D$1001+(1-(Raw!$A$2:$A$1001=$A19)*(Raw!$R$2:$R$1001="C"))*9999)))</f>
        <v>4</v>
      </c>
      <c r="K19" s="9" t="str">
        <f aca="false">IF(OR($J19="",$J19=0,$J19=9999),"",$A19&amp;"|C|"&amp;$J19)</f>
        <v>14|C|4</v>
      </c>
      <c r="L19" s="16" t="n">
        <f aca="false">IF($I19="","",IF(INDEX(Raw!$I$2:$I$1001,MATCH($I19,Raw!$S$2:$S$1001,0))&lt;&gt;0,"",INDEX(Raw!$H$2:$H$1001,MATCH($I19,Raw!$S$2:$S$1001,0))))</f>
        <v>28.701</v>
      </c>
      <c r="M19" s="19" t="n">
        <f aca="false">IF($I19="","",IF(INDEX(Raw!$I$2:$I$1001,MATCH($I19,Raw!$S$2:$S$1001,0))&lt;&gt;0,"",INDEX(Raw!$F$2:$F$1001,MATCH($I19,Raw!$S$2:$S$1001,0))))</f>
        <v>1666</v>
      </c>
      <c r="N19" s="20" t="n">
        <f aca="false">IF($I19="","",IF(INDEX(Raw!$I$2:$I$1001,MATCH($I19,Raw!$S$2:$S$1001,0))&lt;&gt;0,"",INDEX(Raw!$G$2:$G$1001,MATCH($I19,Raw!$S$2:$S$1001,0))))</f>
        <v>28.6</v>
      </c>
      <c r="O19" s="16" t="n">
        <f aca="false">IF($I19="","",IF(INDEX(Raw!$I$2:$I$1001,MATCH($I19,Raw!$S$2:$S$1001,0))&lt;&gt;0,"",INDEX(Raw!$N$2:$N$1001,MATCH($I19,Raw!$S$2:$S$1001,0))))</f>
        <v>-5.744</v>
      </c>
      <c r="P19" s="16" t="n">
        <f aca="false">IF($K19="","",IF(INDEX(Raw!$I$2:$I$1001,MATCH($K19,Raw!$S$2:$S$1001,0))&lt;&gt;0,"",INDEX(Raw!$K$2:$K$1001,MATCH($K19,Raw!$S$2:$S$1001,0))))</f>
        <v>136.908</v>
      </c>
      <c r="Q19" s="19" t="n">
        <f aca="false">IF($K19="","",IF(INDEX(Raw!$I$2:$I$1001,MATCH($K19,Raw!$S$2:$S$1001,0))&lt;&gt;0,"",INDEX(Raw!$J$2:$J$1001,MATCH($K19,Raw!$S$2:$S$1001,0))))</f>
        <v>6002</v>
      </c>
      <c r="R19" s="16" t="n">
        <f aca="false">IF($K19="","",IF(INDEX(Raw!$I$2:$I$1001,MATCH($K19,Raw!$S$2:$S$1001,0))&lt;&gt;0,"",INDEX(Raw!$O$2:$O$1001,MATCH($K19,Raw!$S$2:$S$1001,0))))</f>
        <v>-9.583</v>
      </c>
      <c r="S19" s="21" t="str">
        <f aca="false">IF($B19="","",IF($C19=0,"",IF(INDEX(Setup!$D$37:$D$49,$C19-36)="","",INDEX(Setup!$D$37:$D$49,$C19-36))))</f>
        <v/>
      </c>
      <c r="T19" s="21" t="str">
        <f aca="false">IF($B19="","",IF($C19=0,"",IF(INDEX(Setup!$C$37:$C$49,$C19-36)="","",INDEX(Setup!$C$37:$C$49,$C19-36))))</f>
        <v/>
      </c>
      <c r="U19" s="21" t="n">
        <f aca="false">IF($B19="","",IF($C19=0,"",IF(INDEX(Setup!$F$37:$F$49,$C19-36)="","",INDEX(Setup!$F$37:$F$49,$C19-36))))</f>
        <v>10.36</v>
      </c>
      <c r="V19" s="21" t="n">
        <f aca="false">IF($B19="","",IF($C19=0,"",IF(INDEX(Setup!$E$37:$E$49,$C19-36)="","",INDEX(Setup!$E$37:$E$49,$C19-36))))</f>
        <v>71.09</v>
      </c>
      <c r="W19" s="16" t="n">
        <f aca="false">IF($O19="","",IF(OR(Fits!$C$5&lt;&gt;"Yes",$D19="Blank",$L19&lt;=Fits!$B$6),$O19,($L19*$O19-Fits!$B$6*Fits!$B$7)/($L19-Fits!$B$6)))</f>
        <v>-5.744</v>
      </c>
      <c r="X19" s="16" t="n">
        <f aca="false">IF($W19="","",$W19-Fits!$B$20*($L19-Fits!$B$16))</f>
        <v>-5.744</v>
      </c>
      <c r="Y19" s="22" t="n">
        <f aca="false">IF($W19="","",IF(OR(Fits!$B$38="Row",$BI19=""),$A19,$BI19))</f>
        <v>14</v>
      </c>
      <c r="Z19" s="16" t="n">
        <f aca="false">IF($X19="","",$X19-Fits!$B$39*($Y19-Fits!$B$40))</f>
        <v>-6.03568214989045</v>
      </c>
      <c r="AA19" s="23" t="n">
        <f aca="false">IF(OR($Z19="",Fits!$B$55&lt;2),"",Fits!$B$56*$Z19+Fits!$B$57)</f>
        <v>-5.16894856921935</v>
      </c>
      <c r="AB19" s="16" t="n">
        <f aca="false">IF($R19="","",IF(OR(Fits!$C$9&lt;&gt;"Yes",$D19="Blank",$P19&lt;=Fits!$B$10),$R19,($P19*$R19-Fits!$B$10*Fits!$B$11)/($P19-Fits!$B$10)))</f>
        <v>-9.583</v>
      </c>
      <c r="AC19" s="16" t="n">
        <f aca="false">IF($AB19="","",$AB19-Fits!$B$28*($P19-Fits!$B$24))</f>
        <v>-9.59919169086634</v>
      </c>
      <c r="AD19" s="22" t="n">
        <f aca="false">IF($AB19="","",IF(OR(Fits!$B$50="Row",$BI19=""),$A19,$BI19))</f>
        <v>14</v>
      </c>
      <c r="AE19" s="16" t="n">
        <f aca="false">IF($AC19="","",$AC19-Fits!$B$51*($AD19-Fits!$B$52))</f>
        <v>-9.54783780897134</v>
      </c>
      <c r="AF19" s="23" t="n">
        <f aca="false">IF(OR($AE19="",Fits!$B$62&lt;2),"",Fits!$B$63*$AE19+Fits!$B$64)</f>
        <v>-26.6751862599204</v>
      </c>
      <c r="AG19" s="21" t="n">
        <f aca="false">IF(OR($L19="",Fits!$B$69&lt;3),"",($L19-Fits!$B$71)/Fits!$B$70)</f>
        <v>44.132606382176</v>
      </c>
      <c r="AH19" s="21" t="n">
        <f aca="false">IF(OR($P19="",Fits!$B$75&lt;3),"",($P19-Fits!$B$77)/Fits!$B$76)</f>
        <v>307.84790134602</v>
      </c>
      <c r="AI19" s="23" t="n">
        <f aca="false">IF(OR($AG19="",$G19="",$G19=0),"",$AG19/($G19*1000)*100)</f>
        <v>10.3113566313495</v>
      </c>
      <c r="AJ19" s="23" t="n">
        <f aca="false">IF(OR($AH19="",$G19="",$G19=0),"",$AH19/($G19*1000)*100)</f>
        <v>71.927079753743</v>
      </c>
      <c r="AK19" s="23" t="n">
        <f aca="false">IF(OR($AG19="",$AH19="",$AG19&lt;=0),"",($AH19/Setup!$B$52)/($AG19/Setup!$B$53))</f>
        <v>8.13471949880736</v>
      </c>
      <c r="AL19" s="23" t="n">
        <f aca="false">IF(OR($AG19="",$AH19="",$AG19&lt;=0),"",$AH19/$AG19)</f>
        <v>6.97552051832478</v>
      </c>
      <c r="AM19" s="9" t="str">
        <f aca="false">IF($D19="Linearity",IF($L19="","",$L19),"")</f>
        <v/>
      </c>
      <c r="AN19" s="9" t="str">
        <f aca="false">IF($D19="Linearity",IF($W19="","",$W19),"")</f>
        <v/>
      </c>
      <c r="AO19" s="9" t="str">
        <f aca="false">IF($D19="Linearity",IF($P19="","",$P19),"")</f>
        <v/>
      </c>
      <c r="AP19" s="9" t="str">
        <f aca="false">IF($D19="Linearity",IF($AB19="","",$AB19),"")</f>
        <v/>
      </c>
      <c r="AQ19" s="9" t="n">
        <f aca="false">IF($D19="Drift",IF($A19&lt;IF(Setup!$B$14="",0,Setup!$B$14),"",$A19),"")</f>
        <v>14</v>
      </c>
      <c r="AR19" s="22" t="n">
        <f aca="false">IF($D19="Drift",IF($A19&lt;IF(Setup!$B$14="",0,Setup!$B$14),"",IF($BI19="","",$BI19)),"")</f>
        <v>26.7</v>
      </c>
      <c r="AS19" s="24" t="n">
        <f aca="false">IF($D19="Drift",IF($A19&lt;IF(Setup!$B$14="",0,Setup!$B$14),"",IF(OR($X19="",$BX19=1),"",$X19)),"")</f>
        <v>-5.744</v>
      </c>
      <c r="AT19" s="24" t="n">
        <f aca="false">IF($D19="Drift",IF($A19&lt;IF(Setup!$B$14="",0,Setup!$B$14),"",IF(OR($AC19="",$BY19=1),"",$AC19)),"")</f>
        <v>-9.59919169086634</v>
      </c>
      <c r="AU19" s="9" t="str">
        <f aca="false">IF($D19="Anchor",IF(OR($Z19="",$S19=""),"",$Z19),"")</f>
        <v/>
      </c>
      <c r="AV19" s="9" t="str">
        <f aca="false">IF($D19="Anchor",IF(OR($Z19="",$S19=""),"",$S19),"")</f>
        <v/>
      </c>
      <c r="AW19" s="9" t="str">
        <f aca="false">IF($D19="Anchor",IF(OR($AE19="",$T19=""),"",$AE19),"")</f>
        <v/>
      </c>
      <c r="AX19" s="9" t="str">
        <f aca="false">IF($D19="Anchor",IF(OR($AE19="",$T19=""),"",$T19),"")</f>
        <v/>
      </c>
      <c r="AY19" s="9" t="n">
        <f aca="false">IF(OR($D19="Blank",$D19="Exclude",$D19="Sample",$D19="",$G19="",$U19="",$L19=""),"",$G19*1000*$U19/100)</f>
        <v>44.3408</v>
      </c>
      <c r="AZ19" s="24" t="n">
        <f aca="false">IF($AY19="","",$L19)</f>
        <v>28.701</v>
      </c>
      <c r="BA19" s="9" t="n">
        <f aca="false">IF(OR($D19="Blank",$D19="Exclude",$D19="Sample",$D19="",$G19="",$V19="",$P19=""),"",$G19*1000*$V19/100)</f>
        <v>304.2652</v>
      </c>
      <c r="BB19" s="24" t="n">
        <f aca="false">IF($BA19="","",$P19)</f>
        <v>136.908</v>
      </c>
      <c r="BC19" s="9" t="str">
        <f aca="false">IF(AND($D19="Blank",$L19&lt;&gt;""),$O19,"")</f>
        <v/>
      </c>
      <c r="BD19" s="9" t="str">
        <f aca="false">IF($BC19="","",$L19)</f>
        <v/>
      </c>
      <c r="BE19" s="9" t="str">
        <f aca="false">IF(AND($D19="Blank",$P19&lt;&gt;""),$R19,"")</f>
        <v/>
      </c>
      <c r="BF19" s="9" t="str">
        <f aca="false">IF($BE19="","",$P19)</f>
        <v/>
      </c>
      <c r="BG19" s="25" t="n">
        <f aca="false">IF(AND($D19="Drift",$BX19&lt;&gt;1),IF($AA19="","",$AA19),"")</f>
        <v>-5.16894856921935</v>
      </c>
      <c r="BH19" s="25" t="n">
        <f aca="false">IF(AND($D19="Drift",$BY19&lt;&gt;1),IF($AF19="","",$AF19),"")</f>
        <v>-26.6751862599204</v>
      </c>
      <c r="BI19" s="20" t="n">
        <f aca="false">IF($B19="","",IFERROR(INDEX(Raw!$G$2:$G$1001,MATCH($A19&amp;"|N|"&amp;SUMPRODUCT(MAX((Raw!$A$2:$A$1001=$A19)*(Raw!$R$2:$R$1001="N")*(Raw!$I$2:$I$1001=1)*Raw!$D$2:$D$1001)),Raw!$S$2:$S$1001,0)),""))</f>
        <v>26.7</v>
      </c>
      <c r="BJ19" s="21" t="n">
        <f aca="false">IF(OR($BI19="",Fits!$B$85&lt;=0),"",($BI19-Fits!$B$83)/Fits!$B$85)</f>
        <v>0.324324324324324</v>
      </c>
      <c r="BK19" s="9" t="n">
        <f aca="false">IF($AS19="","",IF($A19&gt;=Fits!$B$86,"",$A19))</f>
        <v>14</v>
      </c>
      <c r="BL19" s="24" t="n">
        <f aca="false">IF($BK19="","",$X19)</f>
        <v>-5.744</v>
      </c>
      <c r="BM19" s="9" t="str">
        <f aca="false">IF($AS19="","",IF($A19&lt;Fits!$B$86,"",$A19))</f>
        <v/>
      </c>
      <c r="BN19" s="9" t="str">
        <f aca="false">IF($BM19="","",$X19)</f>
        <v/>
      </c>
      <c r="BO19" s="24" t="n">
        <f aca="false">IF(AND($D19="Drift",$BX19&lt;&gt;1),IF($O19="","",$O19),"")</f>
        <v>-5.744</v>
      </c>
      <c r="BP19" s="24" t="n">
        <f aca="false">IF(AND($D19="Drift",$BX19&lt;&gt;1),IF($W19="","",$W19),"")</f>
        <v>-5.744</v>
      </c>
      <c r="BQ19" s="24" t="n">
        <f aca="false">IF(AND($D19="Drift",$BX19&lt;&gt;1),IF($X19="","",$X19),"")</f>
        <v>-5.744</v>
      </c>
      <c r="BR19" s="24" t="n">
        <f aca="false">IF(AND($D19="Drift",$BX19&lt;&gt;1),IF($Z19="","",$Z19),"")</f>
        <v>-6.03568214989045</v>
      </c>
      <c r="BS19" s="9" t="n">
        <f aca="false">IF(OR($B19="",$H19=""),"",SUMPRODUCT(MIN((Raw!$A$2:$A$1001=$A19)*(Raw!$R$2:$R$1001="N")*(Raw!$I$2:$I$1001=0)*(Raw!$D$2:$D$1001&lt;$H19)*Raw!$D$2:$D$1001+(1-(Raw!$A$2:$A$1001=$A19)*(Raw!$R$2:$R$1001="N")*(Raw!$I$2:$I$1001=0)*(Raw!$D$2:$D$1001&lt;$H19))*9999)))</f>
        <v>1</v>
      </c>
      <c r="BT19" s="16" t="n">
        <f aca="false">IF(OR($BS19="",$BS19=9999,$BS19=0),"",IFERROR(INDEX(Raw!$N$2:$N$1001,MATCH($A19&amp;"|N|"&amp;$BS19,Raw!$S$2:$S$1001,0)),""))</f>
        <v>-1.237</v>
      </c>
      <c r="BU19" s="9" t="n">
        <f aca="false">IF($B19="","",SUMPRODUCT(MIN((Raw!$A$2:$A$1001=$A19)*(Raw!$R$2:$R$1001="C")*(Raw!$I$2:$I$1001=1)*Raw!$D$2:$D$1001+(1-(Raw!$A$2:$A$1001=$A19)*(Raw!$R$2:$R$1001="C")*(Raw!$I$2:$I$1001=1))*9999)))</f>
        <v>5</v>
      </c>
      <c r="BV19" s="9" t="n">
        <f aca="false">IF(OR($BU19="",$BU19=9999),"",SUMPRODUCT(MIN((Raw!$A$2:$A$1001=$A19)*(Raw!$R$2:$R$1001="C")*(Raw!$I$2:$I$1001=0)*(Raw!$D$2:$D$1001&gt;$BU19)*Raw!$D$2:$D$1001+(1-(Raw!$A$2:$A$1001=$A19)*(Raw!$R$2:$R$1001="C")*(Raw!$I$2:$I$1001=0)*(Raw!$D$2:$D$1001&gt;$BU19))*9999)))</f>
        <v>6</v>
      </c>
      <c r="BW19" s="16" t="n">
        <f aca="false">IF(OR($BV19="",$BV19=9999,$BV19=0),"",IFERROR(INDEX(Raw!$O$2:$O$1001,MATCH($A19&amp;"|C|"&amp;$BV19,Raw!$S$2:$S$1001,0)),""))</f>
        <v>-25.377</v>
      </c>
      <c r="BX19" s="9" t="n">
        <f aca="false">IF($B19="","",IF(ISNUMBER(SEARCH(","&amp;$A19&amp;",",","&amp;SUBSTITUTE(Setup!$B$16," ","")&amp;",")),1,0))</f>
        <v>0</v>
      </c>
      <c r="BY19" s="9" t="n">
        <f aca="false">IF($B19="","",IF(ISNUMBER(SEARCH(","&amp;$A19&amp;",",","&amp;SUBSTITUTE(Setup!$B$17," ","")&amp;",")),1,0))</f>
        <v>0</v>
      </c>
      <c r="BZ19" s="22" t="n">
        <f aca="false">IF($AS19="","",IF(Fits!$B$38="Row",$AQ19,IF($AR19="","",$AR19)))</f>
        <v>14</v>
      </c>
      <c r="CA19" s="22" t="n">
        <f aca="false">IF($AT19="","",IF(Fits!$B$50="Row",$AQ19,IF($AR19="","",$AR19)))</f>
        <v>14</v>
      </c>
      <c r="CB19" s="20" t="n">
        <f aca="false">IF(OR($D19&lt;&gt;"Drift",$X19="",$A19&lt;IF(Setup!$B$14="",0,Setup!$B$14),Fits!$B$107&lt;3,Fits!$B$110="",Fits!$B$109=0,IF(Fits!$B$38="Row",$AQ19,$AR19)=""),"",IF($BX19=1,IF(OR(Fits!$B$111="",Fits!$B$111=0),"",($X19-(IF(Fits!$B$38="Row",Fits!$B$32,Fits!$B$35)*IF(Fits!$B$38="Row",$AQ19,$AR19)+Fits!$B$110))/(Fits!$B$111*SQRT(1+(1/Fits!$B$107+(IF(Fits!$B$38="Row",$AQ19,$AR19)-Fits!$B$108)^2/Fits!$B$109)))),IF(OR(Fits!$B$107&lt;4,(1/Fits!$B$107+(IF(Fits!$B$38="Row",$AQ19,$AR19)-Fits!$B$108)^2/Fits!$B$109)&gt;=1),"",IF((Fits!$B$116-($X19-(IF(Fits!$B$38="Row",Fits!$B$32,Fits!$B$35)*IF(Fits!$B$38="Row",$AQ19,$AR19)+Fits!$B$110))^2/(1-(1/Fits!$B$107+(IF(Fits!$B$38="Row",$AQ19,$AR19)-Fits!$B$108)^2/Fits!$B$109)))&lt;=0,"",($X19-(IF(Fits!$B$38="Row",Fits!$B$32,Fits!$B$35)*IF(Fits!$B$38="Row",$AQ19,$AR19)+Fits!$B$110))/(SQRT((Fits!$B$116-($X19-(IF(Fits!$B$38="Row",Fits!$B$32,Fits!$B$35)*IF(Fits!$B$38="Row",$AQ19,$AR19)+Fits!$B$110))^2/(1-(1/Fits!$B$107+(IF(Fits!$B$38="Row",$AQ19,$AR19)-Fits!$B$108)^2/Fits!$B$109)))/(Fits!$B$107-3))*SQRT(1-(1/Fits!$B$107+(IF(Fits!$B$38="Row",$AQ19,$AR19)-Fits!$B$108)^2/Fits!$B$109)))))))</f>
        <v>0.511843532286931</v>
      </c>
      <c r="CC19" s="20" t="n">
        <f aca="false">IF(OR($D19&lt;&gt;"Drift",$AC19="",$A19&lt;IF(Setup!$B$14="",0,Setup!$B$14),Fits!$B$120&lt;3,Fits!$B$123="",Fits!$B$122=0,IF(Fits!$B$50="Row",$AQ19,$AR19)=""),"",IF($BY19=1,IF(OR(Fits!$B$124="",Fits!$B$124=0),"",($AC19-(IF(Fits!$B$50="Row",Fits!$B$44,Fits!$B$47)*IF(Fits!$B$50="Row",$AQ19,$AR19)+Fits!$B$123))/(Fits!$B$124*SQRT(1+(1/Fits!$B$120+(IF(Fits!$B$50="Row",$AQ19,$AR19)-Fits!$B$121)^2/Fits!$B$122)))),IF(OR(Fits!$B$120&lt;4,(1/Fits!$B$120+(IF(Fits!$B$50="Row",$AQ19,$AR19)-Fits!$B$121)^2/Fits!$B$122)&gt;=1),"",IF((Fits!$B$129-($AC19-(IF(Fits!$B$50="Row",Fits!$B$44,Fits!$B$47)*IF(Fits!$B$50="Row",$AQ19,$AR19)+Fits!$B$123))^2/(1-(1/Fits!$B$120+(IF(Fits!$B$50="Row",$AQ19,$AR19)-Fits!$B$121)^2/Fits!$B$122)))&lt;=0,"",($AC19-(IF(Fits!$B$50="Row",Fits!$B$44,Fits!$B$47)*IF(Fits!$B$50="Row",$AQ19,$AR19)+Fits!$B$123))/(SQRT((Fits!$B$129-($AC19-(IF(Fits!$B$50="Row",Fits!$B$44,Fits!$B$47)*IF(Fits!$B$50="Row",$AQ19,$AR19)+Fits!$B$123))^2/(1-(1/Fits!$B$120+(IF(Fits!$B$50="Row",$AQ19,$AR19)-Fits!$B$121)^2/Fits!$B$122)))/(Fits!$B$120-3))*SQRT(1-(1/Fits!$B$120+(IF(Fits!$B$50="Row",$AQ19,$AR19)-Fits!$B$121)^2/Fits!$B$122)))))))</f>
        <v>-1.93697342899282</v>
      </c>
      <c r="CD19" s="9" t="str">
        <f aca="false">IF($AU19="","",1)</f>
        <v/>
      </c>
      <c r="CE19" s="24" t="str">
        <f aca="false">IF($AU19="","",$AU19-Fits!$B$133)</f>
        <v/>
      </c>
      <c r="CF19" s="24" t="str">
        <f aca="false">IF($AU19="","",($AV19-(Fits!$B$56*$AU19+Fits!$B$57))-Fits!$B$56*($AU19-Fits!$B$133))</f>
        <v/>
      </c>
      <c r="CG19" s="25" t="str">
        <f aca="false">IF($AU19="","",$AU19^2)</f>
        <v/>
      </c>
      <c r="CH19" s="9" t="str">
        <f aca="false">IF($AW19="","",1)</f>
        <v/>
      </c>
      <c r="CI19" s="24" t="str">
        <f aca="false">IF($AW19="","",$AW19-Fits!$B$153)</f>
        <v/>
      </c>
      <c r="CJ19" s="24" t="str">
        <f aca="false">IF($AW19="","",($AX19-(Fits!$B$63*$AW19+Fits!$B$64))-Fits!$B$63*($AW19-Fits!$B$153))</f>
        <v/>
      </c>
      <c r="CK19" s="25" t="str">
        <f aca="false">IF($AW19="","",$AW19^2)</f>
        <v/>
      </c>
      <c r="CL19" s="26" t="n">
        <f aca="false">IF(OR($Z19="",Fits!$B$55&lt;3,Fits!$B$133="",Fits!$B$134="",Fits!$B$134=0,Fits!$B$136=""),"",SQRT((Fits!$B$136*Fits!$B$56)^2+SUMPRODUCT((Fits!$J$163:$J$175*(Fits!$B$163:$B$175/Fits!$B$55+Fits!$H$163:$H$175*($Z19-Fits!$B$133)/Fits!$B$134))^2)+SUMPRODUCT((Fits!$G$163:$G$175*(($Z19-Fits!$B$133)*Fits!$I$163:$I$175/Fits!$B$134-Fits!$B$163:$B$175*Fits!$B$56/Fits!$B$55))^2)))</f>
        <v>0.255526676832596</v>
      </c>
      <c r="CM19" s="26" t="n">
        <f aca="false">IF($CL19="","",Setup!$B$32*$CL19)</f>
        <v>0.511053353665191</v>
      </c>
      <c r="CN19" s="26" t="n">
        <f aca="false">IF(OR($AE19="",Fits!$B$62&lt;3,Fits!$B$153="",Fits!$B$154="",Fits!$B$154=0,Fits!$B$156=""),"",SQRT((Fits!$B$156*Fits!$B$63)^2+SUMPRODUCT((Fits!$J$183:$J$195*(Fits!$B$183:$B$195/Fits!$B$62+Fits!$H$183:$H$195*($AE19-Fits!$B$153)/Fits!$B$154))^2)+SUMPRODUCT((Fits!$G$183:$G$195*(($AE19-Fits!$B$153)*Fits!$I$183:$I$195/Fits!$B$154-Fits!$B$183:$B$195*Fits!$B$63/Fits!$B$62))^2)))</f>
        <v>0.0378290000558458</v>
      </c>
      <c r="CO19" s="26" t="n">
        <f aca="false">IF($CN19="","",Setup!$B$32*$CN19)</f>
        <v>0.0756580001116916</v>
      </c>
      <c r="CP19" s="9" t="n">
        <f aca="false">IF(OR(NOT(ISNUMBER($BJ19)),$EK19=1),$CP18,IF($BJ19&lt;=Setup!$B$26,$CP18+1,0))</f>
        <v>0</v>
      </c>
      <c r="CQ19" s="9" t="n">
        <f aca="false">IF($BT19="","",$A19)</f>
        <v>14</v>
      </c>
      <c r="CR19" s="9" t="n">
        <f aca="false">IF($BW19="","",$A19)</f>
        <v>14</v>
      </c>
      <c r="CS19" s="9" t="n">
        <f aca="false">IF($B19="","",IF(Setup!$A$37="",0,IF(ISNUMBER(SEARCH(Setup!$A$37,$B19)),37,0)))</f>
        <v>0</v>
      </c>
      <c r="CT19" s="9" t="n">
        <f aca="false">IF($B19="","",IF(Setup!$A$38="",0,IF(ISNUMBER(SEARCH(Setup!$A$38,$B19)),38,0)))</f>
        <v>0</v>
      </c>
      <c r="CU19" s="9" t="n">
        <f aca="false">IF($B19="","",IF(Setup!$A$39="",0,IF(ISNUMBER(SEARCH(Setup!$A$39,$B19)),39,0)))</f>
        <v>0</v>
      </c>
      <c r="CV19" s="9" t="n">
        <f aca="false">IF($B19="","",IF(Setup!$A$40="",0,IF(ISNUMBER(SEARCH(Setup!$A$40,$B19)),40,0)))</f>
        <v>0</v>
      </c>
      <c r="CW19" s="9" t="n">
        <f aca="false">IF($B19="","",IF(Setup!$A$41="",0,IF(ISNUMBER(SEARCH(Setup!$A$41,$B19)),41,0)))</f>
        <v>0</v>
      </c>
      <c r="CX19" s="9" t="n">
        <f aca="false">IF($B19="","",IF(Setup!$A$42="",0,IF(ISNUMBER(SEARCH(Setup!$A$42,$B19)),42,0)))</f>
        <v>0</v>
      </c>
      <c r="CY19" s="9" t="n">
        <f aca="false">IF($B19="","",IF(Setup!$A$43="",0,IF(ISNUMBER(SEARCH(Setup!$A$43,$B19)),43,0)))</f>
        <v>43</v>
      </c>
      <c r="CZ19" s="9" t="n">
        <f aca="false">IF($B19="","",IF(Setup!$A$44="",0,IF(ISNUMBER(SEARCH(Setup!$A$44,$B19)),44,0)))</f>
        <v>0</v>
      </c>
      <c r="DA19" s="9" t="n">
        <f aca="false">IF($B19="","",IF(Setup!$A$45="",0,IF(ISNUMBER(SEARCH(Setup!$A$45,$B19)),45,0)))</f>
        <v>0</v>
      </c>
      <c r="DB19" s="9" t="n">
        <f aca="false">IF($B19="","",IF(Setup!$A$46="",0,IF(ISNUMBER(SEARCH(Setup!$A$46,$B19)),46,0)))</f>
        <v>0</v>
      </c>
      <c r="DC19" s="9" t="n">
        <f aca="false">IF($B19="","",IF(Setup!$A$47="",0,IF(ISNUMBER(SEARCH(Setup!$A$47,$B19)),47,0)))</f>
        <v>0</v>
      </c>
      <c r="DD19" s="9" t="n">
        <f aca="false">IF($B19="","",IF(Setup!$A$48="",0,IF(ISNUMBER(SEARCH(Setup!$A$48,$B19)),48,0)))</f>
        <v>0</v>
      </c>
      <c r="DE19" s="9" t="n">
        <f aca="false">IF($B19="","",IF(Setup!$A$49="",0,IF(ISNUMBER(SEARCH(Setup!$A$49,$B19)),49,0)))</f>
        <v>0</v>
      </c>
      <c r="DF19" s="9" t="n">
        <f aca="false">IF($B19="",NA(),$A19)</f>
        <v>14</v>
      </c>
      <c r="DG19" s="22" t="n">
        <f aca="false">IF($BI19="",NA(),$BI19)</f>
        <v>26.7</v>
      </c>
      <c r="DH19" s="22" t="n">
        <f aca="false">IF($N19="",NA(),$N19)</f>
        <v>28.6</v>
      </c>
      <c r="DI19" s="22" t="n">
        <f aca="false">IF(AND($D19="Drift",$N19&lt;&gt;""),$N19,NA())</f>
        <v>28.6</v>
      </c>
      <c r="DJ19" s="22" t="n">
        <f aca="false">IF(AND($D19="Drift",$N19&lt;&gt;""),$N19,"")</f>
        <v>28.6</v>
      </c>
      <c r="DK19" s="9" t="n">
        <f aca="false">IF($DJ19="","",$A19)</f>
        <v>14</v>
      </c>
      <c r="DL19" s="9" t="e">
        <f aca="false">IF($AN19="",NA(),$AM19)</f>
        <v>#N/A</v>
      </c>
      <c r="DM19" s="9" t="e">
        <f aca="false">IF($AN19="",NA(),$AN19)</f>
        <v>#N/A</v>
      </c>
      <c r="DN19" s="9" t="e">
        <f aca="false">IF(AND($D19="Sample",$L19&lt;&gt;""),$L19,NA())</f>
        <v>#N/A</v>
      </c>
      <c r="DO19" s="9" t="e">
        <f aca="false">IF(AND($D19="Sample",$L19&lt;&gt;"",Fits!$B$98&lt;&gt;""),Fits!$B$98,NA())</f>
        <v>#N/A</v>
      </c>
      <c r="DP19" s="24" t="n">
        <f aca="false">IF($AS19="",NA(),$AS19)</f>
        <v>-5.744</v>
      </c>
      <c r="DQ19" s="9" t="e">
        <f aca="false">IF(AND($D19="Drift",$AS19="",$X19&lt;&gt;""),$X19,NA())</f>
        <v>#N/A</v>
      </c>
      <c r="DR19" s="24" t="n">
        <f aca="false">IF(AND($D19="Drift",$Z19&lt;&gt;""),$Z19,NA())</f>
        <v>-6.03568214989045</v>
      </c>
      <c r="DS19" s="9" t="e">
        <f aca="false">IF(AND(OR($D19="Sample",$D19="Check"),$AA19&lt;&gt;""),$AA19,NA())</f>
        <v>#N/A</v>
      </c>
      <c r="DT19" s="25" t="n">
        <f aca="false">IF(OR($B19="",Fits!$B$138=""),NA(),Fits!$B$138)</f>
        <v>1.76</v>
      </c>
      <c r="DU19" s="25" t="n">
        <f aca="false">IF(OR($B19="",Fits!$B$139=""),NA(),Fits!$B$139)</f>
        <v>20.68</v>
      </c>
      <c r="DV19" s="24" t="n">
        <f aca="false">IF($BT19="",NA(),$BT19)</f>
        <v>-1.237</v>
      </c>
      <c r="DW19" s="9" t="e">
        <f aca="false">IF($AP19="",NA(),$AO19)</f>
        <v>#N/A</v>
      </c>
      <c r="DX19" s="9" t="e">
        <f aca="false">IF($AP19="",NA(),$AP19)</f>
        <v>#N/A</v>
      </c>
      <c r="DY19" s="9" t="e">
        <f aca="false">IF(AND($D19="Sample",$P19&lt;&gt;""),$P19,NA())</f>
        <v>#N/A</v>
      </c>
      <c r="DZ19" s="9" t="e">
        <f aca="false">IF(AND($D19="Sample",$P19&lt;&gt;"",Fits!$B$105&lt;&gt;""),Fits!$B$105,NA())</f>
        <v>#N/A</v>
      </c>
      <c r="EA19" s="24" t="n">
        <f aca="false">IF($AT19="",NA(),$AT19)</f>
        <v>-9.59919169086634</v>
      </c>
      <c r="EB19" s="9" t="e">
        <f aca="false">IF(AND($D19="Drift",$AT19="",$AC19&lt;&gt;""),$AC19,NA())</f>
        <v>#N/A</v>
      </c>
      <c r="EC19" s="24" t="n">
        <f aca="false">IF(AND($D19="Drift",$AE19&lt;&gt;""),$AE19,NA())</f>
        <v>-9.54783780897134</v>
      </c>
      <c r="ED19" s="9" t="e">
        <f aca="false">IF(AND(OR($D19="Sample",$D19="Check"),$AF19&lt;&gt;""),$AF19,NA())</f>
        <v>#N/A</v>
      </c>
      <c r="EE19" s="25" t="n">
        <f aca="false">IF(OR($B19="",Fits!$B$158=""),NA(),Fits!$B$158)</f>
        <v>-40.81</v>
      </c>
      <c r="EF19" s="25" t="n">
        <f aca="false">IF(OR($B19="",Fits!$B$159=""),NA(),Fits!$B$159)</f>
        <v>-20.29</v>
      </c>
      <c r="EG19" s="24" t="n">
        <f aca="false">IF($BW19="",NA(),$BW19)</f>
        <v>-25.377</v>
      </c>
      <c r="EH19" s="9" t="e">
        <f aca="false">IF(AND($EN19=1,ISNUMBER($N19)),$N19,NA())</f>
        <v>#N/A</v>
      </c>
      <c r="EI19" s="9" t="n">
        <f aca="false">IF($B19="","",$A19)</f>
        <v>14</v>
      </c>
      <c r="EJ19" s="9" t="n">
        <f aca="false">IF(OR(AND(ISNUMBER($L19),Fits!$B$97&gt;0,$L19&gt;Fits!$B$97),AND(ISNUMBER($P19),Fits!$B$104&gt;0,$P19&gt;Fits!$B$104)),1,0)</f>
        <v>0</v>
      </c>
      <c r="EK19" s="9" t="n">
        <f aca="false">IF(OR($EJ18=1,$EJ17=1),1,0)</f>
        <v>0</v>
      </c>
      <c r="EL19" s="22" t="n">
        <f aca="false">IF(AND($EK19=0,ISNUMBER($N19)),$N19,$EL18)</f>
        <v>28.6</v>
      </c>
      <c r="EM19" s="9" t="str">
        <f aca="false">IF(AND($EK19=1,ISNUMBER($N19),ISNUMBER($EL19)),$N19-$EL19,"")</f>
        <v/>
      </c>
      <c r="EN19" s="9" t="n">
        <f aca="false">IF(Setup!$B$28="",0,IF(ISNUMBER($EM19),IF($EM19&gt;Setup!$B$28,1,0),0))</f>
        <v>0</v>
      </c>
      <c r="EO19" s="9" t="str">
        <f aca="false">IF($EN19=1,COUNTIF($EN$6:$EN19,1),"")</f>
        <v/>
      </c>
      <c r="EP19" s="9" t="n">
        <f aca="false">IF(AND($EJ18=1,OR($D19="Sample",$D19="Check")),1,0)</f>
        <v>0</v>
      </c>
      <c r="EQ19" s="9" t="str">
        <f aca="false">IF(ISNUMBER($BI19),IF(COUNT($BI$6:$BI19)&lt;=5,$BI19,""),"")</f>
        <v/>
      </c>
      <c r="ER19" s="9" t="str">
        <f aca="false">IF(OR(NOT(ISNUMBER($BJ19)),$EK19=1),$ER18,IF($BJ19&lt;=Setup!$B$26,IF($CP18=0,$A19,$ER18),""))</f>
        <v/>
      </c>
    </row>
    <row r="20" customFormat="false" ht="15" hidden="false" customHeight="false" outlineLevel="0" collapsed="false">
      <c r="A20" s="8" t="n">
        <v>15</v>
      </c>
      <c r="B20" s="8" t="str">
        <f aca="false">IFERROR(INDEX(Raw!$B$2:$B$1001,MATCH($A20,Raw!$A$2:$A$1001,0)),"")</f>
        <v>USGS 65</v>
      </c>
      <c r="C20" s="9" t="n">
        <f aca="false">IF($B20="","",MAX($CS20:$DE20))</f>
        <v>38</v>
      </c>
      <c r="D20" s="8" t="str">
        <f aca="false">IF($B20="","",IF($C20=0,"Sample",INDEX(Setup!$B$37:$B$49,$C20-36)))</f>
        <v>Anchor</v>
      </c>
      <c r="E20" s="16" t="n">
        <f aca="false">IF($B20="","",IFERROR(IF(INDEX(Raw!$E$2:$E$1001,MATCH($A20,Raw!$A$2:$A$1001,0))=0,"",INDEX(Raw!$E$2:$E$1001,MATCH($A20,Raw!$A$2:$A$1001,0))),""))</f>
        <v>0.402</v>
      </c>
      <c r="F20" s="18"/>
      <c r="G20" s="16" t="n">
        <f aca="false">IF($B20="","",IF($F20&lt;&gt;"",$F20,IF($E20="","",$E20)))</f>
        <v>0.402</v>
      </c>
      <c r="H20" s="9" t="n">
        <f aca="false">IF($B20="","",SUMPRODUCT(MAX((Raw!$A$2:$A$1001=$A20)*(Raw!$R$2:$R$1001="N")*Raw!$D$2:$D$1001)))</f>
        <v>3</v>
      </c>
      <c r="I20" s="9" t="str">
        <f aca="false">IF(OR($H20="",$H20=0),"",$A20&amp;"|N|"&amp;$H20)</f>
        <v>15|N|3</v>
      </c>
      <c r="J20" s="9" t="n">
        <f aca="false">IF($B20="","",SUMPRODUCT(MIN((Raw!$A$2:$A$1001=$A20)*(Raw!$R$2:$R$1001="C")*Raw!$D$2:$D$1001+(1-(Raw!$A$2:$A$1001=$A20)*(Raw!$R$2:$R$1001="C"))*9999)))</f>
        <v>4</v>
      </c>
      <c r="K20" s="9" t="str">
        <f aca="false">IF(OR($J20="",$J20=0,$J20=9999),"",$A20&amp;"|C|"&amp;$J20)</f>
        <v>15|C|4</v>
      </c>
      <c r="L20" s="16" t="n">
        <f aca="false">IF($I20="","",IF(INDEX(Raw!$I$2:$I$1001,MATCH($I20,Raw!$S$2:$S$1001,0))&lt;&gt;0,"",INDEX(Raw!$H$2:$H$1001,MATCH($I20,Raw!$S$2:$S$1001,0))))</f>
        <v>47.392</v>
      </c>
      <c r="M20" s="19" t="n">
        <f aca="false">IF($I20="","",IF(INDEX(Raw!$I$2:$I$1001,MATCH($I20,Raw!$S$2:$S$1001,0))&lt;&gt;0,"",INDEX(Raw!$F$2:$F$1001,MATCH($I20,Raw!$S$2:$S$1001,0))))</f>
        <v>2745</v>
      </c>
      <c r="N20" s="20" t="n">
        <f aca="false">IF($I20="","",IF(INDEX(Raw!$I$2:$I$1001,MATCH($I20,Raw!$S$2:$S$1001,0))&lt;&gt;0,"",INDEX(Raw!$G$2:$G$1001,MATCH($I20,Raw!$S$2:$S$1001,0))))</f>
        <v>28.2</v>
      </c>
      <c r="O20" s="16" t="n">
        <f aca="false">IF($I20="","",IF(INDEX(Raw!$I$2:$I$1001,MATCH($I20,Raw!$S$2:$S$1001,0))&lt;&gt;0,"",INDEX(Raw!$N$2:$N$1001,MATCH($I20,Raw!$S$2:$S$1001,0))))</f>
        <v>19.505</v>
      </c>
      <c r="P20" s="16" t="n">
        <f aca="false">IF($K20="","",IF(INDEX(Raw!$I$2:$I$1001,MATCH($K20,Raw!$S$2:$S$1001,0))&lt;&gt;0,"",INDEX(Raw!$K$2:$K$1001,MATCH($K20,Raw!$S$2:$S$1001,0))))</f>
        <v>57.172</v>
      </c>
      <c r="Q20" s="19" t="n">
        <f aca="false">IF($K20="","",IF(INDEX(Raw!$I$2:$I$1001,MATCH($K20,Raw!$S$2:$S$1001,0))&lt;&gt;0,"",INDEX(Raw!$J$2:$J$1001,MATCH($K20,Raw!$S$2:$S$1001,0))))</f>
        <v>2572</v>
      </c>
      <c r="R20" s="16" t="n">
        <f aca="false">IF($K20="","",IF(INDEX(Raw!$I$2:$I$1001,MATCH($K20,Raw!$S$2:$S$1001,0))&lt;&gt;0,"",INDEX(Raw!$O$2:$O$1001,MATCH($K20,Raw!$S$2:$S$1001,0))))</f>
        <v>-3.399</v>
      </c>
      <c r="S20" s="21" t="n">
        <f aca="false">IF($B20="","",IF($C20=0,"",IF(INDEX(Setup!$D$37:$D$49,$C20-36)="","",INDEX(Setup!$D$37:$D$49,$C20-36))))</f>
        <v>20.68</v>
      </c>
      <c r="T20" s="21" t="n">
        <f aca="false">IF($B20="","",IF($C20=0,"",IF(INDEX(Setup!$C$37:$C$49,$C20-36)="","",INDEX(Setup!$C$37:$C$49,$C20-36))))</f>
        <v>-20.29</v>
      </c>
      <c r="U20" s="21" t="n">
        <f aca="false">IF($B20="","",IF($C20=0,"",IF(INDEX(Setup!$F$37:$F$49,$C20-36)="","",INDEX(Setup!$F$37:$F$49,$C20-36))))</f>
        <v>18.66</v>
      </c>
      <c r="V20" s="21" t="n">
        <f aca="false">IF($B20="","",IF($C20=0,"",IF(INDEX(Setup!$E$37:$E$49,$C20-36)="","",INDEX(Setup!$E$37:$E$49,$C20-36))))</f>
        <v>32</v>
      </c>
      <c r="W20" s="16" t="n">
        <f aca="false">IF($O20="","",IF(OR(Fits!$C$5&lt;&gt;"Yes",$D20="Blank",$L20&lt;=Fits!$B$6),$O20,($L20*$O20-Fits!$B$6*Fits!$B$7)/($L20-Fits!$B$6)))</f>
        <v>19.505</v>
      </c>
      <c r="X20" s="16" t="n">
        <f aca="false">IF($W20="","",$W20-Fits!$B$20*($L20-Fits!$B$16))</f>
        <v>19.505</v>
      </c>
      <c r="Y20" s="22" t="n">
        <f aca="false">IF($W20="","",IF(OR(Fits!$B$38="Row",$BI20=""),$A20,$BI20))</f>
        <v>15</v>
      </c>
      <c r="Z20" s="16" t="n">
        <f aca="false">IF($X20="","",$X20-Fits!$B$39*($Y20-Fits!$B$40))</f>
        <v>19.228072200104</v>
      </c>
      <c r="AA20" s="23" t="n">
        <f aca="false">IF(OR($Z20="",Fits!$B$55&lt;2),"",Fits!$B$56*$Z20+Fits!$B$57)</f>
        <v>20.7667646273303</v>
      </c>
      <c r="AB20" s="16" t="n">
        <f aca="false">IF($R20="","",IF(OR(Fits!$C$9&lt;&gt;"Yes",$D20="Blank",$P20&lt;=Fits!$B$10),$R20,($P20*$R20-Fits!$B$10*Fits!$B$11)/($P20-Fits!$B$10)))</f>
        <v>-3.399</v>
      </c>
      <c r="AC20" s="16" t="n">
        <f aca="false">IF($AB20="","",$AB20-Fits!$B$28*($P20-Fits!$B$24))</f>
        <v>-3.27702906441028</v>
      </c>
      <c r="AD20" s="22" t="n">
        <f aca="false">IF($AB20="","",IF(OR(Fits!$B$50="Row",$BI20=""),$A20,$BI20))</f>
        <v>15</v>
      </c>
      <c r="AE20" s="16" t="n">
        <f aca="false">IF($AC20="","",$AC20-Fits!$B$51*($AD20-Fits!$B$52))</f>
        <v>-3.22827284969285</v>
      </c>
      <c r="AF20" s="23" t="n">
        <f aca="false">IF(OR($AE20="",Fits!$B$62&lt;2),"",Fits!$B$63*$AE20+Fits!$B$64)</f>
        <v>-20.2661957234765</v>
      </c>
      <c r="AG20" s="21" t="n">
        <f aca="false">IF(OR($L20="",Fits!$B$69&lt;3),"",($L20-Fits!$B$71)/Fits!$B$70)</f>
        <v>75.0084258891578</v>
      </c>
      <c r="AH20" s="21" t="n">
        <f aca="false">IF(OR($P20="",Fits!$B$75&lt;3),"",($P20-Fits!$B$77)/Fits!$B$76)</f>
        <v>126.236903197352</v>
      </c>
      <c r="AI20" s="23" t="n">
        <f aca="false">IF(OR($AG20="",$G20="",$G20=0),"",$AG20/($G20*1000)*100)</f>
        <v>18.6588124102383</v>
      </c>
      <c r="AJ20" s="23" t="n">
        <f aca="false">IF(OR($AH20="",$G20="",$G20=0),"",$AH20/($G20*1000)*100)</f>
        <v>31.4022147257094</v>
      </c>
      <c r="AK20" s="23" t="n">
        <f aca="false">IF(OR($AG20="",$AH20="",$AG20&lt;=0),"",($AH20/Setup!$B$52)/($AG20/Setup!$B$53))</f>
        <v>1.96264721405733</v>
      </c>
      <c r="AL20" s="23" t="n">
        <f aca="false">IF(OR($AG20="",$AH20="",$AG20&lt;=0),"",$AH20/$AG20)</f>
        <v>1.6829696357566</v>
      </c>
      <c r="AM20" s="9" t="str">
        <f aca="false">IF($D20="Linearity",IF($L20="","",$L20),"")</f>
        <v/>
      </c>
      <c r="AN20" s="9" t="str">
        <f aca="false">IF($D20="Linearity",IF($W20="","",$W20),"")</f>
        <v/>
      </c>
      <c r="AO20" s="9" t="str">
        <f aca="false">IF($D20="Linearity",IF($P20="","",$P20),"")</f>
        <v/>
      </c>
      <c r="AP20" s="9" t="str">
        <f aca="false">IF($D20="Linearity",IF($AB20="","",$AB20),"")</f>
        <v/>
      </c>
      <c r="AQ20" s="9" t="str">
        <f aca="false">IF($D20="Drift",IF($A20&lt;IF(Setup!$B$14="",0,Setup!$B$14),"",$A20),"")</f>
        <v/>
      </c>
      <c r="AR20" s="9" t="str">
        <f aca="false">IF($D20="Drift",IF($A20&lt;IF(Setup!$B$14="",0,Setup!$B$14),"",IF($BI20="","",$BI20)),"")</f>
        <v/>
      </c>
      <c r="AS20" s="9" t="str">
        <f aca="false">IF($D20="Drift",IF($A20&lt;IF(Setup!$B$14="",0,Setup!$B$14),"",IF(OR($X20="",$BX20=1),"",$X20)),"")</f>
        <v/>
      </c>
      <c r="AT20" s="9" t="str">
        <f aca="false">IF($D20="Drift",IF($A20&lt;IF(Setup!$B$14="",0,Setup!$B$14),"",IF(OR($AC20="",$BY20=1),"",$AC20)),"")</f>
        <v/>
      </c>
      <c r="AU20" s="24" t="n">
        <f aca="false">IF($D20="Anchor",IF(OR($Z20="",$S20=""),"",$Z20),"")</f>
        <v>19.228072200104</v>
      </c>
      <c r="AV20" s="25" t="n">
        <f aca="false">IF($D20="Anchor",IF(OR($Z20="",$S20=""),"",$S20),"")</f>
        <v>20.68</v>
      </c>
      <c r="AW20" s="24" t="n">
        <f aca="false">IF($D20="Anchor",IF(OR($AE20="",$T20=""),"",$AE20),"")</f>
        <v>-3.22827284969285</v>
      </c>
      <c r="AX20" s="25" t="n">
        <f aca="false">IF($D20="Anchor",IF(OR($AE20="",$T20=""),"",$T20),"")</f>
        <v>-20.29</v>
      </c>
      <c r="AY20" s="9" t="n">
        <f aca="false">IF(OR($D20="Blank",$D20="Exclude",$D20="Sample",$D20="",$G20="",$U20="",$L20=""),"",$G20*1000*$U20/100)</f>
        <v>75.0132</v>
      </c>
      <c r="AZ20" s="24" t="n">
        <f aca="false">IF($AY20="","",$L20)</f>
        <v>47.392</v>
      </c>
      <c r="BA20" s="9" t="n">
        <f aca="false">IF(OR($D20="Blank",$D20="Exclude",$D20="Sample",$D20="",$G20="",$V20="",$P20=""),"",$G20*1000*$V20/100)</f>
        <v>128.64</v>
      </c>
      <c r="BB20" s="24" t="n">
        <f aca="false">IF($BA20="","",$P20)</f>
        <v>57.172</v>
      </c>
      <c r="BC20" s="9" t="str">
        <f aca="false">IF(AND($D20="Blank",$L20&lt;&gt;""),$O20,"")</f>
        <v/>
      </c>
      <c r="BD20" s="9" t="str">
        <f aca="false">IF($BC20="","",$L20)</f>
        <v/>
      </c>
      <c r="BE20" s="9" t="str">
        <f aca="false">IF(AND($D20="Blank",$P20&lt;&gt;""),$R20,"")</f>
        <v/>
      </c>
      <c r="BF20" s="9" t="str">
        <f aca="false">IF($BE20="","",$P20)</f>
        <v/>
      </c>
      <c r="BG20" s="9" t="str">
        <f aca="false">IF(AND($D20="Drift",$BX20&lt;&gt;1),IF($AA20="","",$AA20),"")</f>
        <v/>
      </c>
      <c r="BH20" s="9" t="str">
        <f aca="false">IF(AND($D20="Drift",$BY20&lt;&gt;1),IF($AF20="","",$AF20),"")</f>
        <v/>
      </c>
      <c r="BI20" s="20" t="n">
        <f aca="false">IF($B20="","",IFERROR(INDEX(Raw!$G$2:$G$1001,MATCH($A20&amp;"|N|"&amp;SUMPRODUCT(MAX((Raw!$A$2:$A$1001=$A20)*(Raw!$R$2:$R$1001="N")*(Raw!$I$2:$I$1001=1)*Raw!$D$2:$D$1001)),Raw!$S$2:$S$1001,0)),""))</f>
        <v>26.4</v>
      </c>
      <c r="BJ20" s="21" t="n">
        <f aca="false">IF(OR($BI20="",Fits!$B$85&lt;=0),"",($BI20-Fits!$B$83)/Fits!$B$85)</f>
        <v>0.297297297297297</v>
      </c>
      <c r="BK20" s="9" t="str">
        <f aca="false">IF($AS20="","",IF($A20&gt;=Fits!$B$86,"",$A20))</f>
        <v/>
      </c>
      <c r="BL20" s="9" t="str">
        <f aca="false">IF($BK20="","",$X20)</f>
        <v/>
      </c>
      <c r="BM20" s="9" t="str">
        <f aca="false">IF($AS20="","",IF($A20&lt;Fits!$B$86,"",$A20))</f>
        <v/>
      </c>
      <c r="BN20" s="9" t="str">
        <f aca="false">IF($BM20="","",$X20)</f>
        <v/>
      </c>
      <c r="BO20" s="9" t="str">
        <f aca="false">IF(AND($D20="Drift",$BX20&lt;&gt;1),IF($O20="","",$O20),"")</f>
        <v/>
      </c>
      <c r="BP20" s="9" t="str">
        <f aca="false">IF(AND($D20="Drift",$BX20&lt;&gt;1),IF($W20="","",$W20),"")</f>
        <v/>
      </c>
      <c r="BQ20" s="9" t="str">
        <f aca="false">IF(AND($D20="Drift",$BX20&lt;&gt;1),IF($X20="","",$X20),"")</f>
        <v/>
      </c>
      <c r="BR20" s="9" t="str">
        <f aca="false">IF(AND($D20="Drift",$BX20&lt;&gt;1),IF($Z20="","",$Z20),"")</f>
        <v/>
      </c>
      <c r="BS20" s="9" t="n">
        <f aca="false">IF(OR($B20="",$H20=""),"",SUMPRODUCT(MIN((Raw!$A$2:$A$1001=$A20)*(Raw!$R$2:$R$1001="N")*(Raw!$I$2:$I$1001=0)*(Raw!$D$2:$D$1001&lt;$H20)*Raw!$D$2:$D$1001+(1-(Raw!$A$2:$A$1001=$A20)*(Raw!$R$2:$R$1001="N")*(Raw!$I$2:$I$1001=0)*(Raw!$D$2:$D$1001&lt;$H20))*9999)))</f>
        <v>1</v>
      </c>
      <c r="BT20" s="16" t="n">
        <f aca="false">IF(OR($BS20="",$BS20=9999,$BS20=0),"",IFERROR(INDEX(Raw!$N$2:$N$1001,MATCH($A20&amp;"|N|"&amp;$BS20,Raw!$S$2:$S$1001,0)),""))</f>
        <v>-1.275</v>
      </c>
      <c r="BU20" s="9" t="n">
        <f aca="false">IF($B20="","",SUMPRODUCT(MIN((Raw!$A$2:$A$1001=$A20)*(Raw!$R$2:$R$1001="C")*(Raw!$I$2:$I$1001=1)*Raw!$D$2:$D$1001+(1-(Raw!$A$2:$A$1001=$A20)*(Raw!$R$2:$R$1001="C")*(Raw!$I$2:$I$1001=1))*9999)))</f>
        <v>5</v>
      </c>
      <c r="BV20" s="9" t="n">
        <f aca="false">IF(OR($BU20="",$BU20=9999),"",SUMPRODUCT(MIN((Raw!$A$2:$A$1001=$A20)*(Raw!$R$2:$R$1001="C")*(Raw!$I$2:$I$1001=0)*(Raw!$D$2:$D$1001&gt;$BU20)*Raw!$D$2:$D$1001+(1-(Raw!$A$2:$A$1001=$A20)*(Raw!$R$2:$R$1001="C")*(Raw!$I$2:$I$1001=0)*(Raw!$D$2:$D$1001&gt;$BU20))*9999)))</f>
        <v>6</v>
      </c>
      <c r="BW20" s="16" t="n">
        <f aca="false">IF(OR($BV20="",$BV20=9999,$BV20=0),"",IFERROR(INDEX(Raw!$O$2:$O$1001,MATCH($A20&amp;"|C|"&amp;$BV20,Raw!$S$2:$S$1001,0)),""))</f>
        <v>-25.384</v>
      </c>
      <c r="BX20" s="9" t="n">
        <f aca="false">IF($B20="","",IF(ISNUMBER(SEARCH(","&amp;$A20&amp;",",","&amp;SUBSTITUTE(Setup!$B$16," ","")&amp;",")),1,0))</f>
        <v>0</v>
      </c>
      <c r="BY20" s="9" t="n">
        <f aca="false">IF($B20="","",IF(ISNUMBER(SEARCH(","&amp;$A20&amp;",",","&amp;SUBSTITUTE(Setup!$B$17," ","")&amp;",")),1,0))</f>
        <v>0</v>
      </c>
      <c r="BZ20" s="22" t="str">
        <f aca="false">IF($AS20="","",IF(Fits!$B$38="Row",$AQ20,IF($AR20="","",$AR20)))</f>
        <v/>
      </c>
      <c r="CA20" s="22" t="str">
        <f aca="false">IF($AT20="","",IF(Fits!$B$50="Row",$AQ20,IF($AR20="","",$AR20)))</f>
        <v/>
      </c>
      <c r="CB20" s="20" t="str">
        <f aca="false">IF(OR($D20&lt;&gt;"Drift",$X20="",$A20&lt;IF(Setup!$B$14="",0,Setup!$B$14),Fits!$B$107&lt;3,Fits!$B$110="",Fits!$B$109=0,IF(Fits!$B$38="Row",$AQ20,$AR20)=""),"",IF($BX20=1,IF(OR(Fits!$B$111="",Fits!$B$111=0),"",($X20-(IF(Fits!$B$38="Row",Fits!$B$32,Fits!$B$35)*IF(Fits!$B$38="Row",$AQ20,$AR20)+Fits!$B$110))/(Fits!$B$111*SQRT(1+(1/Fits!$B$107+(IF(Fits!$B$38="Row",$AQ20,$AR20)-Fits!$B$108)^2/Fits!$B$109)))),IF(OR(Fits!$B$107&lt;4,(1/Fits!$B$107+(IF(Fits!$B$38="Row",$AQ20,$AR20)-Fits!$B$108)^2/Fits!$B$109)&gt;=1),"",IF((Fits!$B$116-($X20-(IF(Fits!$B$38="Row",Fits!$B$32,Fits!$B$35)*IF(Fits!$B$38="Row",$AQ20,$AR20)+Fits!$B$110))^2/(1-(1/Fits!$B$107+(IF(Fits!$B$38="Row",$AQ20,$AR20)-Fits!$B$108)^2/Fits!$B$109)))&lt;=0,"",($X20-(IF(Fits!$B$38="Row",Fits!$B$32,Fits!$B$35)*IF(Fits!$B$38="Row",$AQ20,$AR20)+Fits!$B$110))/(SQRT((Fits!$B$116-($X20-(IF(Fits!$B$38="Row",Fits!$B$32,Fits!$B$35)*IF(Fits!$B$38="Row",$AQ20,$AR20)+Fits!$B$110))^2/(1-(1/Fits!$B$107+(IF(Fits!$B$38="Row",$AQ20,$AR20)-Fits!$B$108)^2/Fits!$B$109)))/(Fits!$B$107-3))*SQRT(1-(1/Fits!$B$107+(IF(Fits!$B$38="Row",$AQ20,$AR20)-Fits!$B$108)^2/Fits!$B$109)))))))</f>
        <v/>
      </c>
      <c r="CC20" s="20" t="str">
        <f aca="false">IF(OR($D20&lt;&gt;"Drift",$AC20="",$A20&lt;IF(Setup!$B$14="",0,Setup!$B$14),Fits!$B$120&lt;3,Fits!$B$123="",Fits!$B$122=0,IF(Fits!$B$50="Row",$AQ20,$AR20)=""),"",IF($BY20=1,IF(OR(Fits!$B$124="",Fits!$B$124=0),"",($AC20-(IF(Fits!$B$50="Row",Fits!$B$44,Fits!$B$47)*IF(Fits!$B$50="Row",$AQ20,$AR20)+Fits!$B$123))/(Fits!$B$124*SQRT(1+(1/Fits!$B$120+(IF(Fits!$B$50="Row",$AQ20,$AR20)-Fits!$B$121)^2/Fits!$B$122)))),IF(OR(Fits!$B$120&lt;4,(1/Fits!$B$120+(IF(Fits!$B$50="Row",$AQ20,$AR20)-Fits!$B$121)^2/Fits!$B$122)&gt;=1),"",IF((Fits!$B$129-($AC20-(IF(Fits!$B$50="Row",Fits!$B$44,Fits!$B$47)*IF(Fits!$B$50="Row",$AQ20,$AR20)+Fits!$B$123))^2/(1-(1/Fits!$B$120+(IF(Fits!$B$50="Row",$AQ20,$AR20)-Fits!$B$121)^2/Fits!$B$122)))&lt;=0,"",($AC20-(IF(Fits!$B$50="Row",Fits!$B$44,Fits!$B$47)*IF(Fits!$B$50="Row",$AQ20,$AR20)+Fits!$B$123))/(SQRT((Fits!$B$129-($AC20-(IF(Fits!$B$50="Row",Fits!$B$44,Fits!$B$47)*IF(Fits!$B$50="Row",$AQ20,$AR20)+Fits!$B$123))^2/(1-(1/Fits!$B$120+(IF(Fits!$B$50="Row",$AQ20,$AR20)-Fits!$B$121)^2/Fits!$B$122)))/(Fits!$B$120-3))*SQRT(1-(1/Fits!$B$120+(IF(Fits!$B$50="Row",$AQ20,$AR20)-Fits!$B$121)^2/Fits!$B$122)))))))</f>
        <v/>
      </c>
      <c r="CD20" s="9" t="n">
        <f aca="false">IF($AU20="","",1)</f>
        <v>1</v>
      </c>
      <c r="CE20" s="24" t="n">
        <f aca="false">IF($AU20="","",$AU20-Fits!$B$133)</f>
        <v>9.29942101666112</v>
      </c>
      <c r="CF20" s="24" t="n">
        <f aca="false">IF($AU20="","",($AV20-(Fits!$B$56*$AU20+Fits!$B$57))-Fits!$B$56*($AU20-Fits!$B$133))</f>
        <v>-9.63352925466059</v>
      </c>
      <c r="CG20" s="25" t="n">
        <f aca="false">IF($AU20="","",$AU20^2)</f>
        <v>369.718760532413</v>
      </c>
      <c r="CH20" s="9" t="n">
        <f aca="false">IF($AW20="","",1)</f>
        <v>1</v>
      </c>
      <c r="CI20" s="24" t="n">
        <f aca="false">IF($AW20="","",$AW20-Fits!$B$153)</f>
        <v>10.1403128596373</v>
      </c>
      <c r="CJ20" s="24" t="n">
        <f aca="false">IF($AW20="","",($AX20-(Fits!$B$63*$AW20+Fits!$B$64))-Fits!$B$63*($AW20-Fits!$B$153))</f>
        <v>-10.307608553047</v>
      </c>
      <c r="CK20" s="25" t="n">
        <f aca="false">IF($AW20="","",$AW20^2)</f>
        <v>10.421745592064</v>
      </c>
      <c r="CL20" s="26" t="n">
        <f aca="false">IF(OR($Z20="",Fits!$B$55&lt;3,Fits!$B$133="",Fits!$B$134="",Fits!$B$134=0,Fits!$B$136=""),"",SQRT((Fits!$B$136*Fits!$B$56)^2+SUMPRODUCT((Fits!$J$163:$J$175*(Fits!$B$163:$B$175/Fits!$B$55+Fits!$H$163:$H$175*($Z20-Fits!$B$133)/Fits!$B$134))^2)+SUMPRODUCT((Fits!$G$163:$G$175*(($Z20-Fits!$B$133)*Fits!$I$163:$I$175/Fits!$B$134-Fits!$B$163:$B$175*Fits!$B$56/Fits!$B$55))^2)))</f>
        <v>0.197717880621335</v>
      </c>
      <c r="CM20" s="26" t="n">
        <f aca="false">IF($CL20="","",Setup!$B$32*$CL20)</f>
        <v>0.395435761242671</v>
      </c>
      <c r="CN20" s="26" t="n">
        <f aca="false">IF(OR($AE20="",Fits!$B$62&lt;3,Fits!$B$153="",Fits!$B$154="",Fits!$B$154=0,Fits!$B$156=""),"",SQRT((Fits!$B$156*Fits!$B$63)^2+SUMPRODUCT((Fits!$J$183:$J$195*(Fits!$B$183:$B$195/Fits!$B$62+Fits!$H$183:$H$195*($AE20-Fits!$B$153)/Fits!$B$154))^2)+SUMPRODUCT((Fits!$G$183:$G$195*(($AE20-Fits!$B$153)*Fits!$I$183:$I$195/Fits!$B$154-Fits!$B$183:$B$195*Fits!$B$63/Fits!$B$62))^2)))</f>
        <v>0.0467218457030558</v>
      </c>
      <c r="CO20" s="26" t="n">
        <f aca="false">IF($CN20="","",Setup!$B$32*$CN20)</f>
        <v>0.0934436914061116</v>
      </c>
      <c r="CP20" s="9" t="n">
        <f aca="false">IF(OR(NOT(ISNUMBER($BJ20)),$EK20=1),$CP19,IF($BJ20&lt;=Setup!$B$26,$CP19+1,0))</f>
        <v>0</v>
      </c>
      <c r="CQ20" s="9" t="n">
        <f aca="false">IF($BT20="","",$A20)</f>
        <v>15</v>
      </c>
      <c r="CR20" s="9" t="n">
        <f aca="false">IF($BW20="","",$A20)</f>
        <v>15</v>
      </c>
      <c r="CS20" s="9" t="n">
        <f aca="false">IF($B20="","",IF(Setup!$A$37="",0,IF(ISNUMBER(SEARCH(Setup!$A$37,$B20)),37,0)))</f>
        <v>0</v>
      </c>
      <c r="CT20" s="9" t="n">
        <f aca="false">IF($B20="","",IF(Setup!$A$38="",0,IF(ISNUMBER(SEARCH(Setup!$A$38,$B20)),38,0)))</f>
        <v>38</v>
      </c>
      <c r="CU20" s="9" t="n">
        <f aca="false">IF($B20="","",IF(Setup!$A$39="",0,IF(ISNUMBER(SEARCH(Setup!$A$39,$B20)),39,0)))</f>
        <v>0</v>
      </c>
      <c r="CV20" s="9" t="n">
        <f aca="false">IF($B20="","",IF(Setup!$A$40="",0,IF(ISNUMBER(SEARCH(Setup!$A$40,$B20)),40,0)))</f>
        <v>0</v>
      </c>
      <c r="CW20" s="9" t="n">
        <f aca="false">IF($B20="","",IF(Setup!$A$41="",0,IF(ISNUMBER(SEARCH(Setup!$A$41,$B20)),41,0)))</f>
        <v>0</v>
      </c>
      <c r="CX20" s="9" t="n">
        <f aca="false">IF($B20="","",IF(Setup!$A$42="",0,IF(ISNUMBER(SEARCH(Setup!$A$42,$B20)),42,0)))</f>
        <v>0</v>
      </c>
      <c r="CY20" s="9" t="n">
        <f aca="false">IF($B20="","",IF(Setup!$A$43="",0,IF(ISNUMBER(SEARCH(Setup!$A$43,$B20)),43,0)))</f>
        <v>0</v>
      </c>
      <c r="CZ20" s="9" t="n">
        <f aca="false">IF($B20="","",IF(Setup!$A$44="",0,IF(ISNUMBER(SEARCH(Setup!$A$44,$B20)),44,0)))</f>
        <v>0</v>
      </c>
      <c r="DA20" s="9" t="n">
        <f aca="false">IF($B20="","",IF(Setup!$A$45="",0,IF(ISNUMBER(SEARCH(Setup!$A$45,$B20)),45,0)))</f>
        <v>0</v>
      </c>
      <c r="DB20" s="9" t="n">
        <f aca="false">IF($B20="","",IF(Setup!$A$46="",0,IF(ISNUMBER(SEARCH(Setup!$A$46,$B20)),46,0)))</f>
        <v>0</v>
      </c>
      <c r="DC20" s="9" t="n">
        <f aca="false">IF($B20="","",IF(Setup!$A$47="",0,IF(ISNUMBER(SEARCH(Setup!$A$47,$B20)),47,0)))</f>
        <v>0</v>
      </c>
      <c r="DD20" s="9" t="n">
        <f aca="false">IF($B20="","",IF(Setup!$A$48="",0,IF(ISNUMBER(SEARCH(Setup!$A$48,$B20)),48,0)))</f>
        <v>0</v>
      </c>
      <c r="DE20" s="9" t="n">
        <f aca="false">IF($B20="","",IF(Setup!$A$49="",0,IF(ISNUMBER(SEARCH(Setup!$A$49,$B20)),49,0)))</f>
        <v>0</v>
      </c>
      <c r="DF20" s="9" t="n">
        <f aca="false">IF($B20="",NA(),$A20)</f>
        <v>15</v>
      </c>
      <c r="DG20" s="22" t="n">
        <f aca="false">IF($BI20="",NA(),$BI20)</f>
        <v>26.4</v>
      </c>
      <c r="DH20" s="22" t="n">
        <f aca="false">IF($N20="",NA(),$N20)</f>
        <v>28.2</v>
      </c>
      <c r="DI20" s="9" t="e">
        <f aca="false">IF(AND($D20="Drift",$N20&lt;&gt;""),$N20,NA())</f>
        <v>#N/A</v>
      </c>
      <c r="DJ20" s="9" t="str">
        <f aca="false">IF(AND($D20="Drift",$N20&lt;&gt;""),$N20,"")</f>
        <v/>
      </c>
      <c r="DK20" s="9" t="str">
        <f aca="false">IF($DJ20="","",$A20)</f>
        <v/>
      </c>
      <c r="DL20" s="9" t="e">
        <f aca="false">IF($AN20="",NA(),$AM20)</f>
        <v>#N/A</v>
      </c>
      <c r="DM20" s="9" t="e">
        <f aca="false">IF($AN20="",NA(),$AN20)</f>
        <v>#N/A</v>
      </c>
      <c r="DN20" s="9" t="e">
        <f aca="false">IF(AND($D20="Sample",$L20&lt;&gt;""),$L20,NA())</f>
        <v>#N/A</v>
      </c>
      <c r="DO20" s="9" t="e">
        <f aca="false">IF(AND($D20="Sample",$L20&lt;&gt;"",Fits!$B$98&lt;&gt;""),Fits!$B$98,NA())</f>
        <v>#N/A</v>
      </c>
      <c r="DP20" s="9" t="e">
        <f aca="false">IF($AS20="",NA(),$AS20)</f>
        <v>#N/A</v>
      </c>
      <c r="DQ20" s="9" t="e">
        <f aca="false">IF(AND($D20="Drift",$AS20="",$X20&lt;&gt;""),$X20,NA())</f>
        <v>#N/A</v>
      </c>
      <c r="DR20" s="9" t="e">
        <f aca="false">IF(AND($D20="Drift",$Z20&lt;&gt;""),$Z20,NA())</f>
        <v>#N/A</v>
      </c>
      <c r="DS20" s="9" t="e">
        <f aca="false">IF(AND(OR($D20="Sample",$D20="Check"),$AA20&lt;&gt;""),$AA20,NA())</f>
        <v>#N/A</v>
      </c>
      <c r="DT20" s="25" t="n">
        <f aca="false">IF(OR($B20="",Fits!$B$138=""),NA(),Fits!$B$138)</f>
        <v>1.76</v>
      </c>
      <c r="DU20" s="25" t="n">
        <f aca="false">IF(OR($B20="",Fits!$B$139=""),NA(),Fits!$B$139)</f>
        <v>20.68</v>
      </c>
      <c r="DV20" s="24" t="n">
        <f aca="false">IF($BT20="",NA(),$BT20)</f>
        <v>-1.275</v>
      </c>
      <c r="DW20" s="9" t="e">
        <f aca="false">IF($AP20="",NA(),$AO20)</f>
        <v>#N/A</v>
      </c>
      <c r="DX20" s="9" t="e">
        <f aca="false">IF($AP20="",NA(),$AP20)</f>
        <v>#N/A</v>
      </c>
      <c r="DY20" s="9" t="e">
        <f aca="false">IF(AND($D20="Sample",$P20&lt;&gt;""),$P20,NA())</f>
        <v>#N/A</v>
      </c>
      <c r="DZ20" s="9" t="e">
        <f aca="false">IF(AND($D20="Sample",$P20&lt;&gt;"",Fits!$B$105&lt;&gt;""),Fits!$B$105,NA())</f>
        <v>#N/A</v>
      </c>
      <c r="EA20" s="9" t="e">
        <f aca="false">IF($AT20="",NA(),$AT20)</f>
        <v>#N/A</v>
      </c>
      <c r="EB20" s="9" t="e">
        <f aca="false">IF(AND($D20="Drift",$AT20="",$AC20&lt;&gt;""),$AC20,NA())</f>
        <v>#N/A</v>
      </c>
      <c r="EC20" s="9" t="e">
        <f aca="false">IF(AND($D20="Drift",$AE20&lt;&gt;""),$AE20,NA())</f>
        <v>#N/A</v>
      </c>
      <c r="ED20" s="9" t="e">
        <f aca="false">IF(AND(OR($D20="Sample",$D20="Check"),$AF20&lt;&gt;""),$AF20,NA())</f>
        <v>#N/A</v>
      </c>
      <c r="EE20" s="25" t="n">
        <f aca="false">IF(OR($B20="",Fits!$B$158=""),NA(),Fits!$B$158)</f>
        <v>-40.81</v>
      </c>
      <c r="EF20" s="25" t="n">
        <f aca="false">IF(OR($B20="",Fits!$B$159=""),NA(),Fits!$B$159)</f>
        <v>-20.29</v>
      </c>
      <c r="EG20" s="24" t="n">
        <f aca="false">IF($BW20="",NA(),$BW20)</f>
        <v>-25.384</v>
      </c>
      <c r="EH20" s="9" t="e">
        <f aca="false">IF(AND($EN20=1,ISNUMBER($N20)),$N20,NA())</f>
        <v>#N/A</v>
      </c>
      <c r="EI20" s="9" t="n">
        <f aca="false">IF($B20="","",$A20)</f>
        <v>15</v>
      </c>
      <c r="EJ20" s="9" t="n">
        <f aca="false">IF(OR(AND(ISNUMBER($L20),Fits!$B$97&gt;0,$L20&gt;Fits!$B$97),AND(ISNUMBER($P20),Fits!$B$104&gt;0,$P20&gt;Fits!$B$104)),1,0)</f>
        <v>0</v>
      </c>
      <c r="EK20" s="9" t="n">
        <f aca="false">IF(OR($EJ19=1,$EJ18=1),1,0)</f>
        <v>0</v>
      </c>
      <c r="EL20" s="22" t="n">
        <f aca="false">IF(AND($EK20=0,ISNUMBER($N20)),$N20,$EL19)</f>
        <v>28.2</v>
      </c>
      <c r="EM20" s="9" t="str">
        <f aca="false">IF(AND($EK20=1,ISNUMBER($N20),ISNUMBER($EL20)),$N20-$EL20,"")</f>
        <v/>
      </c>
      <c r="EN20" s="9" t="n">
        <f aca="false">IF(Setup!$B$28="",0,IF(ISNUMBER($EM20),IF($EM20&gt;Setup!$B$28,1,0),0))</f>
        <v>0</v>
      </c>
      <c r="EO20" s="9" t="str">
        <f aca="false">IF($EN20=1,COUNTIF($EN$6:$EN20,1),"")</f>
        <v/>
      </c>
      <c r="EP20" s="9" t="n">
        <f aca="false">IF(AND($EJ19=1,OR($D20="Sample",$D20="Check")),1,0)</f>
        <v>0</v>
      </c>
      <c r="EQ20" s="9" t="str">
        <f aca="false">IF(ISNUMBER($BI20),IF(COUNT($BI$6:$BI20)&lt;=5,$BI20,""),"")</f>
        <v/>
      </c>
      <c r="ER20" s="9" t="str">
        <f aca="false">IF(OR(NOT(ISNUMBER($BJ20)),$EK20=1),$ER19,IF($BJ20&lt;=Setup!$B$26,IF($CP19=0,$A20,$ER19),""))</f>
        <v/>
      </c>
    </row>
    <row r="21" customFormat="false" ht="15" hidden="false" customHeight="false" outlineLevel="0" collapsed="false">
      <c r="A21" s="8" t="n">
        <v>16</v>
      </c>
      <c r="B21" s="8" t="str">
        <f aca="false">IFERROR(INDEX(Raw!$B$2:$B$1001,MATCH($A21,Raw!$A$2:$A$1001,0)),"")</f>
        <v>USGS 65</v>
      </c>
      <c r="C21" s="9" t="n">
        <f aca="false">IF($B21="","",MAX($CS21:$DE21))</f>
        <v>38</v>
      </c>
      <c r="D21" s="8" t="str">
        <f aca="false">IF($B21="","",IF($C21=0,"Sample",INDEX(Setup!$B$37:$B$49,$C21-36)))</f>
        <v>Anchor</v>
      </c>
      <c r="E21" s="16" t="n">
        <f aca="false">IF($B21="","",IFERROR(IF(INDEX(Raw!$E$2:$E$1001,MATCH($A21,Raw!$A$2:$A$1001,0))=0,"",INDEX(Raw!$E$2:$E$1001,MATCH($A21,Raw!$A$2:$A$1001,0))),""))</f>
        <v>0.43</v>
      </c>
      <c r="F21" s="18"/>
      <c r="G21" s="16" t="n">
        <f aca="false">IF($B21="","",IF($F21&lt;&gt;"",$F21,IF($E21="","",$E21)))</f>
        <v>0.43</v>
      </c>
      <c r="H21" s="9" t="n">
        <f aca="false">IF($B21="","",SUMPRODUCT(MAX((Raw!$A$2:$A$1001=$A21)*(Raw!$R$2:$R$1001="N")*Raw!$D$2:$D$1001)))</f>
        <v>3</v>
      </c>
      <c r="I21" s="9" t="str">
        <f aca="false">IF(OR($H21="",$H21=0),"",$A21&amp;"|N|"&amp;$H21)</f>
        <v>16|N|3</v>
      </c>
      <c r="J21" s="9" t="n">
        <f aca="false">IF($B21="","",SUMPRODUCT(MIN((Raw!$A$2:$A$1001=$A21)*(Raw!$R$2:$R$1001="C")*Raw!$D$2:$D$1001+(1-(Raw!$A$2:$A$1001=$A21)*(Raw!$R$2:$R$1001="C"))*9999)))</f>
        <v>4</v>
      </c>
      <c r="K21" s="9" t="str">
        <f aca="false">IF(OR($J21="",$J21=0,$J21=9999),"",$A21&amp;"|C|"&amp;$J21)</f>
        <v>16|C|4</v>
      </c>
      <c r="L21" s="16" t="n">
        <f aca="false">IF($I21="","",IF(INDEX(Raw!$I$2:$I$1001,MATCH($I21,Raw!$S$2:$S$1001,0))&lt;&gt;0,"",INDEX(Raw!$H$2:$H$1001,MATCH($I21,Raw!$S$2:$S$1001,0))))</f>
        <v>50.157</v>
      </c>
      <c r="M21" s="19" t="n">
        <f aca="false">IF($I21="","",IF(INDEX(Raw!$I$2:$I$1001,MATCH($I21,Raw!$S$2:$S$1001,0))&lt;&gt;0,"",INDEX(Raw!$F$2:$F$1001,MATCH($I21,Raw!$S$2:$S$1001,0))))</f>
        <v>2907</v>
      </c>
      <c r="N21" s="20" t="n">
        <f aca="false">IF($I21="","",IF(INDEX(Raw!$I$2:$I$1001,MATCH($I21,Raw!$S$2:$S$1001,0))&lt;&gt;0,"",INDEX(Raw!$G$2:$G$1001,MATCH($I21,Raw!$S$2:$S$1001,0))))</f>
        <v>27.9</v>
      </c>
      <c r="O21" s="16" t="n">
        <f aca="false">IF($I21="","",IF(INDEX(Raw!$I$2:$I$1001,MATCH($I21,Raw!$S$2:$S$1001,0))&lt;&gt;0,"",INDEX(Raw!$N$2:$N$1001,MATCH($I21,Raw!$S$2:$S$1001,0))))</f>
        <v>19.262</v>
      </c>
      <c r="P21" s="16" t="n">
        <f aca="false">IF($K21="","",IF(INDEX(Raw!$I$2:$I$1001,MATCH($K21,Raw!$S$2:$S$1001,0))&lt;&gt;0,"",INDEX(Raw!$K$2:$K$1001,MATCH($K21,Raw!$S$2:$S$1001,0))))</f>
        <v>61.156</v>
      </c>
      <c r="Q21" s="19" t="n">
        <f aca="false">IF($K21="","",IF(INDEX(Raw!$I$2:$I$1001,MATCH($K21,Raw!$S$2:$S$1001,0))&lt;&gt;0,"",INDEX(Raw!$J$2:$J$1001,MATCH($K21,Raw!$S$2:$S$1001,0))))</f>
        <v>2740</v>
      </c>
      <c r="R21" s="16" t="n">
        <f aca="false">IF($K21="","",IF(INDEX(Raw!$I$2:$I$1001,MATCH($K21,Raw!$S$2:$S$1001,0))&lt;&gt;0,"",INDEX(Raw!$O$2:$O$1001,MATCH($K21,Raw!$S$2:$S$1001,0))))</f>
        <v>-3.422</v>
      </c>
      <c r="S21" s="21" t="n">
        <f aca="false">IF($B21="","",IF($C21=0,"",IF(INDEX(Setup!$D$37:$D$49,$C21-36)="","",INDEX(Setup!$D$37:$D$49,$C21-36))))</f>
        <v>20.68</v>
      </c>
      <c r="T21" s="21" t="n">
        <f aca="false">IF($B21="","",IF($C21=0,"",IF(INDEX(Setup!$C$37:$C$49,$C21-36)="","",INDEX(Setup!$C$37:$C$49,$C21-36))))</f>
        <v>-20.29</v>
      </c>
      <c r="U21" s="21" t="n">
        <f aca="false">IF($B21="","",IF($C21=0,"",IF(INDEX(Setup!$F$37:$F$49,$C21-36)="","",INDEX(Setup!$F$37:$F$49,$C21-36))))</f>
        <v>18.66</v>
      </c>
      <c r="V21" s="21" t="n">
        <f aca="false">IF($B21="","",IF($C21=0,"",IF(INDEX(Setup!$E$37:$E$49,$C21-36)="","",INDEX(Setup!$E$37:$E$49,$C21-36))))</f>
        <v>32</v>
      </c>
      <c r="W21" s="16" t="n">
        <f aca="false">IF($O21="","",IF(OR(Fits!$C$5&lt;&gt;"Yes",$D21="Blank",$L21&lt;=Fits!$B$6),$O21,($L21*$O21-Fits!$B$6*Fits!$B$7)/($L21-Fits!$B$6)))</f>
        <v>19.262</v>
      </c>
      <c r="X21" s="16" t="n">
        <f aca="false">IF($W21="","",$W21-Fits!$B$20*($L21-Fits!$B$16))</f>
        <v>19.262</v>
      </c>
      <c r="Y21" s="22" t="n">
        <f aca="false">IF($W21="","",IF(OR(Fits!$B$38="Row",$BI21=""),$A21,$BI21))</f>
        <v>16</v>
      </c>
      <c r="Z21" s="16" t="n">
        <f aca="false">IF($X21="","",$X21-Fits!$B$39*($Y21-Fits!$B$40))</f>
        <v>18.9998265500985</v>
      </c>
      <c r="AA21" s="23" t="n">
        <f aca="false">IF(OR($Z21="",Fits!$B$55&lt;2),"",Fits!$B$56*$Z21+Fits!$B$57)</f>
        <v>20.5324481581748</v>
      </c>
      <c r="AB21" s="16" t="n">
        <f aca="false">IF($R21="","",IF(OR(Fits!$C$9&lt;&gt;"Yes",$D21="Blank",$P21&lt;=Fits!$B$10),$R21,($P21*$R21-Fits!$B$10*Fits!$B$11)/($P21-Fits!$B$10)))</f>
        <v>-3.422</v>
      </c>
      <c r="AC21" s="16" t="n">
        <f aca="false">IF($AB21="","",$AB21-Fits!$B$28*($P21-Fits!$B$24))</f>
        <v>-3.30693234403054</v>
      </c>
      <c r="AD21" s="22" t="n">
        <f aca="false">IF($AB21="","",IF(OR(Fits!$B$50="Row",$BI21=""),$A21,$BI21))</f>
        <v>16</v>
      </c>
      <c r="AE21" s="16" t="n">
        <f aca="false">IF($AC21="","",$AC21-Fits!$B$51*($AD21-Fits!$B$52))</f>
        <v>-3.26077379649068</v>
      </c>
      <c r="AF21" s="23" t="n">
        <f aca="false">IF(OR($AE21="",Fits!$B$62&lt;2),"",Fits!$B$63*$AE21+Fits!$B$64)</f>
        <v>-20.29915657787</v>
      </c>
      <c r="AG21" s="21" t="n">
        <f aca="false">IF(OR($L21="",Fits!$B$69&lt;3),"",($L21-Fits!$B$71)/Fits!$B$70)</f>
        <v>79.5759525563669</v>
      </c>
      <c r="AH21" s="21" t="n">
        <f aca="false">IF(OR($P21="",Fits!$B$75&lt;3),"",($P21-Fits!$B$77)/Fits!$B$76)</f>
        <v>135.311075674329</v>
      </c>
      <c r="AI21" s="23" t="n">
        <f aca="false">IF(OR($AG21="",$G21="",$G21=0),"",$AG21/($G21*1000)*100)</f>
        <v>18.5060354782249</v>
      </c>
      <c r="AJ21" s="23" t="n">
        <f aca="false">IF(OR($AH21="",$G21="",$G21=0),"",$AH21/($G21*1000)*100)</f>
        <v>31.4676920172859</v>
      </c>
      <c r="AK21" s="23" t="n">
        <f aca="false">IF(OR($AG21="",$AH21="",$AG21&lt;=0),"",($AH21/Setup!$B$52)/($AG21/Setup!$B$53))</f>
        <v>1.98297601942724</v>
      </c>
      <c r="AL21" s="23" t="n">
        <f aca="false">IF(OR($AG21="",$AH21="",$AG21&lt;=0),"",$AH21/$AG21)</f>
        <v>1.70040158273296</v>
      </c>
      <c r="AM21" s="9" t="str">
        <f aca="false">IF($D21="Linearity",IF($L21="","",$L21),"")</f>
        <v/>
      </c>
      <c r="AN21" s="9" t="str">
        <f aca="false">IF($D21="Linearity",IF($W21="","",$W21),"")</f>
        <v/>
      </c>
      <c r="AO21" s="9" t="str">
        <f aca="false">IF($D21="Linearity",IF($P21="","",$P21),"")</f>
        <v/>
      </c>
      <c r="AP21" s="9" t="str">
        <f aca="false">IF($D21="Linearity",IF($AB21="","",$AB21),"")</f>
        <v/>
      </c>
      <c r="AQ21" s="9" t="str">
        <f aca="false">IF($D21="Drift",IF($A21&lt;IF(Setup!$B$14="",0,Setup!$B$14),"",$A21),"")</f>
        <v/>
      </c>
      <c r="AR21" s="9" t="str">
        <f aca="false">IF($D21="Drift",IF($A21&lt;IF(Setup!$B$14="",0,Setup!$B$14),"",IF($BI21="","",$BI21)),"")</f>
        <v/>
      </c>
      <c r="AS21" s="9" t="str">
        <f aca="false">IF($D21="Drift",IF($A21&lt;IF(Setup!$B$14="",0,Setup!$B$14),"",IF(OR($X21="",$BX21=1),"",$X21)),"")</f>
        <v/>
      </c>
      <c r="AT21" s="9" t="str">
        <f aca="false">IF($D21="Drift",IF($A21&lt;IF(Setup!$B$14="",0,Setup!$B$14),"",IF(OR($AC21="",$BY21=1),"",$AC21)),"")</f>
        <v/>
      </c>
      <c r="AU21" s="24" t="n">
        <f aca="false">IF($D21="Anchor",IF(OR($Z21="",$S21=""),"",$Z21),"")</f>
        <v>18.9998265500985</v>
      </c>
      <c r="AV21" s="25" t="n">
        <f aca="false">IF($D21="Anchor",IF(OR($Z21="",$S21=""),"",$S21),"")</f>
        <v>20.68</v>
      </c>
      <c r="AW21" s="24" t="n">
        <f aca="false">IF($D21="Anchor",IF(OR($AE21="",$T21=""),"",$AE21),"")</f>
        <v>-3.26077379649068</v>
      </c>
      <c r="AX21" s="25" t="n">
        <f aca="false">IF($D21="Anchor",IF(OR($AE21="",$T21=""),"",$T21),"")</f>
        <v>-20.29</v>
      </c>
      <c r="AY21" s="9" t="n">
        <f aca="false">IF(OR($D21="Blank",$D21="Exclude",$D21="Sample",$D21="",$G21="",$U21="",$L21=""),"",$G21*1000*$U21/100)</f>
        <v>80.238</v>
      </c>
      <c r="AZ21" s="24" t="n">
        <f aca="false">IF($AY21="","",$L21)</f>
        <v>50.157</v>
      </c>
      <c r="BA21" s="9" t="n">
        <f aca="false">IF(OR($D21="Blank",$D21="Exclude",$D21="Sample",$D21="",$G21="",$V21="",$P21=""),"",$G21*1000*$V21/100)</f>
        <v>137.6</v>
      </c>
      <c r="BB21" s="24" t="n">
        <f aca="false">IF($BA21="","",$P21)</f>
        <v>61.156</v>
      </c>
      <c r="BC21" s="9" t="str">
        <f aca="false">IF(AND($D21="Blank",$L21&lt;&gt;""),$O21,"")</f>
        <v/>
      </c>
      <c r="BD21" s="9" t="str">
        <f aca="false">IF($BC21="","",$L21)</f>
        <v/>
      </c>
      <c r="BE21" s="9" t="str">
        <f aca="false">IF(AND($D21="Blank",$P21&lt;&gt;""),$R21,"")</f>
        <v/>
      </c>
      <c r="BF21" s="9" t="str">
        <f aca="false">IF($BE21="","",$P21)</f>
        <v/>
      </c>
      <c r="BG21" s="9" t="str">
        <f aca="false">IF(AND($D21="Drift",$BX21&lt;&gt;1),IF($AA21="","",$AA21),"")</f>
        <v/>
      </c>
      <c r="BH21" s="9" t="str">
        <f aca="false">IF(AND($D21="Drift",$BY21&lt;&gt;1),IF($AF21="","",$AF21),"")</f>
        <v/>
      </c>
      <c r="BI21" s="20" t="n">
        <f aca="false">IF($B21="","",IFERROR(INDEX(Raw!$G$2:$G$1001,MATCH($A21&amp;"|N|"&amp;SUMPRODUCT(MAX((Raw!$A$2:$A$1001=$A21)*(Raw!$R$2:$R$1001="N")*(Raw!$I$2:$I$1001=1)*Raw!$D$2:$D$1001)),Raw!$S$2:$S$1001,0)),""))</f>
        <v>26.1</v>
      </c>
      <c r="BJ21" s="21" t="n">
        <f aca="false">IF(OR($BI21="",Fits!$B$85&lt;=0),"",($BI21-Fits!$B$83)/Fits!$B$85)</f>
        <v>0.27027027027027</v>
      </c>
      <c r="BK21" s="9" t="str">
        <f aca="false">IF($AS21="","",IF($A21&gt;=Fits!$B$86,"",$A21))</f>
        <v/>
      </c>
      <c r="BL21" s="9" t="str">
        <f aca="false">IF($BK21="","",$X21)</f>
        <v/>
      </c>
      <c r="BM21" s="9" t="str">
        <f aca="false">IF($AS21="","",IF($A21&lt;Fits!$B$86,"",$A21))</f>
        <v/>
      </c>
      <c r="BN21" s="9" t="str">
        <f aca="false">IF($BM21="","",$X21)</f>
        <v/>
      </c>
      <c r="BO21" s="9" t="str">
        <f aca="false">IF(AND($D21="Drift",$BX21&lt;&gt;1),IF($O21="","",$O21),"")</f>
        <v/>
      </c>
      <c r="BP21" s="9" t="str">
        <f aca="false">IF(AND($D21="Drift",$BX21&lt;&gt;1),IF($W21="","",$W21),"")</f>
        <v/>
      </c>
      <c r="BQ21" s="9" t="str">
        <f aca="false">IF(AND($D21="Drift",$BX21&lt;&gt;1),IF($X21="","",$X21),"")</f>
        <v/>
      </c>
      <c r="BR21" s="9" t="str">
        <f aca="false">IF(AND($D21="Drift",$BX21&lt;&gt;1),IF($Z21="","",$Z21),"")</f>
        <v/>
      </c>
      <c r="BS21" s="9" t="n">
        <f aca="false">IF(OR($B21="",$H21=""),"",SUMPRODUCT(MIN((Raw!$A$2:$A$1001=$A21)*(Raw!$R$2:$R$1001="N")*(Raw!$I$2:$I$1001=0)*(Raw!$D$2:$D$1001&lt;$H21)*Raw!$D$2:$D$1001+(1-(Raw!$A$2:$A$1001=$A21)*(Raw!$R$2:$R$1001="N")*(Raw!$I$2:$I$1001=0)*(Raw!$D$2:$D$1001&lt;$H21))*9999)))</f>
        <v>1</v>
      </c>
      <c r="BT21" s="16" t="n">
        <f aca="false">IF(OR($BS21="",$BS21=9999,$BS21=0),"",IFERROR(INDEX(Raw!$N$2:$N$1001,MATCH($A21&amp;"|N|"&amp;$BS21,Raw!$S$2:$S$1001,0)),""))</f>
        <v>-1.125</v>
      </c>
      <c r="BU21" s="9" t="n">
        <f aca="false">IF($B21="","",SUMPRODUCT(MIN((Raw!$A$2:$A$1001=$A21)*(Raw!$R$2:$R$1001="C")*(Raw!$I$2:$I$1001=1)*Raw!$D$2:$D$1001+(1-(Raw!$A$2:$A$1001=$A21)*(Raw!$R$2:$R$1001="C")*(Raw!$I$2:$I$1001=1))*9999)))</f>
        <v>5</v>
      </c>
      <c r="BV21" s="9" t="n">
        <f aca="false">IF(OR($BU21="",$BU21=9999),"",SUMPRODUCT(MIN((Raw!$A$2:$A$1001=$A21)*(Raw!$R$2:$R$1001="C")*(Raw!$I$2:$I$1001=0)*(Raw!$D$2:$D$1001&gt;$BU21)*Raw!$D$2:$D$1001+(1-(Raw!$A$2:$A$1001=$A21)*(Raw!$R$2:$R$1001="C")*(Raw!$I$2:$I$1001=0)*(Raw!$D$2:$D$1001&gt;$BU21))*9999)))</f>
        <v>6</v>
      </c>
      <c r="BW21" s="16" t="n">
        <f aca="false">IF(OR($BV21="",$BV21=9999,$BV21=0),"",IFERROR(INDEX(Raw!$O$2:$O$1001,MATCH($A21&amp;"|C|"&amp;$BV21,Raw!$S$2:$S$1001,0)),""))</f>
        <v>-25.368</v>
      </c>
      <c r="BX21" s="9" t="n">
        <f aca="false">IF($B21="","",IF(ISNUMBER(SEARCH(","&amp;$A21&amp;",",","&amp;SUBSTITUTE(Setup!$B$16," ","")&amp;",")),1,0))</f>
        <v>0</v>
      </c>
      <c r="BY21" s="9" t="n">
        <f aca="false">IF($B21="","",IF(ISNUMBER(SEARCH(","&amp;$A21&amp;",",","&amp;SUBSTITUTE(Setup!$B$17," ","")&amp;",")),1,0))</f>
        <v>0</v>
      </c>
      <c r="BZ21" s="22" t="str">
        <f aca="false">IF($AS21="","",IF(Fits!$B$38="Row",$AQ21,IF($AR21="","",$AR21)))</f>
        <v/>
      </c>
      <c r="CA21" s="22" t="str">
        <f aca="false">IF($AT21="","",IF(Fits!$B$50="Row",$AQ21,IF($AR21="","",$AR21)))</f>
        <v/>
      </c>
      <c r="CB21" s="20" t="str">
        <f aca="false">IF(OR($D21&lt;&gt;"Drift",$X21="",$A21&lt;IF(Setup!$B$14="",0,Setup!$B$14),Fits!$B$107&lt;3,Fits!$B$110="",Fits!$B$109=0,IF(Fits!$B$38="Row",$AQ21,$AR21)=""),"",IF($BX21=1,IF(OR(Fits!$B$111="",Fits!$B$111=0),"",($X21-(IF(Fits!$B$38="Row",Fits!$B$32,Fits!$B$35)*IF(Fits!$B$38="Row",$AQ21,$AR21)+Fits!$B$110))/(Fits!$B$111*SQRT(1+(1/Fits!$B$107+(IF(Fits!$B$38="Row",$AQ21,$AR21)-Fits!$B$108)^2/Fits!$B$109)))),IF(OR(Fits!$B$107&lt;4,(1/Fits!$B$107+(IF(Fits!$B$38="Row",$AQ21,$AR21)-Fits!$B$108)^2/Fits!$B$109)&gt;=1),"",IF((Fits!$B$116-($X21-(IF(Fits!$B$38="Row",Fits!$B$32,Fits!$B$35)*IF(Fits!$B$38="Row",$AQ21,$AR21)+Fits!$B$110))^2/(1-(1/Fits!$B$107+(IF(Fits!$B$38="Row",$AQ21,$AR21)-Fits!$B$108)^2/Fits!$B$109)))&lt;=0,"",($X21-(IF(Fits!$B$38="Row",Fits!$B$32,Fits!$B$35)*IF(Fits!$B$38="Row",$AQ21,$AR21)+Fits!$B$110))/(SQRT((Fits!$B$116-($X21-(IF(Fits!$B$38="Row",Fits!$B$32,Fits!$B$35)*IF(Fits!$B$38="Row",$AQ21,$AR21)+Fits!$B$110))^2/(1-(1/Fits!$B$107+(IF(Fits!$B$38="Row",$AQ21,$AR21)-Fits!$B$108)^2/Fits!$B$109)))/(Fits!$B$107-3))*SQRT(1-(1/Fits!$B$107+(IF(Fits!$B$38="Row",$AQ21,$AR21)-Fits!$B$108)^2/Fits!$B$109)))))))</f>
        <v/>
      </c>
      <c r="CC21" s="20" t="str">
        <f aca="false">IF(OR($D21&lt;&gt;"Drift",$AC21="",$A21&lt;IF(Setup!$B$14="",0,Setup!$B$14),Fits!$B$120&lt;3,Fits!$B$123="",Fits!$B$122=0,IF(Fits!$B$50="Row",$AQ21,$AR21)=""),"",IF($BY21=1,IF(OR(Fits!$B$124="",Fits!$B$124=0),"",($AC21-(IF(Fits!$B$50="Row",Fits!$B$44,Fits!$B$47)*IF(Fits!$B$50="Row",$AQ21,$AR21)+Fits!$B$123))/(Fits!$B$124*SQRT(1+(1/Fits!$B$120+(IF(Fits!$B$50="Row",$AQ21,$AR21)-Fits!$B$121)^2/Fits!$B$122)))),IF(OR(Fits!$B$120&lt;4,(1/Fits!$B$120+(IF(Fits!$B$50="Row",$AQ21,$AR21)-Fits!$B$121)^2/Fits!$B$122)&gt;=1),"",IF((Fits!$B$129-($AC21-(IF(Fits!$B$50="Row",Fits!$B$44,Fits!$B$47)*IF(Fits!$B$50="Row",$AQ21,$AR21)+Fits!$B$123))^2/(1-(1/Fits!$B$120+(IF(Fits!$B$50="Row",$AQ21,$AR21)-Fits!$B$121)^2/Fits!$B$122)))&lt;=0,"",($AC21-(IF(Fits!$B$50="Row",Fits!$B$44,Fits!$B$47)*IF(Fits!$B$50="Row",$AQ21,$AR21)+Fits!$B$123))/(SQRT((Fits!$B$129-($AC21-(IF(Fits!$B$50="Row",Fits!$B$44,Fits!$B$47)*IF(Fits!$B$50="Row",$AQ21,$AR21)+Fits!$B$123))^2/(1-(1/Fits!$B$120+(IF(Fits!$B$50="Row",$AQ21,$AR21)-Fits!$B$121)^2/Fits!$B$122)))/(Fits!$B$120-3))*SQRT(1-(1/Fits!$B$120+(IF(Fits!$B$50="Row",$AQ21,$AR21)-Fits!$B$121)^2/Fits!$B$122)))))))</f>
        <v/>
      </c>
      <c r="CD21" s="9" t="n">
        <f aca="false">IF($AU21="","",1)</f>
        <v>1</v>
      </c>
      <c r="CE21" s="24" t="n">
        <f aca="false">IF($AU21="","",$AU21-Fits!$B$133)</f>
        <v>9.07117536665559</v>
      </c>
      <c r="CF21" s="24" t="n">
        <f aca="false">IF($AU21="","",($AV21-(Fits!$B$56*$AU21+Fits!$B$57))-Fits!$B$56*($AU21-Fits!$B$133))</f>
        <v>-9.16489631634951</v>
      </c>
      <c r="CG21" s="25" t="n">
        <f aca="false">IF($AU21="","",$AU21^2)</f>
        <v>360.993408933827</v>
      </c>
      <c r="CH21" s="9" t="n">
        <f aca="false">IF($AW21="","",1)</f>
        <v>1</v>
      </c>
      <c r="CI21" s="24" t="n">
        <f aca="false">IF($AW21="","",$AW21-Fits!$B$153)</f>
        <v>10.1078119128395</v>
      </c>
      <c r="CJ21" s="24" t="n">
        <f aca="false">IF($AW21="","",($AX21-(Fits!$B$63*$AW21+Fits!$B$64))-Fits!$B$63*($AW21-Fits!$B$153))</f>
        <v>-10.2416868442601</v>
      </c>
      <c r="CK21" s="25" t="n">
        <f aca="false">IF($AW21="","",$AW21^2)</f>
        <v>10.6326457518802</v>
      </c>
      <c r="CL21" s="26" t="n">
        <f aca="false">IF(OR($Z21="",Fits!$B$55&lt;3,Fits!$B$133="",Fits!$B$134="",Fits!$B$134=0,Fits!$B$136=""),"",SQRT((Fits!$B$136*Fits!$B$56)^2+SUMPRODUCT((Fits!$J$163:$J$175*(Fits!$B$163:$B$175/Fits!$B$55+Fits!$H$163:$H$175*($Z21-Fits!$B$133)/Fits!$B$134))^2)+SUMPRODUCT((Fits!$G$163:$G$175*(($Z21-Fits!$B$133)*Fits!$I$163:$I$175/Fits!$B$134-Fits!$B$163:$B$175*Fits!$B$56/Fits!$B$55))^2)))</f>
        <v>0.197157874202169</v>
      </c>
      <c r="CM21" s="26" t="n">
        <f aca="false">IF($CL21="","",Setup!$B$32*$CL21)</f>
        <v>0.394315748404337</v>
      </c>
      <c r="CN21" s="26" t="n">
        <f aca="false">IF(OR($AE21="",Fits!$B$62&lt;3,Fits!$B$153="",Fits!$B$154="",Fits!$B$154=0,Fits!$B$156=""),"",SQRT((Fits!$B$156*Fits!$B$63)^2+SUMPRODUCT((Fits!$J$183:$J$195*(Fits!$B$183:$B$195/Fits!$B$62+Fits!$H$183:$H$195*($AE21-Fits!$B$153)/Fits!$B$154))^2)+SUMPRODUCT((Fits!$G$183:$G$195*(($AE21-Fits!$B$153)*Fits!$I$183:$I$195/Fits!$B$154-Fits!$B$183:$B$195*Fits!$B$63/Fits!$B$62))^2)))</f>
        <v>0.0466617860403892</v>
      </c>
      <c r="CO21" s="26" t="n">
        <f aca="false">IF($CN21="","",Setup!$B$32*$CN21)</f>
        <v>0.0933235720807783</v>
      </c>
      <c r="CP21" s="9" t="n">
        <f aca="false">IF(OR(NOT(ISNUMBER($BJ21)),$EK21=1),$CP20,IF($BJ21&lt;=Setup!$B$26,$CP20+1,0))</f>
        <v>0</v>
      </c>
      <c r="CQ21" s="9" t="n">
        <f aca="false">IF($BT21="","",$A21)</f>
        <v>16</v>
      </c>
      <c r="CR21" s="9" t="n">
        <f aca="false">IF($BW21="","",$A21)</f>
        <v>16</v>
      </c>
      <c r="CS21" s="9" t="n">
        <f aca="false">IF($B21="","",IF(Setup!$A$37="",0,IF(ISNUMBER(SEARCH(Setup!$A$37,$B21)),37,0)))</f>
        <v>0</v>
      </c>
      <c r="CT21" s="9" t="n">
        <f aca="false">IF($B21="","",IF(Setup!$A$38="",0,IF(ISNUMBER(SEARCH(Setup!$A$38,$B21)),38,0)))</f>
        <v>38</v>
      </c>
      <c r="CU21" s="9" t="n">
        <f aca="false">IF($B21="","",IF(Setup!$A$39="",0,IF(ISNUMBER(SEARCH(Setup!$A$39,$B21)),39,0)))</f>
        <v>0</v>
      </c>
      <c r="CV21" s="9" t="n">
        <f aca="false">IF($B21="","",IF(Setup!$A$40="",0,IF(ISNUMBER(SEARCH(Setup!$A$40,$B21)),40,0)))</f>
        <v>0</v>
      </c>
      <c r="CW21" s="9" t="n">
        <f aca="false">IF($B21="","",IF(Setup!$A$41="",0,IF(ISNUMBER(SEARCH(Setup!$A$41,$B21)),41,0)))</f>
        <v>0</v>
      </c>
      <c r="CX21" s="9" t="n">
        <f aca="false">IF($B21="","",IF(Setup!$A$42="",0,IF(ISNUMBER(SEARCH(Setup!$A$42,$B21)),42,0)))</f>
        <v>0</v>
      </c>
      <c r="CY21" s="9" t="n">
        <f aca="false">IF($B21="","",IF(Setup!$A$43="",0,IF(ISNUMBER(SEARCH(Setup!$A$43,$B21)),43,0)))</f>
        <v>0</v>
      </c>
      <c r="CZ21" s="9" t="n">
        <f aca="false">IF($B21="","",IF(Setup!$A$44="",0,IF(ISNUMBER(SEARCH(Setup!$A$44,$B21)),44,0)))</f>
        <v>0</v>
      </c>
      <c r="DA21" s="9" t="n">
        <f aca="false">IF($B21="","",IF(Setup!$A$45="",0,IF(ISNUMBER(SEARCH(Setup!$A$45,$B21)),45,0)))</f>
        <v>0</v>
      </c>
      <c r="DB21" s="9" t="n">
        <f aca="false">IF($B21="","",IF(Setup!$A$46="",0,IF(ISNUMBER(SEARCH(Setup!$A$46,$B21)),46,0)))</f>
        <v>0</v>
      </c>
      <c r="DC21" s="9" t="n">
        <f aca="false">IF($B21="","",IF(Setup!$A$47="",0,IF(ISNUMBER(SEARCH(Setup!$A$47,$B21)),47,0)))</f>
        <v>0</v>
      </c>
      <c r="DD21" s="9" t="n">
        <f aca="false">IF($B21="","",IF(Setup!$A$48="",0,IF(ISNUMBER(SEARCH(Setup!$A$48,$B21)),48,0)))</f>
        <v>0</v>
      </c>
      <c r="DE21" s="9" t="n">
        <f aca="false">IF($B21="","",IF(Setup!$A$49="",0,IF(ISNUMBER(SEARCH(Setup!$A$49,$B21)),49,0)))</f>
        <v>0</v>
      </c>
      <c r="DF21" s="9" t="n">
        <f aca="false">IF($B21="",NA(),$A21)</f>
        <v>16</v>
      </c>
      <c r="DG21" s="22" t="n">
        <f aca="false">IF($BI21="",NA(),$BI21)</f>
        <v>26.1</v>
      </c>
      <c r="DH21" s="22" t="n">
        <f aca="false">IF($N21="",NA(),$N21)</f>
        <v>27.9</v>
      </c>
      <c r="DI21" s="9" t="e">
        <f aca="false">IF(AND($D21="Drift",$N21&lt;&gt;""),$N21,NA())</f>
        <v>#N/A</v>
      </c>
      <c r="DJ21" s="9" t="str">
        <f aca="false">IF(AND($D21="Drift",$N21&lt;&gt;""),$N21,"")</f>
        <v/>
      </c>
      <c r="DK21" s="9" t="str">
        <f aca="false">IF($DJ21="","",$A21)</f>
        <v/>
      </c>
      <c r="DL21" s="9" t="e">
        <f aca="false">IF($AN21="",NA(),$AM21)</f>
        <v>#N/A</v>
      </c>
      <c r="DM21" s="9" t="e">
        <f aca="false">IF($AN21="",NA(),$AN21)</f>
        <v>#N/A</v>
      </c>
      <c r="DN21" s="9" t="e">
        <f aca="false">IF(AND($D21="Sample",$L21&lt;&gt;""),$L21,NA())</f>
        <v>#N/A</v>
      </c>
      <c r="DO21" s="9" t="e">
        <f aca="false">IF(AND($D21="Sample",$L21&lt;&gt;"",Fits!$B$98&lt;&gt;""),Fits!$B$98,NA())</f>
        <v>#N/A</v>
      </c>
      <c r="DP21" s="9" t="e">
        <f aca="false">IF($AS21="",NA(),$AS21)</f>
        <v>#N/A</v>
      </c>
      <c r="DQ21" s="9" t="e">
        <f aca="false">IF(AND($D21="Drift",$AS21="",$X21&lt;&gt;""),$X21,NA())</f>
        <v>#N/A</v>
      </c>
      <c r="DR21" s="9" t="e">
        <f aca="false">IF(AND($D21="Drift",$Z21&lt;&gt;""),$Z21,NA())</f>
        <v>#N/A</v>
      </c>
      <c r="DS21" s="9" t="e">
        <f aca="false">IF(AND(OR($D21="Sample",$D21="Check"),$AA21&lt;&gt;""),$AA21,NA())</f>
        <v>#N/A</v>
      </c>
      <c r="DT21" s="25" t="n">
        <f aca="false">IF(OR($B21="",Fits!$B$138=""),NA(),Fits!$B$138)</f>
        <v>1.76</v>
      </c>
      <c r="DU21" s="25" t="n">
        <f aca="false">IF(OR($B21="",Fits!$B$139=""),NA(),Fits!$B$139)</f>
        <v>20.68</v>
      </c>
      <c r="DV21" s="24" t="n">
        <f aca="false">IF($BT21="",NA(),$BT21)</f>
        <v>-1.125</v>
      </c>
      <c r="DW21" s="9" t="e">
        <f aca="false">IF($AP21="",NA(),$AO21)</f>
        <v>#N/A</v>
      </c>
      <c r="DX21" s="9" t="e">
        <f aca="false">IF($AP21="",NA(),$AP21)</f>
        <v>#N/A</v>
      </c>
      <c r="DY21" s="9" t="e">
        <f aca="false">IF(AND($D21="Sample",$P21&lt;&gt;""),$P21,NA())</f>
        <v>#N/A</v>
      </c>
      <c r="DZ21" s="9" t="e">
        <f aca="false">IF(AND($D21="Sample",$P21&lt;&gt;"",Fits!$B$105&lt;&gt;""),Fits!$B$105,NA())</f>
        <v>#N/A</v>
      </c>
      <c r="EA21" s="9" t="e">
        <f aca="false">IF($AT21="",NA(),$AT21)</f>
        <v>#N/A</v>
      </c>
      <c r="EB21" s="9" t="e">
        <f aca="false">IF(AND($D21="Drift",$AT21="",$AC21&lt;&gt;""),$AC21,NA())</f>
        <v>#N/A</v>
      </c>
      <c r="EC21" s="9" t="e">
        <f aca="false">IF(AND($D21="Drift",$AE21&lt;&gt;""),$AE21,NA())</f>
        <v>#N/A</v>
      </c>
      <c r="ED21" s="9" t="e">
        <f aca="false">IF(AND(OR($D21="Sample",$D21="Check"),$AF21&lt;&gt;""),$AF21,NA())</f>
        <v>#N/A</v>
      </c>
      <c r="EE21" s="25" t="n">
        <f aca="false">IF(OR($B21="",Fits!$B$158=""),NA(),Fits!$B$158)</f>
        <v>-40.81</v>
      </c>
      <c r="EF21" s="25" t="n">
        <f aca="false">IF(OR($B21="",Fits!$B$159=""),NA(),Fits!$B$159)</f>
        <v>-20.29</v>
      </c>
      <c r="EG21" s="24" t="n">
        <f aca="false">IF($BW21="",NA(),$BW21)</f>
        <v>-25.368</v>
      </c>
      <c r="EH21" s="9" t="e">
        <f aca="false">IF(AND($EN21=1,ISNUMBER($N21)),$N21,NA())</f>
        <v>#N/A</v>
      </c>
      <c r="EI21" s="9" t="n">
        <f aca="false">IF($B21="","",$A21)</f>
        <v>16</v>
      </c>
      <c r="EJ21" s="9" t="n">
        <f aca="false">IF(OR(AND(ISNUMBER($L21),Fits!$B$97&gt;0,$L21&gt;Fits!$B$97),AND(ISNUMBER($P21),Fits!$B$104&gt;0,$P21&gt;Fits!$B$104)),1,0)</f>
        <v>0</v>
      </c>
      <c r="EK21" s="9" t="n">
        <f aca="false">IF(OR($EJ20=1,$EJ19=1),1,0)</f>
        <v>0</v>
      </c>
      <c r="EL21" s="22" t="n">
        <f aca="false">IF(AND($EK21=0,ISNUMBER($N21)),$N21,$EL20)</f>
        <v>27.9</v>
      </c>
      <c r="EM21" s="9" t="str">
        <f aca="false">IF(AND($EK21=1,ISNUMBER($N21),ISNUMBER($EL21)),$N21-$EL21,"")</f>
        <v/>
      </c>
      <c r="EN21" s="9" t="n">
        <f aca="false">IF(Setup!$B$28="",0,IF(ISNUMBER($EM21),IF($EM21&gt;Setup!$B$28,1,0),0))</f>
        <v>0</v>
      </c>
      <c r="EO21" s="9" t="str">
        <f aca="false">IF($EN21=1,COUNTIF($EN$6:$EN21,1),"")</f>
        <v/>
      </c>
      <c r="EP21" s="9" t="n">
        <f aca="false">IF(AND($EJ20=1,OR($D21="Sample",$D21="Check")),1,0)</f>
        <v>0</v>
      </c>
      <c r="EQ21" s="9" t="str">
        <f aca="false">IF(ISNUMBER($BI21),IF(COUNT($BI$6:$BI21)&lt;=5,$BI21,""),"")</f>
        <v/>
      </c>
      <c r="ER21" s="9" t="str">
        <f aca="false">IF(OR(NOT(ISNUMBER($BJ21)),$EK21=1),$ER20,IF($BJ21&lt;=Setup!$B$26,IF($CP20=0,$A21,$ER20),""))</f>
        <v/>
      </c>
    </row>
    <row r="22" customFormat="false" ht="15" hidden="false" customHeight="false" outlineLevel="0" collapsed="false">
      <c r="A22" s="8" t="n">
        <v>17</v>
      </c>
      <c r="B22" s="8" t="str">
        <f aca="false">IFERROR(INDEX(Raw!$B$2:$B$1001,MATCH($A22,Raw!$A$2:$A$1001,0)),"")</f>
        <v>USGS 65</v>
      </c>
      <c r="C22" s="9" t="n">
        <f aca="false">IF($B22="","",MAX($CS22:$DE22))</f>
        <v>38</v>
      </c>
      <c r="D22" s="8" t="str">
        <f aca="false">IF($B22="","",IF($C22=0,"Sample",INDEX(Setup!$B$37:$B$49,$C22-36)))</f>
        <v>Anchor</v>
      </c>
      <c r="E22" s="16" t="n">
        <f aca="false">IF($B22="","",IFERROR(IF(INDEX(Raw!$E$2:$E$1001,MATCH($A22,Raw!$A$2:$A$1001,0))=0,"",INDEX(Raw!$E$2:$E$1001,MATCH($A22,Raw!$A$2:$A$1001,0))),""))</f>
        <v>0.423</v>
      </c>
      <c r="F22" s="18"/>
      <c r="G22" s="16" t="n">
        <f aca="false">IF($B22="","",IF($F22&lt;&gt;"",$F22,IF($E22="","",$E22)))</f>
        <v>0.423</v>
      </c>
      <c r="H22" s="9" t="n">
        <f aca="false">IF($B22="","",SUMPRODUCT(MAX((Raw!$A$2:$A$1001=$A22)*(Raw!$R$2:$R$1001="N")*Raw!$D$2:$D$1001)))</f>
        <v>3</v>
      </c>
      <c r="I22" s="9" t="str">
        <f aca="false">IF(OR($H22="",$H22=0),"",$A22&amp;"|N|"&amp;$H22)</f>
        <v>17|N|3</v>
      </c>
      <c r="J22" s="9" t="n">
        <f aca="false">IF($B22="","",SUMPRODUCT(MIN((Raw!$A$2:$A$1001=$A22)*(Raw!$R$2:$R$1001="C")*Raw!$D$2:$D$1001+(1-(Raw!$A$2:$A$1001=$A22)*(Raw!$R$2:$R$1001="C"))*9999)))</f>
        <v>4</v>
      </c>
      <c r="K22" s="9" t="str">
        <f aca="false">IF(OR($J22="",$J22=0,$J22=9999),"",$A22&amp;"|C|"&amp;$J22)</f>
        <v>17|C|4</v>
      </c>
      <c r="L22" s="16" t="n">
        <f aca="false">IF($I22="","",IF(INDEX(Raw!$I$2:$I$1001,MATCH($I22,Raw!$S$2:$S$1001,0))&lt;&gt;0,"",INDEX(Raw!$H$2:$H$1001,MATCH($I22,Raw!$S$2:$S$1001,0))))</f>
        <v>48.547</v>
      </c>
      <c r="M22" s="19" t="n">
        <f aca="false">IF($I22="","",IF(INDEX(Raw!$I$2:$I$1001,MATCH($I22,Raw!$S$2:$S$1001,0))&lt;&gt;0,"",INDEX(Raw!$F$2:$F$1001,MATCH($I22,Raw!$S$2:$S$1001,0))))</f>
        <v>2817</v>
      </c>
      <c r="N22" s="20" t="n">
        <f aca="false">IF($I22="","",IF(INDEX(Raw!$I$2:$I$1001,MATCH($I22,Raw!$S$2:$S$1001,0))&lt;&gt;0,"",INDEX(Raw!$G$2:$G$1001,MATCH($I22,Raw!$S$2:$S$1001,0))))</f>
        <v>27.6</v>
      </c>
      <c r="O22" s="16" t="n">
        <f aca="false">IF($I22="","",IF(INDEX(Raw!$I$2:$I$1001,MATCH($I22,Raw!$S$2:$S$1001,0))&lt;&gt;0,"",INDEX(Raw!$N$2:$N$1001,MATCH($I22,Raw!$S$2:$S$1001,0))))</f>
        <v>19.444</v>
      </c>
      <c r="P22" s="16" t="n">
        <f aca="false">IF($K22="","",IF(INDEX(Raw!$I$2:$I$1001,MATCH($K22,Raw!$S$2:$S$1001,0))&lt;&gt;0,"",INDEX(Raw!$K$2:$K$1001,MATCH($K22,Raw!$S$2:$S$1001,0))))</f>
        <v>58.79</v>
      </c>
      <c r="Q22" s="19" t="n">
        <f aca="false">IF($K22="","",IF(INDEX(Raw!$I$2:$I$1001,MATCH($K22,Raw!$S$2:$S$1001,0))&lt;&gt;0,"",INDEX(Raw!$J$2:$J$1001,MATCH($K22,Raw!$S$2:$S$1001,0))))</f>
        <v>2667</v>
      </c>
      <c r="R22" s="16" t="n">
        <f aca="false">IF($K22="","",IF(INDEX(Raw!$I$2:$I$1001,MATCH($K22,Raw!$S$2:$S$1001,0))&lt;&gt;0,"",INDEX(Raw!$O$2:$O$1001,MATCH($K22,Raw!$S$2:$S$1001,0))))</f>
        <v>-3.429</v>
      </c>
      <c r="S22" s="21" t="n">
        <f aca="false">IF($B22="","",IF($C22=0,"",IF(INDEX(Setup!$D$37:$D$49,$C22-36)="","",INDEX(Setup!$D$37:$D$49,$C22-36))))</f>
        <v>20.68</v>
      </c>
      <c r="T22" s="21" t="n">
        <f aca="false">IF($B22="","",IF($C22=0,"",IF(INDEX(Setup!$C$37:$C$49,$C22-36)="","",INDEX(Setup!$C$37:$C$49,$C22-36))))</f>
        <v>-20.29</v>
      </c>
      <c r="U22" s="21" t="n">
        <f aca="false">IF($B22="","",IF($C22=0,"",IF(INDEX(Setup!$F$37:$F$49,$C22-36)="","",INDEX(Setup!$F$37:$F$49,$C22-36))))</f>
        <v>18.66</v>
      </c>
      <c r="V22" s="21" t="n">
        <f aca="false">IF($B22="","",IF($C22=0,"",IF(INDEX(Setup!$E$37:$E$49,$C22-36)="","",INDEX(Setup!$E$37:$E$49,$C22-36))))</f>
        <v>32</v>
      </c>
      <c r="W22" s="16" t="n">
        <f aca="false">IF($O22="","",IF(OR(Fits!$C$5&lt;&gt;"Yes",$D22="Blank",$L22&lt;=Fits!$B$6),$O22,($L22*$O22-Fits!$B$6*Fits!$B$7)/($L22-Fits!$B$6)))</f>
        <v>19.444</v>
      </c>
      <c r="X22" s="16" t="n">
        <f aca="false">IF($W22="","",$W22-Fits!$B$20*($L22-Fits!$B$16))</f>
        <v>19.444</v>
      </c>
      <c r="Y22" s="22" t="n">
        <f aca="false">IF($W22="","",IF(OR(Fits!$B$38="Row",$BI22=""),$A22,$BI22))</f>
        <v>17</v>
      </c>
      <c r="Z22" s="16" t="n">
        <f aca="false">IF($X22="","",$X22-Fits!$B$39*($Y22-Fits!$B$40))</f>
        <v>19.1965809000929</v>
      </c>
      <c r="AA22" s="23" t="n">
        <f aca="false">IF(OR($Z22="",Fits!$B$55&lt;2),"",Fits!$B$56*$Z22+Fits!$B$57)</f>
        <v>20.7344357298134</v>
      </c>
      <c r="AB22" s="16" t="n">
        <f aca="false">IF($R22="","",IF(OR(Fits!$C$9&lt;&gt;"Yes",$D22="Blank",$P22&lt;=Fits!$B$10),$R22,($P22*$R22-Fits!$B$10*Fits!$B$11)/($P22-Fits!$B$10)))</f>
        <v>-3.429</v>
      </c>
      <c r="AC22" s="16" t="n">
        <f aca="false">IF($AB22="","",$AB22-Fits!$B$28*($P22-Fits!$B$24))</f>
        <v>-3.30983265538056</v>
      </c>
      <c r="AD22" s="22" t="n">
        <f aca="false">IF($AB22="","",IF(OR(Fits!$B$50="Row",$BI22=""),$A22,$BI22))</f>
        <v>17</v>
      </c>
      <c r="AE22" s="16" t="n">
        <f aca="false">IF($AC22="","",$AC22-Fits!$B$51*($AD22-Fits!$B$52))</f>
        <v>-3.26627177501826</v>
      </c>
      <c r="AF22" s="23" t="n">
        <f aca="false">IF(OR($AE22="",Fits!$B$62&lt;2),"",Fits!$B$63*$AE22+Fits!$B$64)</f>
        <v>-20.3047323560414</v>
      </c>
      <c r="AG22" s="21" t="n">
        <f aca="false">IF(OR($L22="",Fits!$B$69&lt;3),"",($L22-Fits!$B$71)/Fits!$B$70)</f>
        <v>76.9163800665996</v>
      </c>
      <c r="AH22" s="21" t="n">
        <f aca="false">IF(OR($P22="",Fits!$B$75&lt;3),"",($P22-Fits!$B$77)/Fits!$B$76)</f>
        <v>129.922146939257</v>
      </c>
      <c r="AI22" s="23" t="n">
        <f aca="false">IF(OR($AG22="",$G22="",$G22=0),"",$AG22/($G22*1000)*100)</f>
        <v>18.183541386903</v>
      </c>
      <c r="AJ22" s="23" t="n">
        <f aca="false">IF(OR($AH22="",$G22="",$G22=0),"",$AH22/($G22*1000)*100)</f>
        <v>30.7144555411954</v>
      </c>
      <c r="AK22" s="23" t="n">
        <f aca="false">IF(OR($AG22="",$AH22="",$AG22&lt;=0),"",($AH22/Setup!$B$52)/($AG22/Setup!$B$53))</f>
        <v>1.96983710369536</v>
      </c>
      <c r="AL22" s="23" t="n">
        <f aca="false">IF(OR($AG22="",$AH22="",$AG22&lt;=0),"",$AH22/$AG22)</f>
        <v>1.68913496483793</v>
      </c>
      <c r="AM22" s="9" t="str">
        <f aca="false">IF($D22="Linearity",IF($L22="","",$L22),"")</f>
        <v/>
      </c>
      <c r="AN22" s="9" t="str">
        <f aca="false">IF($D22="Linearity",IF($W22="","",$W22),"")</f>
        <v/>
      </c>
      <c r="AO22" s="9" t="str">
        <f aca="false">IF($D22="Linearity",IF($P22="","",$P22),"")</f>
        <v/>
      </c>
      <c r="AP22" s="9" t="str">
        <f aca="false">IF($D22="Linearity",IF($AB22="","",$AB22),"")</f>
        <v/>
      </c>
      <c r="AQ22" s="9" t="str">
        <f aca="false">IF($D22="Drift",IF($A22&lt;IF(Setup!$B$14="",0,Setup!$B$14),"",$A22),"")</f>
        <v/>
      </c>
      <c r="AR22" s="9" t="str">
        <f aca="false">IF($D22="Drift",IF($A22&lt;IF(Setup!$B$14="",0,Setup!$B$14),"",IF($BI22="","",$BI22)),"")</f>
        <v/>
      </c>
      <c r="AS22" s="9" t="str">
        <f aca="false">IF($D22="Drift",IF($A22&lt;IF(Setup!$B$14="",0,Setup!$B$14),"",IF(OR($X22="",$BX22=1),"",$X22)),"")</f>
        <v/>
      </c>
      <c r="AT22" s="9" t="str">
        <f aca="false">IF($D22="Drift",IF($A22&lt;IF(Setup!$B$14="",0,Setup!$B$14),"",IF(OR($AC22="",$BY22=1),"",$AC22)),"")</f>
        <v/>
      </c>
      <c r="AU22" s="24" t="n">
        <f aca="false">IF($D22="Anchor",IF(OR($Z22="",$S22=""),"",$Z22),"")</f>
        <v>19.1965809000929</v>
      </c>
      <c r="AV22" s="25" t="n">
        <f aca="false">IF($D22="Anchor",IF(OR($Z22="",$S22=""),"",$S22),"")</f>
        <v>20.68</v>
      </c>
      <c r="AW22" s="24" t="n">
        <f aca="false">IF($D22="Anchor",IF(OR($AE22="",$T22=""),"",$AE22),"")</f>
        <v>-3.26627177501826</v>
      </c>
      <c r="AX22" s="25" t="n">
        <f aca="false">IF($D22="Anchor",IF(OR($AE22="",$T22=""),"",$T22),"")</f>
        <v>-20.29</v>
      </c>
      <c r="AY22" s="9" t="n">
        <f aca="false">IF(OR($D22="Blank",$D22="Exclude",$D22="Sample",$D22="",$G22="",$U22="",$L22=""),"",$G22*1000*$U22/100)</f>
        <v>78.9318</v>
      </c>
      <c r="AZ22" s="24" t="n">
        <f aca="false">IF($AY22="","",$L22)</f>
        <v>48.547</v>
      </c>
      <c r="BA22" s="9" t="n">
        <f aca="false">IF(OR($D22="Blank",$D22="Exclude",$D22="Sample",$D22="",$G22="",$V22="",$P22=""),"",$G22*1000*$V22/100)</f>
        <v>135.36</v>
      </c>
      <c r="BB22" s="24" t="n">
        <f aca="false">IF($BA22="","",$P22)</f>
        <v>58.79</v>
      </c>
      <c r="BC22" s="9" t="str">
        <f aca="false">IF(AND($D22="Blank",$L22&lt;&gt;""),$O22,"")</f>
        <v/>
      </c>
      <c r="BD22" s="9" t="str">
        <f aca="false">IF($BC22="","",$L22)</f>
        <v/>
      </c>
      <c r="BE22" s="9" t="str">
        <f aca="false">IF(AND($D22="Blank",$P22&lt;&gt;""),$R22,"")</f>
        <v/>
      </c>
      <c r="BF22" s="9" t="str">
        <f aca="false">IF($BE22="","",$P22)</f>
        <v/>
      </c>
      <c r="BG22" s="9" t="str">
        <f aca="false">IF(AND($D22="Drift",$BX22&lt;&gt;1),IF($AA22="","",$AA22),"")</f>
        <v/>
      </c>
      <c r="BH22" s="9" t="str">
        <f aca="false">IF(AND($D22="Drift",$BY22&lt;&gt;1),IF($AF22="","",$AF22),"")</f>
        <v/>
      </c>
      <c r="BI22" s="20" t="n">
        <f aca="false">IF($B22="","",IFERROR(INDEX(Raw!$G$2:$G$1001,MATCH($A22&amp;"|N|"&amp;SUMPRODUCT(MAX((Raw!$A$2:$A$1001=$A22)*(Raw!$R$2:$R$1001="N")*(Raw!$I$2:$I$1001=1)*Raw!$D$2:$D$1001)),Raw!$S$2:$S$1001,0)),""))</f>
        <v>25.9</v>
      </c>
      <c r="BJ22" s="21" t="n">
        <f aca="false">IF(OR($BI22="",Fits!$B$85&lt;=0),"",($BI22-Fits!$B$83)/Fits!$B$85)</f>
        <v>0.252252252252252</v>
      </c>
      <c r="BK22" s="9" t="str">
        <f aca="false">IF($AS22="","",IF($A22&gt;=Fits!$B$86,"",$A22))</f>
        <v/>
      </c>
      <c r="BL22" s="9" t="str">
        <f aca="false">IF($BK22="","",$X22)</f>
        <v/>
      </c>
      <c r="BM22" s="9" t="str">
        <f aca="false">IF($AS22="","",IF($A22&lt;Fits!$B$86,"",$A22))</f>
        <v/>
      </c>
      <c r="BN22" s="9" t="str">
        <f aca="false">IF($BM22="","",$X22)</f>
        <v/>
      </c>
      <c r="BO22" s="9" t="str">
        <f aca="false">IF(AND($D22="Drift",$BX22&lt;&gt;1),IF($O22="","",$O22),"")</f>
        <v/>
      </c>
      <c r="BP22" s="9" t="str">
        <f aca="false">IF(AND($D22="Drift",$BX22&lt;&gt;1),IF($W22="","",$W22),"")</f>
        <v/>
      </c>
      <c r="BQ22" s="9" t="str">
        <f aca="false">IF(AND($D22="Drift",$BX22&lt;&gt;1),IF($X22="","",$X22),"")</f>
        <v/>
      </c>
      <c r="BR22" s="9" t="str">
        <f aca="false">IF(AND($D22="Drift",$BX22&lt;&gt;1),IF($Z22="","",$Z22),"")</f>
        <v/>
      </c>
      <c r="BS22" s="9" t="n">
        <f aca="false">IF(OR($B22="",$H22=""),"",SUMPRODUCT(MIN((Raw!$A$2:$A$1001=$A22)*(Raw!$R$2:$R$1001="N")*(Raw!$I$2:$I$1001=0)*(Raw!$D$2:$D$1001&lt;$H22)*Raw!$D$2:$D$1001+(1-(Raw!$A$2:$A$1001=$A22)*(Raw!$R$2:$R$1001="N")*(Raw!$I$2:$I$1001=0)*(Raw!$D$2:$D$1001&lt;$H22))*9999)))</f>
        <v>1</v>
      </c>
      <c r="BT22" s="16" t="n">
        <f aca="false">IF(OR($BS22="",$BS22=9999,$BS22=0),"",IFERROR(INDEX(Raw!$N$2:$N$1001,MATCH($A22&amp;"|N|"&amp;$BS22,Raw!$S$2:$S$1001,0)),""))</f>
        <v>-1.176</v>
      </c>
      <c r="BU22" s="9" t="n">
        <f aca="false">IF($B22="","",SUMPRODUCT(MIN((Raw!$A$2:$A$1001=$A22)*(Raw!$R$2:$R$1001="C")*(Raw!$I$2:$I$1001=1)*Raw!$D$2:$D$1001+(1-(Raw!$A$2:$A$1001=$A22)*(Raw!$R$2:$R$1001="C")*(Raw!$I$2:$I$1001=1))*9999)))</f>
        <v>5</v>
      </c>
      <c r="BV22" s="9" t="n">
        <f aca="false">IF(OR($BU22="",$BU22=9999),"",SUMPRODUCT(MIN((Raw!$A$2:$A$1001=$A22)*(Raw!$R$2:$R$1001="C")*(Raw!$I$2:$I$1001=0)*(Raw!$D$2:$D$1001&gt;$BU22)*Raw!$D$2:$D$1001+(1-(Raw!$A$2:$A$1001=$A22)*(Raw!$R$2:$R$1001="C")*(Raw!$I$2:$I$1001=0)*(Raw!$D$2:$D$1001&gt;$BU22))*9999)))</f>
        <v>6</v>
      </c>
      <c r="BW22" s="16" t="n">
        <f aca="false">IF(OR($BV22="",$BV22=9999,$BV22=0),"",IFERROR(INDEX(Raw!$O$2:$O$1001,MATCH($A22&amp;"|C|"&amp;$BV22,Raw!$S$2:$S$1001,0)),""))</f>
        <v>-25.359</v>
      </c>
      <c r="BX22" s="9" t="n">
        <f aca="false">IF($B22="","",IF(ISNUMBER(SEARCH(","&amp;$A22&amp;",",","&amp;SUBSTITUTE(Setup!$B$16," ","")&amp;",")),1,0))</f>
        <v>0</v>
      </c>
      <c r="BY22" s="9" t="n">
        <f aca="false">IF($B22="","",IF(ISNUMBER(SEARCH(","&amp;$A22&amp;",",","&amp;SUBSTITUTE(Setup!$B$17," ","")&amp;",")),1,0))</f>
        <v>0</v>
      </c>
      <c r="BZ22" s="22" t="str">
        <f aca="false">IF($AS22="","",IF(Fits!$B$38="Row",$AQ22,IF($AR22="","",$AR22)))</f>
        <v/>
      </c>
      <c r="CA22" s="22" t="str">
        <f aca="false">IF($AT22="","",IF(Fits!$B$50="Row",$AQ22,IF($AR22="","",$AR22)))</f>
        <v/>
      </c>
      <c r="CB22" s="20" t="str">
        <f aca="false">IF(OR($D22&lt;&gt;"Drift",$X22="",$A22&lt;IF(Setup!$B$14="",0,Setup!$B$14),Fits!$B$107&lt;3,Fits!$B$110="",Fits!$B$109=0,IF(Fits!$B$38="Row",$AQ22,$AR22)=""),"",IF($BX22=1,IF(OR(Fits!$B$111="",Fits!$B$111=0),"",($X22-(IF(Fits!$B$38="Row",Fits!$B$32,Fits!$B$35)*IF(Fits!$B$38="Row",$AQ22,$AR22)+Fits!$B$110))/(Fits!$B$111*SQRT(1+(1/Fits!$B$107+(IF(Fits!$B$38="Row",$AQ22,$AR22)-Fits!$B$108)^2/Fits!$B$109)))),IF(OR(Fits!$B$107&lt;4,(1/Fits!$B$107+(IF(Fits!$B$38="Row",$AQ22,$AR22)-Fits!$B$108)^2/Fits!$B$109)&gt;=1),"",IF((Fits!$B$116-($X22-(IF(Fits!$B$38="Row",Fits!$B$32,Fits!$B$35)*IF(Fits!$B$38="Row",$AQ22,$AR22)+Fits!$B$110))^2/(1-(1/Fits!$B$107+(IF(Fits!$B$38="Row",$AQ22,$AR22)-Fits!$B$108)^2/Fits!$B$109)))&lt;=0,"",($X22-(IF(Fits!$B$38="Row",Fits!$B$32,Fits!$B$35)*IF(Fits!$B$38="Row",$AQ22,$AR22)+Fits!$B$110))/(SQRT((Fits!$B$116-($X22-(IF(Fits!$B$38="Row",Fits!$B$32,Fits!$B$35)*IF(Fits!$B$38="Row",$AQ22,$AR22)+Fits!$B$110))^2/(1-(1/Fits!$B$107+(IF(Fits!$B$38="Row",$AQ22,$AR22)-Fits!$B$108)^2/Fits!$B$109)))/(Fits!$B$107-3))*SQRT(1-(1/Fits!$B$107+(IF(Fits!$B$38="Row",$AQ22,$AR22)-Fits!$B$108)^2/Fits!$B$109)))))))</f>
        <v/>
      </c>
      <c r="CC22" s="20" t="str">
        <f aca="false">IF(OR($D22&lt;&gt;"Drift",$AC22="",$A22&lt;IF(Setup!$B$14="",0,Setup!$B$14),Fits!$B$120&lt;3,Fits!$B$123="",Fits!$B$122=0,IF(Fits!$B$50="Row",$AQ22,$AR22)=""),"",IF($BY22=1,IF(OR(Fits!$B$124="",Fits!$B$124=0),"",($AC22-(IF(Fits!$B$50="Row",Fits!$B$44,Fits!$B$47)*IF(Fits!$B$50="Row",$AQ22,$AR22)+Fits!$B$123))/(Fits!$B$124*SQRT(1+(1/Fits!$B$120+(IF(Fits!$B$50="Row",$AQ22,$AR22)-Fits!$B$121)^2/Fits!$B$122)))),IF(OR(Fits!$B$120&lt;4,(1/Fits!$B$120+(IF(Fits!$B$50="Row",$AQ22,$AR22)-Fits!$B$121)^2/Fits!$B$122)&gt;=1),"",IF((Fits!$B$129-($AC22-(IF(Fits!$B$50="Row",Fits!$B$44,Fits!$B$47)*IF(Fits!$B$50="Row",$AQ22,$AR22)+Fits!$B$123))^2/(1-(1/Fits!$B$120+(IF(Fits!$B$50="Row",$AQ22,$AR22)-Fits!$B$121)^2/Fits!$B$122)))&lt;=0,"",($AC22-(IF(Fits!$B$50="Row",Fits!$B$44,Fits!$B$47)*IF(Fits!$B$50="Row",$AQ22,$AR22)+Fits!$B$123))/(SQRT((Fits!$B$129-($AC22-(IF(Fits!$B$50="Row",Fits!$B$44,Fits!$B$47)*IF(Fits!$B$50="Row",$AQ22,$AR22)+Fits!$B$123))^2/(1-(1/Fits!$B$120+(IF(Fits!$B$50="Row",$AQ22,$AR22)-Fits!$B$121)^2/Fits!$B$122)))/(Fits!$B$120-3))*SQRT(1-(1/Fits!$B$120+(IF(Fits!$B$50="Row",$AQ22,$AR22)-Fits!$B$121)^2/Fits!$B$122)))))))</f>
        <v/>
      </c>
      <c r="CD22" s="9" t="n">
        <f aca="false">IF($AU22="","",1)</f>
        <v>1</v>
      </c>
      <c r="CE22" s="24" t="n">
        <f aca="false">IF($AU22="","",$AU22-Fits!$B$133)</f>
        <v>9.26792971665004</v>
      </c>
      <c r="CF22" s="24" t="n">
        <f aca="false">IF($AU22="","",($AV22-(Fits!$B$56*$AU22+Fits!$B$57))-Fits!$B$56*($AU22-Fits!$B$133))</f>
        <v>-9.56887145962674</v>
      </c>
      <c r="CG22" s="25" t="n">
        <f aca="false">IF($AU22="","",$AU22^2)</f>
        <v>368.508718253813</v>
      </c>
      <c r="CH22" s="9" t="n">
        <f aca="false">IF($AW22="","",1)</f>
        <v>1</v>
      </c>
      <c r="CI22" s="24" t="n">
        <f aca="false">IF($AW22="","",$AW22-Fits!$B$153)</f>
        <v>10.1023139343119</v>
      </c>
      <c r="CJ22" s="24" t="n">
        <f aca="false">IF($AW22="","",($AX22-(Fits!$B$63*$AW22+Fits!$B$64))-Fits!$B$63*($AW22-Fits!$B$153))</f>
        <v>-10.2305352879172</v>
      </c>
      <c r="CK22" s="25" t="n">
        <f aca="false">IF($AW22="","",$AW22^2)</f>
        <v>10.6685313082809</v>
      </c>
      <c r="CL22" s="26" t="n">
        <f aca="false">IF(OR($Z22="",Fits!$B$55&lt;3,Fits!$B$133="",Fits!$B$134="",Fits!$B$134=0,Fits!$B$136=""),"",SQRT((Fits!$B$136*Fits!$B$56)^2+SUMPRODUCT((Fits!$J$163:$J$175*(Fits!$B$163:$B$175/Fits!$B$55+Fits!$H$163:$H$175*($Z22-Fits!$B$133)/Fits!$B$134))^2)+SUMPRODUCT((Fits!$G$163:$G$175*(($Z22-Fits!$B$133)*Fits!$I$163:$I$175/Fits!$B$134-Fits!$B$163:$B$175*Fits!$B$56/Fits!$B$55))^2)))</f>
        <v>0.197639454330597</v>
      </c>
      <c r="CM22" s="26" t="n">
        <f aca="false">IF($CL22="","",Setup!$B$32*$CL22)</f>
        <v>0.395278908661194</v>
      </c>
      <c r="CN22" s="26" t="n">
        <f aca="false">IF(OR($AE22="",Fits!$B$62&lt;3,Fits!$B$153="",Fits!$B$154="",Fits!$B$154=0,Fits!$B$156=""),"",SQRT((Fits!$B$156*Fits!$B$63)^2+SUMPRODUCT((Fits!$J$183:$J$195*(Fits!$B$183:$B$195/Fits!$B$62+Fits!$H$183:$H$195*($AE22-Fits!$B$153)/Fits!$B$154))^2)+SUMPRODUCT((Fits!$G$183:$G$195*(($AE22-Fits!$B$153)*Fits!$I$183:$I$195/Fits!$B$154-Fits!$B$183:$B$195*Fits!$B$63/Fits!$B$62))^2)))</f>
        <v>0.0466516375679046</v>
      </c>
      <c r="CO22" s="26" t="n">
        <f aca="false">IF($CN22="","",Setup!$B$32*$CN22)</f>
        <v>0.0933032751358092</v>
      </c>
      <c r="CP22" s="9" t="n">
        <f aca="false">IF(OR(NOT(ISNUMBER($BJ22)),$EK22=1),$CP21,IF($BJ22&lt;=Setup!$B$26,$CP21+1,0))</f>
        <v>0</v>
      </c>
      <c r="CQ22" s="9" t="n">
        <f aca="false">IF($BT22="","",$A22)</f>
        <v>17</v>
      </c>
      <c r="CR22" s="9" t="n">
        <f aca="false">IF($BW22="","",$A22)</f>
        <v>17</v>
      </c>
      <c r="CS22" s="9" t="n">
        <f aca="false">IF($B22="","",IF(Setup!$A$37="",0,IF(ISNUMBER(SEARCH(Setup!$A$37,$B22)),37,0)))</f>
        <v>0</v>
      </c>
      <c r="CT22" s="9" t="n">
        <f aca="false">IF($B22="","",IF(Setup!$A$38="",0,IF(ISNUMBER(SEARCH(Setup!$A$38,$B22)),38,0)))</f>
        <v>38</v>
      </c>
      <c r="CU22" s="9" t="n">
        <f aca="false">IF($B22="","",IF(Setup!$A$39="",0,IF(ISNUMBER(SEARCH(Setup!$A$39,$B22)),39,0)))</f>
        <v>0</v>
      </c>
      <c r="CV22" s="9" t="n">
        <f aca="false">IF($B22="","",IF(Setup!$A$40="",0,IF(ISNUMBER(SEARCH(Setup!$A$40,$B22)),40,0)))</f>
        <v>0</v>
      </c>
      <c r="CW22" s="9" t="n">
        <f aca="false">IF($B22="","",IF(Setup!$A$41="",0,IF(ISNUMBER(SEARCH(Setup!$A$41,$B22)),41,0)))</f>
        <v>0</v>
      </c>
      <c r="CX22" s="9" t="n">
        <f aca="false">IF($B22="","",IF(Setup!$A$42="",0,IF(ISNUMBER(SEARCH(Setup!$A$42,$B22)),42,0)))</f>
        <v>0</v>
      </c>
      <c r="CY22" s="9" t="n">
        <f aca="false">IF($B22="","",IF(Setup!$A$43="",0,IF(ISNUMBER(SEARCH(Setup!$A$43,$B22)),43,0)))</f>
        <v>0</v>
      </c>
      <c r="CZ22" s="9" t="n">
        <f aca="false">IF($B22="","",IF(Setup!$A$44="",0,IF(ISNUMBER(SEARCH(Setup!$A$44,$B22)),44,0)))</f>
        <v>0</v>
      </c>
      <c r="DA22" s="9" t="n">
        <f aca="false">IF($B22="","",IF(Setup!$A$45="",0,IF(ISNUMBER(SEARCH(Setup!$A$45,$B22)),45,0)))</f>
        <v>0</v>
      </c>
      <c r="DB22" s="9" t="n">
        <f aca="false">IF($B22="","",IF(Setup!$A$46="",0,IF(ISNUMBER(SEARCH(Setup!$A$46,$B22)),46,0)))</f>
        <v>0</v>
      </c>
      <c r="DC22" s="9" t="n">
        <f aca="false">IF($B22="","",IF(Setup!$A$47="",0,IF(ISNUMBER(SEARCH(Setup!$A$47,$B22)),47,0)))</f>
        <v>0</v>
      </c>
      <c r="DD22" s="9" t="n">
        <f aca="false">IF($B22="","",IF(Setup!$A$48="",0,IF(ISNUMBER(SEARCH(Setup!$A$48,$B22)),48,0)))</f>
        <v>0</v>
      </c>
      <c r="DE22" s="9" t="n">
        <f aca="false">IF($B22="","",IF(Setup!$A$49="",0,IF(ISNUMBER(SEARCH(Setup!$A$49,$B22)),49,0)))</f>
        <v>0</v>
      </c>
      <c r="DF22" s="9" t="n">
        <f aca="false">IF($B22="",NA(),$A22)</f>
        <v>17</v>
      </c>
      <c r="DG22" s="22" t="n">
        <f aca="false">IF($BI22="",NA(),$BI22)</f>
        <v>25.9</v>
      </c>
      <c r="DH22" s="22" t="n">
        <f aca="false">IF($N22="",NA(),$N22)</f>
        <v>27.6</v>
      </c>
      <c r="DI22" s="9" t="e">
        <f aca="false">IF(AND($D22="Drift",$N22&lt;&gt;""),$N22,NA())</f>
        <v>#N/A</v>
      </c>
      <c r="DJ22" s="9" t="str">
        <f aca="false">IF(AND($D22="Drift",$N22&lt;&gt;""),$N22,"")</f>
        <v/>
      </c>
      <c r="DK22" s="9" t="str">
        <f aca="false">IF($DJ22="","",$A22)</f>
        <v/>
      </c>
      <c r="DL22" s="9" t="e">
        <f aca="false">IF($AN22="",NA(),$AM22)</f>
        <v>#N/A</v>
      </c>
      <c r="DM22" s="9" t="e">
        <f aca="false">IF($AN22="",NA(),$AN22)</f>
        <v>#N/A</v>
      </c>
      <c r="DN22" s="9" t="e">
        <f aca="false">IF(AND($D22="Sample",$L22&lt;&gt;""),$L22,NA())</f>
        <v>#N/A</v>
      </c>
      <c r="DO22" s="9" t="e">
        <f aca="false">IF(AND($D22="Sample",$L22&lt;&gt;"",Fits!$B$98&lt;&gt;""),Fits!$B$98,NA())</f>
        <v>#N/A</v>
      </c>
      <c r="DP22" s="9" t="e">
        <f aca="false">IF($AS22="",NA(),$AS22)</f>
        <v>#N/A</v>
      </c>
      <c r="DQ22" s="9" t="e">
        <f aca="false">IF(AND($D22="Drift",$AS22="",$X22&lt;&gt;""),$X22,NA())</f>
        <v>#N/A</v>
      </c>
      <c r="DR22" s="9" t="e">
        <f aca="false">IF(AND($D22="Drift",$Z22&lt;&gt;""),$Z22,NA())</f>
        <v>#N/A</v>
      </c>
      <c r="DS22" s="9" t="e">
        <f aca="false">IF(AND(OR($D22="Sample",$D22="Check"),$AA22&lt;&gt;""),$AA22,NA())</f>
        <v>#N/A</v>
      </c>
      <c r="DT22" s="25" t="n">
        <f aca="false">IF(OR($B22="",Fits!$B$138=""),NA(),Fits!$B$138)</f>
        <v>1.76</v>
      </c>
      <c r="DU22" s="25" t="n">
        <f aca="false">IF(OR($B22="",Fits!$B$139=""),NA(),Fits!$B$139)</f>
        <v>20.68</v>
      </c>
      <c r="DV22" s="24" t="n">
        <f aca="false">IF($BT22="",NA(),$BT22)</f>
        <v>-1.176</v>
      </c>
      <c r="DW22" s="9" t="e">
        <f aca="false">IF($AP22="",NA(),$AO22)</f>
        <v>#N/A</v>
      </c>
      <c r="DX22" s="9" t="e">
        <f aca="false">IF($AP22="",NA(),$AP22)</f>
        <v>#N/A</v>
      </c>
      <c r="DY22" s="9" t="e">
        <f aca="false">IF(AND($D22="Sample",$P22&lt;&gt;""),$P22,NA())</f>
        <v>#N/A</v>
      </c>
      <c r="DZ22" s="9" t="e">
        <f aca="false">IF(AND($D22="Sample",$P22&lt;&gt;"",Fits!$B$105&lt;&gt;""),Fits!$B$105,NA())</f>
        <v>#N/A</v>
      </c>
      <c r="EA22" s="9" t="e">
        <f aca="false">IF($AT22="",NA(),$AT22)</f>
        <v>#N/A</v>
      </c>
      <c r="EB22" s="9" t="e">
        <f aca="false">IF(AND($D22="Drift",$AT22="",$AC22&lt;&gt;""),$AC22,NA())</f>
        <v>#N/A</v>
      </c>
      <c r="EC22" s="9" t="e">
        <f aca="false">IF(AND($D22="Drift",$AE22&lt;&gt;""),$AE22,NA())</f>
        <v>#N/A</v>
      </c>
      <c r="ED22" s="9" t="e">
        <f aca="false">IF(AND(OR($D22="Sample",$D22="Check"),$AF22&lt;&gt;""),$AF22,NA())</f>
        <v>#N/A</v>
      </c>
      <c r="EE22" s="25" t="n">
        <f aca="false">IF(OR($B22="",Fits!$B$158=""),NA(),Fits!$B$158)</f>
        <v>-40.81</v>
      </c>
      <c r="EF22" s="25" t="n">
        <f aca="false">IF(OR($B22="",Fits!$B$159=""),NA(),Fits!$B$159)</f>
        <v>-20.29</v>
      </c>
      <c r="EG22" s="24" t="n">
        <f aca="false">IF($BW22="",NA(),$BW22)</f>
        <v>-25.359</v>
      </c>
      <c r="EH22" s="9" t="e">
        <f aca="false">IF(AND($EN22=1,ISNUMBER($N22)),$N22,NA())</f>
        <v>#N/A</v>
      </c>
      <c r="EI22" s="9" t="n">
        <f aca="false">IF($B22="","",$A22)</f>
        <v>17</v>
      </c>
      <c r="EJ22" s="9" t="n">
        <f aca="false">IF(OR(AND(ISNUMBER($L22),Fits!$B$97&gt;0,$L22&gt;Fits!$B$97),AND(ISNUMBER($P22),Fits!$B$104&gt;0,$P22&gt;Fits!$B$104)),1,0)</f>
        <v>0</v>
      </c>
      <c r="EK22" s="9" t="n">
        <f aca="false">IF(OR($EJ21=1,$EJ20=1),1,0)</f>
        <v>0</v>
      </c>
      <c r="EL22" s="22" t="n">
        <f aca="false">IF(AND($EK22=0,ISNUMBER($N22)),$N22,$EL21)</f>
        <v>27.6</v>
      </c>
      <c r="EM22" s="9" t="str">
        <f aca="false">IF(AND($EK22=1,ISNUMBER($N22),ISNUMBER($EL22)),$N22-$EL22,"")</f>
        <v/>
      </c>
      <c r="EN22" s="9" t="n">
        <f aca="false">IF(Setup!$B$28="",0,IF(ISNUMBER($EM22),IF($EM22&gt;Setup!$B$28,1,0),0))</f>
        <v>0</v>
      </c>
      <c r="EO22" s="9" t="str">
        <f aca="false">IF($EN22=1,COUNTIF($EN$6:$EN22,1),"")</f>
        <v/>
      </c>
      <c r="EP22" s="9" t="n">
        <f aca="false">IF(AND($EJ21=1,OR($D22="Sample",$D22="Check")),1,0)</f>
        <v>0</v>
      </c>
      <c r="EQ22" s="9" t="str">
        <f aca="false">IF(ISNUMBER($BI22),IF(COUNT($BI$6:$BI22)&lt;=5,$BI22,""),"")</f>
        <v/>
      </c>
      <c r="ER22" s="9" t="str">
        <f aca="false">IF(OR(NOT(ISNUMBER($BJ22)),$EK22=1),$ER21,IF($BJ22&lt;=Setup!$B$26,IF($CP21=0,$A22,$ER21),""))</f>
        <v/>
      </c>
    </row>
    <row r="23" customFormat="false" ht="15" hidden="false" customHeight="false" outlineLevel="0" collapsed="false">
      <c r="A23" s="8" t="n">
        <v>18</v>
      </c>
      <c r="B23" s="8" t="str">
        <f aca="false">IFERROR(INDEX(Raw!$B$2:$B$1001,MATCH($A23,Raw!$A$2:$A$1001,0)),"")</f>
        <v>Ace Drift3</v>
      </c>
      <c r="C23" s="9" t="n">
        <f aca="false">IF($B23="","",MAX($CS23:$DE23))</f>
        <v>43</v>
      </c>
      <c r="D23" s="8" t="str">
        <f aca="false">IF($B23="","",IF($C23=0,"Sample",INDEX(Setup!$B$37:$B$49,$C23-36)))</f>
        <v>Drift</v>
      </c>
      <c r="E23" s="16" t="n">
        <f aca="false">IF($B23="","",IFERROR(IF(INDEX(Raw!$E$2:$E$1001,MATCH($A23,Raw!$A$2:$A$1001,0))=0,"",INDEX(Raw!$E$2:$E$1001,MATCH($A23,Raw!$A$2:$A$1001,0))),""))</f>
        <v>0.415</v>
      </c>
      <c r="F23" s="18"/>
      <c r="G23" s="16" t="n">
        <f aca="false">IF($B23="","",IF($F23&lt;&gt;"",$F23,IF($E23="","",$E23)))</f>
        <v>0.415</v>
      </c>
      <c r="H23" s="9" t="n">
        <f aca="false">IF($B23="","",SUMPRODUCT(MAX((Raw!$A$2:$A$1001=$A23)*(Raw!$R$2:$R$1001="N")*Raw!$D$2:$D$1001)))</f>
        <v>3</v>
      </c>
      <c r="I23" s="9" t="str">
        <f aca="false">IF(OR($H23="",$H23=0),"",$A23&amp;"|N|"&amp;$H23)</f>
        <v>18|N|3</v>
      </c>
      <c r="J23" s="9" t="n">
        <f aca="false">IF($B23="","",SUMPRODUCT(MIN((Raw!$A$2:$A$1001=$A23)*(Raw!$R$2:$R$1001="C")*Raw!$D$2:$D$1001+(1-(Raw!$A$2:$A$1001=$A23)*(Raw!$R$2:$R$1001="C"))*9999)))</f>
        <v>4</v>
      </c>
      <c r="K23" s="9" t="str">
        <f aca="false">IF(OR($J23="",$J23=0,$J23=9999),"",$A23&amp;"|C|"&amp;$J23)</f>
        <v>18|C|4</v>
      </c>
      <c r="L23" s="16" t="n">
        <f aca="false">IF($I23="","",IF(INDEX(Raw!$I$2:$I$1001,MATCH($I23,Raw!$S$2:$S$1001,0))&lt;&gt;0,"",INDEX(Raw!$H$2:$H$1001,MATCH($I23,Raw!$S$2:$S$1001,0))))</f>
        <v>27.655</v>
      </c>
      <c r="M23" s="19" t="n">
        <f aca="false">IF($I23="","",IF(INDEX(Raw!$I$2:$I$1001,MATCH($I23,Raw!$S$2:$S$1001,0))&lt;&gt;0,"",INDEX(Raw!$F$2:$F$1001,MATCH($I23,Raw!$S$2:$S$1001,0))))</f>
        <v>1611</v>
      </c>
      <c r="N23" s="20" t="n">
        <f aca="false">IF($I23="","",IF(INDEX(Raw!$I$2:$I$1001,MATCH($I23,Raw!$S$2:$S$1001,0))&lt;&gt;0,"",INDEX(Raw!$G$2:$G$1001,MATCH($I23,Raw!$S$2:$S$1001,0))))</f>
        <v>27.3</v>
      </c>
      <c r="O23" s="16" t="n">
        <f aca="false">IF($I23="","",IF(INDEX(Raw!$I$2:$I$1001,MATCH($I23,Raw!$S$2:$S$1001,0))&lt;&gt;0,"",INDEX(Raw!$N$2:$N$1001,MATCH($I23,Raw!$S$2:$S$1001,0))))</f>
        <v>-5.945</v>
      </c>
      <c r="P23" s="16" t="n">
        <f aca="false">IF($K23="","",IF(INDEX(Raw!$I$2:$I$1001,MATCH($K23,Raw!$S$2:$S$1001,0))&lt;&gt;0,"",INDEX(Raw!$K$2:$K$1001,MATCH($K23,Raw!$S$2:$S$1001,0))))</f>
        <v>132.985</v>
      </c>
      <c r="Q23" s="19" t="n">
        <f aca="false">IF($K23="","",IF(INDEX(Raw!$I$2:$I$1001,MATCH($K23,Raw!$S$2:$S$1001,0))&lt;&gt;0,"",INDEX(Raw!$J$2:$J$1001,MATCH($K23,Raw!$S$2:$S$1001,0))))</f>
        <v>5794</v>
      </c>
      <c r="R23" s="16" t="n">
        <f aca="false">IF($K23="","",IF(INDEX(Raw!$I$2:$I$1001,MATCH($K23,Raw!$S$2:$S$1001,0))&lt;&gt;0,"",INDEX(Raw!$O$2:$O$1001,MATCH($K23,Raw!$S$2:$S$1001,0))))</f>
        <v>-9.453</v>
      </c>
      <c r="S23" s="21" t="str">
        <f aca="false">IF($B23="","",IF($C23=0,"",IF(INDEX(Setup!$D$37:$D$49,$C23-36)="","",INDEX(Setup!$D$37:$D$49,$C23-36))))</f>
        <v/>
      </c>
      <c r="T23" s="21" t="str">
        <f aca="false">IF($B23="","",IF($C23=0,"",IF(INDEX(Setup!$C$37:$C$49,$C23-36)="","",INDEX(Setup!$C$37:$C$49,$C23-36))))</f>
        <v/>
      </c>
      <c r="U23" s="21" t="n">
        <f aca="false">IF($B23="","",IF($C23=0,"",IF(INDEX(Setup!$F$37:$F$49,$C23-36)="","",INDEX(Setup!$F$37:$F$49,$C23-36))))</f>
        <v>10.36</v>
      </c>
      <c r="V23" s="21" t="n">
        <f aca="false">IF($B23="","",IF($C23=0,"",IF(INDEX(Setup!$E$37:$E$49,$C23-36)="","",INDEX(Setup!$E$37:$E$49,$C23-36))))</f>
        <v>71.09</v>
      </c>
      <c r="W23" s="16" t="n">
        <f aca="false">IF($O23="","",IF(OR(Fits!$C$5&lt;&gt;"Yes",$D23="Blank",$L23&lt;=Fits!$B$6),$O23,($L23*$O23-Fits!$B$6*Fits!$B$7)/($L23-Fits!$B$6)))</f>
        <v>-5.945</v>
      </c>
      <c r="X23" s="16" t="n">
        <f aca="false">IF($W23="","",$W23-Fits!$B$20*($L23-Fits!$B$16))</f>
        <v>-5.945</v>
      </c>
      <c r="Y23" s="22" t="n">
        <f aca="false">IF($W23="","",IF(OR(Fits!$B$38="Row",$BI23=""),$A23,$BI23))</f>
        <v>18</v>
      </c>
      <c r="Z23" s="16" t="n">
        <f aca="false">IF($X23="","",$X23-Fits!$B$39*($Y23-Fits!$B$40))</f>
        <v>-6.17766474991262</v>
      </c>
      <c r="AA23" s="23" t="n">
        <f aca="false">IF(OR($Z23="",Fits!$B$55&lt;2),"",Fits!$B$56*$Z23+Fits!$B$57)</f>
        <v>-5.31470758595378</v>
      </c>
      <c r="AB23" s="16" t="n">
        <f aca="false">IF($R23="","",IF(OR(Fits!$C$9&lt;&gt;"Yes",$D23="Blank",$P23&lt;=Fits!$B$10),$R23,($P23*$R23-Fits!$B$10*Fits!$B$11)/($P23-Fits!$B$10)))</f>
        <v>-9.453</v>
      </c>
      <c r="AC23" s="16" t="n">
        <f aca="false">IF($AB23="","",$AB23-Fits!$B$28*($P23-Fits!$B$24))</f>
        <v>-9.46239410905151</v>
      </c>
      <c r="AD23" s="22" t="n">
        <f aca="false">IF($AB23="","",IF(OR(Fits!$B$50="Row",$BI23=""),$A23,$BI23))</f>
        <v>18</v>
      </c>
      <c r="AE23" s="16" t="n">
        <f aca="false">IF($AC23="","",$AC23-Fits!$B$51*($AD23-Fits!$B$52))</f>
        <v>-9.42143089586679</v>
      </c>
      <c r="AF23" s="23" t="n">
        <f aca="false">IF(OR($AE23="",Fits!$B$62&lt;2),"",Fits!$B$63*$AE23+Fits!$B$64)</f>
        <v>-26.5469906143264</v>
      </c>
      <c r="AG23" s="21" t="n">
        <f aca="false">IF(OR($L23="",Fits!$B$69&lt;3),"",($L23-Fits!$B$71)/Fits!$B$70)</f>
        <v>42.4047102180166</v>
      </c>
      <c r="AH23" s="21" t="n">
        <f aca="false">IF(OR($P23="",Fits!$B$75&lt;3),"",($P23-Fits!$B$77)/Fits!$B$76)</f>
        <v>298.912665746827</v>
      </c>
      <c r="AI23" s="23" t="n">
        <f aca="false">IF(OR($AG23="",$G23="",$G23=0),"",$AG23/($G23*1000)*100)</f>
        <v>10.2180024621727</v>
      </c>
      <c r="AJ23" s="23" t="n">
        <f aca="false">IF(OR($AH23="",$G23="",$G23=0),"",$AH23/($G23*1000)*100)</f>
        <v>72.0271483727295</v>
      </c>
      <c r="AK23" s="23" t="n">
        <f aca="false">IF(OR($AG23="",$AH23="",$AG23&lt;=0),"",($AH23/Setup!$B$52)/($AG23/Setup!$B$53))</f>
        <v>8.22046112059445</v>
      </c>
      <c r="AL23" s="23" t="n">
        <f aca="false">IF(OR($AG23="",$AH23="",$AG23&lt;=0),"",$AH23/$AG23)</f>
        <v>7.04904394370386</v>
      </c>
      <c r="AM23" s="9" t="str">
        <f aca="false">IF($D23="Linearity",IF($L23="","",$L23),"")</f>
        <v/>
      </c>
      <c r="AN23" s="9" t="str">
        <f aca="false">IF($D23="Linearity",IF($W23="","",$W23),"")</f>
        <v/>
      </c>
      <c r="AO23" s="9" t="str">
        <f aca="false">IF($D23="Linearity",IF($P23="","",$P23),"")</f>
        <v/>
      </c>
      <c r="AP23" s="9" t="str">
        <f aca="false">IF($D23="Linearity",IF($AB23="","",$AB23),"")</f>
        <v/>
      </c>
      <c r="AQ23" s="9" t="n">
        <f aca="false">IF($D23="Drift",IF($A23&lt;IF(Setup!$B$14="",0,Setup!$B$14),"",$A23),"")</f>
        <v>18</v>
      </c>
      <c r="AR23" s="22" t="n">
        <f aca="false">IF($D23="Drift",IF($A23&lt;IF(Setup!$B$14="",0,Setup!$B$14),"",IF($BI23="","",$BI23)),"")</f>
        <v>25.7</v>
      </c>
      <c r="AS23" s="24" t="n">
        <f aca="false">IF($D23="Drift",IF($A23&lt;IF(Setup!$B$14="",0,Setup!$B$14),"",IF(OR($X23="",$BX23=1),"",$X23)),"")</f>
        <v>-5.945</v>
      </c>
      <c r="AT23" s="24" t="n">
        <f aca="false">IF($D23="Drift",IF($A23&lt;IF(Setup!$B$14="",0,Setup!$B$14),"",IF(OR($AC23="",$BY23=1),"",$AC23)),"")</f>
        <v>-9.46239410905151</v>
      </c>
      <c r="AU23" s="9" t="str">
        <f aca="false">IF($D23="Anchor",IF(OR($Z23="",$S23=""),"",$Z23),"")</f>
        <v/>
      </c>
      <c r="AV23" s="9" t="str">
        <f aca="false">IF($D23="Anchor",IF(OR($Z23="",$S23=""),"",$S23),"")</f>
        <v/>
      </c>
      <c r="AW23" s="9" t="str">
        <f aca="false">IF($D23="Anchor",IF(OR($AE23="",$T23=""),"",$AE23),"")</f>
        <v/>
      </c>
      <c r="AX23" s="9" t="str">
        <f aca="false">IF($D23="Anchor",IF(OR($AE23="",$T23=""),"",$T23),"")</f>
        <v/>
      </c>
      <c r="AY23" s="9" t="n">
        <f aca="false">IF(OR($D23="Blank",$D23="Exclude",$D23="Sample",$D23="",$G23="",$U23="",$L23=""),"",$G23*1000*$U23/100)</f>
        <v>42.994</v>
      </c>
      <c r="AZ23" s="24" t="n">
        <f aca="false">IF($AY23="","",$L23)</f>
        <v>27.655</v>
      </c>
      <c r="BA23" s="9" t="n">
        <f aca="false">IF(OR($D23="Blank",$D23="Exclude",$D23="Sample",$D23="",$G23="",$V23="",$P23=""),"",$G23*1000*$V23/100)</f>
        <v>295.0235</v>
      </c>
      <c r="BB23" s="24" t="n">
        <f aca="false">IF($BA23="","",$P23)</f>
        <v>132.985</v>
      </c>
      <c r="BC23" s="9" t="str">
        <f aca="false">IF(AND($D23="Blank",$L23&lt;&gt;""),$O23,"")</f>
        <v/>
      </c>
      <c r="BD23" s="9" t="str">
        <f aca="false">IF($BC23="","",$L23)</f>
        <v/>
      </c>
      <c r="BE23" s="9" t="str">
        <f aca="false">IF(AND($D23="Blank",$P23&lt;&gt;""),$R23,"")</f>
        <v/>
      </c>
      <c r="BF23" s="9" t="str">
        <f aca="false">IF($BE23="","",$P23)</f>
        <v/>
      </c>
      <c r="BG23" s="25" t="n">
        <f aca="false">IF(AND($D23="Drift",$BX23&lt;&gt;1),IF($AA23="","",$AA23),"")</f>
        <v>-5.31470758595378</v>
      </c>
      <c r="BH23" s="25" t="n">
        <f aca="false">IF(AND($D23="Drift",$BY23&lt;&gt;1),IF($AF23="","",$AF23),"")</f>
        <v>-26.5469906143264</v>
      </c>
      <c r="BI23" s="20" t="n">
        <f aca="false">IF($B23="","",IFERROR(INDEX(Raw!$G$2:$G$1001,MATCH($A23&amp;"|N|"&amp;SUMPRODUCT(MAX((Raw!$A$2:$A$1001=$A23)*(Raw!$R$2:$R$1001="N")*(Raw!$I$2:$I$1001=1)*Raw!$D$2:$D$1001)),Raw!$S$2:$S$1001,0)),""))</f>
        <v>25.7</v>
      </c>
      <c r="BJ23" s="21" t="n">
        <f aca="false">IF(OR($BI23="",Fits!$B$85&lt;=0),"",($BI23-Fits!$B$83)/Fits!$B$85)</f>
        <v>0.234234234234234</v>
      </c>
      <c r="BK23" s="9" t="n">
        <f aca="false">IF($AS23="","",IF($A23&gt;=Fits!$B$86,"",$A23))</f>
        <v>18</v>
      </c>
      <c r="BL23" s="24" t="n">
        <f aca="false">IF($BK23="","",$X23)</f>
        <v>-5.945</v>
      </c>
      <c r="BM23" s="9" t="str">
        <f aca="false">IF($AS23="","",IF($A23&lt;Fits!$B$86,"",$A23))</f>
        <v/>
      </c>
      <c r="BN23" s="9" t="str">
        <f aca="false">IF($BM23="","",$X23)</f>
        <v/>
      </c>
      <c r="BO23" s="24" t="n">
        <f aca="false">IF(AND($D23="Drift",$BX23&lt;&gt;1),IF($O23="","",$O23),"")</f>
        <v>-5.945</v>
      </c>
      <c r="BP23" s="24" t="n">
        <f aca="false">IF(AND($D23="Drift",$BX23&lt;&gt;1),IF($W23="","",$W23),"")</f>
        <v>-5.945</v>
      </c>
      <c r="BQ23" s="24" t="n">
        <f aca="false">IF(AND($D23="Drift",$BX23&lt;&gt;1),IF($X23="","",$X23),"")</f>
        <v>-5.945</v>
      </c>
      <c r="BR23" s="24" t="n">
        <f aca="false">IF(AND($D23="Drift",$BX23&lt;&gt;1),IF($Z23="","",$Z23),"")</f>
        <v>-6.17766474991262</v>
      </c>
      <c r="BS23" s="9" t="n">
        <f aca="false">IF(OR($B23="",$H23=""),"",SUMPRODUCT(MIN((Raw!$A$2:$A$1001=$A23)*(Raw!$R$2:$R$1001="N")*(Raw!$I$2:$I$1001=0)*(Raw!$D$2:$D$1001&lt;$H23)*Raw!$D$2:$D$1001+(1-(Raw!$A$2:$A$1001=$A23)*(Raw!$R$2:$R$1001="N")*(Raw!$I$2:$I$1001=0)*(Raw!$D$2:$D$1001&lt;$H23))*9999)))</f>
        <v>1</v>
      </c>
      <c r="BT23" s="16" t="n">
        <f aca="false">IF(OR($BS23="",$BS23=9999,$BS23=0),"",IFERROR(INDEX(Raw!$N$2:$N$1001,MATCH($A23&amp;"|N|"&amp;$BS23,Raw!$S$2:$S$1001,0)),""))</f>
        <v>-1.264</v>
      </c>
      <c r="BU23" s="9" t="n">
        <f aca="false">IF($B23="","",SUMPRODUCT(MIN((Raw!$A$2:$A$1001=$A23)*(Raw!$R$2:$R$1001="C")*(Raw!$I$2:$I$1001=1)*Raw!$D$2:$D$1001+(1-(Raw!$A$2:$A$1001=$A23)*(Raw!$R$2:$R$1001="C")*(Raw!$I$2:$I$1001=1))*9999)))</f>
        <v>5</v>
      </c>
      <c r="BV23" s="9" t="n">
        <f aca="false">IF(OR($BU23="",$BU23=9999),"",SUMPRODUCT(MIN((Raw!$A$2:$A$1001=$A23)*(Raw!$R$2:$R$1001="C")*(Raw!$I$2:$I$1001=0)*(Raw!$D$2:$D$1001&gt;$BU23)*Raw!$D$2:$D$1001+(1-(Raw!$A$2:$A$1001=$A23)*(Raw!$R$2:$R$1001="C")*(Raw!$I$2:$I$1001=0)*(Raw!$D$2:$D$1001&gt;$BU23))*9999)))</f>
        <v>6</v>
      </c>
      <c r="BW23" s="16" t="n">
        <f aca="false">IF(OR($BV23="",$BV23=9999,$BV23=0),"",IFERROR(INDEX(Raw!$O$2:$O$1001,MATCH($A23&amp;"|C|"&amp;$BV23,Raw!$S$2:$S$1001,0)),""))</f>
        <v>-25.338</v>
      </c>
      <c r="BX23" s="9" t="n">
        <f aca="false">IF($B23="","",IF(ISNUMBER(SEARCH(","&amp;$A23&amp;",",","&amp;SUBSTITUTE(Setup!$B$16," ","")&amp;",")),1,0))</f>
        <v>0</v>
      </c>
      <c r="BY23" s="9" t="n">
        <f aca="false">IF($B23="","",IF(ISNUMBER(SEARCH(","&amp;$A23&amp;",",","&amp;SUBSTITUTE(Setup!$B$17," ","")&amp;",")),1,0))</f>
        <v>0</v>
      </c>
      <c r="BZ23" s="22" t="n">
        <f aca="false">IF($AS23="","",IF(Fits!$B$38="Row",$AQ23,IF($AR23="","",$AR23)))</f>
        <v>18</v>
      </c>
      <c r="CA23" s="22" t="n">
        <f aca="false">IF($AT23="","",IF(Fits!$B$50="Row",$AQ23,IF($AR23="","",$AR23)))</f>
        <v>18</v>
      </c>
      <c r="CB23" s="20" t="n">
        <f aca="false">IF(OR($D23&lt;&gt;"Drift",$X23="",$A23&lt;IF(Setup!$B$14="",0,Setup!$B$14),Fits!$B$107&lt;3,Fits!$B$110="",Fits!$B$109=0,IF(Fits!$B$38="Row",$AQ23,$AR23)=""),"",IF($BX23=1,IF(OR(Fits!$B$111="",Fits!$B$111=0),"",($X23-(IF(Fits!$B$38="Row",Fits!$B$32,Fits!$B$35)*IF(Fits!$B$38="Row",$AQ23,$AR23)+Fits!$B$110))/(Fits!$B$111*SQRT(1+(1/Fits!$B$107+(IF(Fits!$B$38="Row",$AQ23,$AR23)-Fits!$B$108)^2/Fits!$B$109)))),IF(OR(Fits!$B$107&lt;4,(1/Fits!$B$107+(IF(Fits!$B$38="Row",$AQ23,$AR23)-Fits!$B$108)^2/Fits!$B$109)&gt;=1),"",IF((Fits!$B$116-($X23-(IF(Fits!$B$38="Row",Fits!$B$32,Fits!$B$35)*IF(Fits!$B$38="Row",$AQ23,$AR23)+Fits!$B$110))^2/(1-(1/Fits!$B$107+(IF(Fits!$B$38="Row",$AQ23,$AR23)-Fits!$B$108)^2/Fits!$B$109)))&lt;=0,"",($X23-(IF(Fits!$B$38="Row",Fits!$B$32,Fits!$B$35)*IF(Fits!$B$38="Row",$AQ23,$AR23)+Fits!$B$110))/(SQRT((Fits!$B$116-($X23-(IF(Fits!$B$38="Row",Fits!$B$32,Fits!$B$35)*IF(Fits!$B$38="Row",$AQ23,$AR23)+Fits!$B$110))^2/(1-(1/Fits!$B$107+(IF(Fits!$B$38="Row",$AQ23,$AR23)-Fits!$B$108)^2/Fits!$B$109)))/(Fits!$B$107-3))*SQRT(1-(1/Fits!$B$107+(IF(Fits!$B$38="Row",$AQ23,$AR23)-Fits!$B$108)^2/Fits!$B$109)))))))</f>
        <v>-0.558567686854839</v>
      </c>
      <c r="CC23" s="20" t="n">
        <f aca="false">IF(OR($D23&lt;&gt;"Drift",$AC23="",$A23&lt;IF(Setup!$B$14="",0,Setup!$B$14),Fits!$B$120&lt;3,Fits!$B$123="",Fits!$B$122=0,IF(Fits!$B$50="Row",$AQ23,$AR23)=""),"",IF($BY23=1,IF(OR(Fits!$B$124="",Fits!$B$124=0),"",($AC23-(IF(Fits!$B$50="Row",Fits!$B$44,Fits!$B$47)*IF(Fits!$B$50="Row",$AQ23,$AR23)+Fits!$B$123))/(Fits!$B$124*SQRT(1+(1/Fits!$B$120+(IF(Fits!$B$50="Row",$AQ23,$AR23)-Fits!$B$121)^2/Fits!$B$122)))),IF(OR(Fits!$B$120&lt;4,(1/Fits!$B$120+(IF(Fits!$B$50="Row",$AQ23,$AR23)-Fits!$B$121)^2/Fits!$B$122)&gt;=1),"",IF((Fits!$B$129-($AC23-(IF(Fits!$B$50="Row",Fits!$B$44,Fits!$B$47)*IF(Fits!$B$50="Row",$AQ23,$AR23)+Fits!$B$123))^2/(1-(1/Fits!$B$120+(IF(Fits!$B$50="Row",$AQ23,$AR23)-Fits!$B$121)^2/Fits!$B$122)))&lt;=0,"",($AC23-(IF(Fits!$B$50="Row",Fits!$B$44,Fits!$B$47)*IF(Fits!$B$50="Row",$AQ23,$AR23)+Fits!$B$123))/(SQRT((Fits!$B$129-($AC23-(IF(Fits!$B$50="Row",Fits!$B$44,Fits!$B$47)*IF(Fits!$B$50="Row",$AQ23,$AR23)+Fits!$B$123))^2/(1-(1/Fits!$B$120+(IF(Fits!$B$50="Row",$AQ23,$AR23)-Fits!$B$121)^2/Fits!$B$122)))/(Fits!$B$120-3))*SQRT(1-(1/Fits!$B$120+(IF(Fits!$B$50="Row",$AQ23,$AR23)-Fits!$B$121)^2/Fits!$B$122)))))))</f>
        <v>1.47529948150696</v>
      </c>
      <c r="CD23" s="9" t="str">
        <f aca="false">IF($AU23="","",1)</f>
        <v/>
      </c>
      <c r="CE23" s="24" t="str">
        <f aca="false">IF($AU23="","",$AU23-Fits!$B$133)</f>
        <v/>
      </c>
      <c r="CF23" s="24" t="str">
        <f aca="false">IF($AU23="","",($AV23-(Fits!$B$56*$AU23+Fits!$B$57))-Fits!$B$56*($AU23-Fits!$B$133))</f>
        <v/>
      </c>
      <c r="CG23" s="25" t="str">
        <f aca="false">IF($AU23="","",$AU23^2)</f>
        <v/>
      </c>
      <c r="CH23" s="9" t="str">
        <f aca="false">IF($AW23="","",1)</f>
        <v/>
      </c>
      <c r="CI23" s="24" t="str">
        <f aca="false">IF($AW23="","",$AW23-Fits!$B$153)</f>
        <v/>
      </c>
      <c r="CJ23" s="24" t="str">
        <f aca="false">IF($AW23="","",($AX23-(Fits!$B$63*$AW23+Fits!$B$64))-Fits!$B$63*($AW23-Fits!$B$153))</f>
        <v/>
      </c>
      <c r="CK23" s="25" t="str">
        <f aca="false">IF($AW23="","",$AW23^2)</f>
        <v/>
      </c>
      <c r="CL23" s="26" t="n">
        <f aca="false">IF(OR($Z23="",Fits!$B$55&lt;3,Fits!$B$133="",Fits!$B$134="",Fits!$B$134=0,Fits!$B$136=""),"",SQRT((Fits!$B$136*Fits!$B$56)^2+SUMPRODUCT((Fits!$J$163:$J$175*(Fits!$B$163:$B$175/Fits!$B$55+Fits!$H$163:$H$175*($Z23-Fits!$B$133)/Fits!$B$134))^2)+SUMPRODUCT((Fits!$G$163:$G$175*(($Z23-Fits!$B$133)*Fits!$I$163:$I$175/Fits!$B$134-Fits!$B$163:$B$175*Fits!$B$56/Fits!$B$55))^2)))</f>
        <v>0.256378934785583</v>
      </c>
      <c r="CM23" s="26" t="n">
        <f aca="false">IF($CL23="","",Setup!$B$32*$CL23)</f>
        <v>0.512757869571165</v>
      </c>
      <c r="CN23" s="26" t="n">
        <f aca="false">IF(OR($AE23="",Fits!$B$62&lt;3,Fits!$B$153="",Fits!$B$154="",Fits!$B$154=0,Fits!$B$156=""),"",SQRT((Fits!$B$156*Fits!$B$63)^2+SUMPRODUCT((Fits!$J$183:$J$195*(Fits!$B$183:$B$195/Fits!$B$62+Fits!$H$183:$H$195*($AE23-Fits!$B$153)/Fits!$B$154))^2)+SUMPRODUCT((Fits!$G$183:$G$195*(($AE23-Fits!$B$153)*Fits!$I$183:$I$195/Fits!$B$154-Fits!$B$183:$B$195*Fits!$B$63/Fits!$B$62))^2)))</f>
        <v>0.0379394304934676</v>
      </c>
      <c r="CO23" s="26" t="n">
        <f aca="false">IF($CN23="","",Setup!$B$32*$CN23)</f>
        <v>0.0758788609869353</v>
      </c>
      <c r="CP23" s="9" t="n">
        <f aca="false">IF(OR(NOT(ISNUMBER($BJ23)),$EK23=1),$CP22,IF($BJ23&lt;=Setup!$B$26,$CP22+1,0))</f>
        <v>0</v>
      </c>
      <c r="CQ23" s="9" t="n">
        <f aca="false">IF($BT23="","",$A23)</f>
        <v>18</v>
      </c>
      <c r="CR23" s="9" t="n">
        <f aca="false">IF($BW23="","",$A23)</f>
        <v>18</v>
      </c>
      <c r="CS23" s="9" t="n">
        <f aca="false">IF($B23="","",IF(Setup!$A$37="",0,IF(ISNUMBER(SEARCH(Setup!$A$37,$B23)),37,0)))</f>
        <v>0</v>
      </c>
      <c r="CT23" s="9" t="n">
        <f aca="false">IF($B23="","",IF(Setup!$A$38="",0,IF(ISNUMBER(SEARCH(Setup!$A$38,$B23)),38,0)))</f>
        <v>0</v>
      </c>
      <c r="CU23" s="9" t="n">
        <f aca="false">IF($B23="","",IF(Setup!$A$39="",0,IF(ISNUMBER(SEARCH(Setup!$A$39,$B23)),39,0)))</f>
        <v>0</v>
      </c>
      <c r="CV23" s="9" t="n">
        <f aca="false">IF($B23="","",IF(Setup!$A$40="",0,IF(ISNUMBER(SEARCH(Setup!$A$40,$B23)),40,0)))</f>
        <v>0</v>
      </c>
      <c r="CW23" s="9" t="n">
        <f aca="false">IF($B23="","",IF(Setup!$A$41="",0,IF(ISNUMBER(SEARCH(Setup!$A$41,$B23)),41,0)))</f>
        <v>0</v>
      </c>
      <c r="CX23" s="9" t="n">
        <f aca="false">IF($B23="","",IF(Setup!$A$42="",0,IF(ISNUMBER(SEARCH(Setup!$A$42,$B23)),42,0)))</f>
        <v>0</v>
      </c>
      <c r="CY23" s="9" t="n">
        <f aca="false">IF($B23="","",IF(Setup!$A$43="",0,IF(ISNUMBER(SEARCH(Setup!$A$43,$B23)),43,0)))</f>
        <v>43</v>
      </c>
      <c r="CZ23" s="9" t="n">
        <f aca="false">IF($B23="","",IF(Setup!$A$44="",0,IF(ISNUMBER(SEARCH(Setup!$A$44,$B23)),44,0)))</f>
        <v>0</v>
      </c>
      <c r="DA23" s="9" t="n">
        <f aca="false">IF($B23="","",IF(Setup!$A$45="",0,IF(ISNUMBER(SEARCH(Setup!$A$45,$B23)),45,0)))</f>
        <v>0</v>
      </c>
      <c r="DB23" s="9" t="n">
        <f aca="false">IF($B23="","",IF(Setup!$A$46="",0,IF(ISNUMBER(SEARCH(Setup!$A$46,$B23)),46,0)))</f>
        <v>0</v>
      </c>
      <c r="DC23" s="9" t="n">
        <f aca="false">IF($B23="","",IF(Setup!$A$47="",0,IF(ISNUMBER(SEARCH(Setup!$A$47,$B23)),47,0)))</f>
        <v>0</v>
      </c>
      <c r="DD23" s="9" t="n">
        <f aca="false">IF($B23="","",IF(Setup!$A$48="",0,IF(ISNUMBER(SEARCH(Setup!$A$48,$B23)),48,0)))</f>
        <v>0</v>
      </c>
      <c r="DE23" s="9" t="n">
        <f aca="false">IF($B23="","",IF(Setup!$A$49="",0,IF(ISNUMBER(SEARCH(Setup!$A$49,$B23)),49,0)))</f>
        <v>0</v>
      </c>
      <c r="DF23" s="9" t="n">
        <f aca="false">IF($B23="",NA(),$A23)</f>
        <v>18</v>
      </c>
      <c r="DG23" s="22" t="n">
        <f aca="false">IF($BI23="",NA(),$BI23)</f>
        <v>25.7</v>
      </c>
      <c r="DH23" s="22" t="n">
        <f aca="false">IF($N23="",NA(),$N23)</f>
        <v>27.3</v>
      </c>
      <c r="DI23" s="22" t="n">
        <f aca="false">IF(AND($D23="Drift",$N23&lt;&gt;""),$N23,NA())</f>
        <v>27.3</v>
      </c>
      <c r="DJ23" s="22" t="n">
        <f aca="false">IF(AND($D23="Drift",$N23&lt;&gt;""),$N23,"")</f>
        <v>27.3</v>
      </c>
      <c r="DK23" s="9" t="n">
        <f aca="false">IF($DJ23="","",$A23)</f>
        <v>18</v>
      </c>
      <c r="DL23" s="9" t="e">
        <f aca="false">IF($AN23="",NA(),$AM23)</f>
        <v>#N/A</v>
      </c>
      <c r="DM23" s="9" t="e">
        <f aca="false">IF($AN23="",NA(),$AN23)</f>
        <v>#N/A</v>
      </c>
      <c r="DN23" s="9" t="e">
        <f aca="false">IF(AND($D23="Sample",$L23&lt;&gt;""),$L23,NA())</f>
        <v>#N/A</v>
      </c>
      <c r="DO23" s="9" t="e">
        <f aca="false">IF(AND($D23="Sample",$L23&lt;&gt;"",Fits!$B$98&lt;&gt;""),Fits!$B$98,NA())</f>
        <v>#N/A</v>
      </c>
      <c r="DP23" s="24" t="n">
        <f aca="false">IF($AS23="",NA(),$AS23)</f>
        <v>-5.945</v>
      </c>
      <c r="DQ23" s="9" t="e">
        <f aca="false">IF(AND($D23="Drift",$AS23="",$X23&lt;&gt;""),$X23,NA())</f>
        <v>#N/A</v>
      </c>
      <c r="DR23" s="24" t="n">
        <f aca="false">IF(AND($D23="Drift",$Z23&lt;&gt;""),$Z23,NA())</f>
        <v>-6.17766474991262</v>
      </c>
      <c r="DS23" s="9" t="e">
        <f aca="false">IF(AND(OR($D23="Sample",$D23="Check"),$AA23&lt;&gt;""),$AA23,NA())</f>
        <v>#N/A</v>
      </c>
      <c r="DT23" s="25" t="n">
        <f aca="false">IF(OR($B23="",Fits!$B$138=""),NA(),Fits!$B$138)</f>
        <v>1.76</v>
      </c>
      <c r="DU23" s="25" t="n">
        <f aca="false">IF(OR($B23="",Fits!$B$139=""),NA(),Fits!$B$139)</f>
        <v>20.68</v>
      </c>
      <c r="DV23" s="24" t="n">
        <f aca="false">IF($BT23="",NA(),$BT23)</f>
        <v>-1.264</v>
      </c>
      <c r="DW23" s="9" t="e">
        <f aca="false">IF($AP23="",NA(),$AO23)</f>
        <v>#N/A</v>
      </c>
      <c r="DX23" s="9" t="e">
        <f aca="false">IF($AP23="",NA(),$AP23)</f>
        <v>#N/A</v>
      </c>
      <c r="DY23" s="9" t="e">
        <f aca="false">IF(AND($D23="Sample",$P23&lt;&gt;""),$P23,NA())</f>
        <v>#N/A</v>
      </c>
      <c r="DZ23" s="9" t="e">
        <f aca="false">IF(AND($D23="Sample",$P23&lt;&gt;"",Fits!$B$105&lt;&gt;""),Fits!$B$105,NA())</f>
        <v>#N/A</v>
      </c>
      <c r="EA23" s="24" t="n">
        <f aca="false">IF($AT23="",NA(),$AT23)</f>
        <v>-9.46239410905151</v>
      </c>
      <c r="EB23" s="9" t="e">
        <f aca="false">IF(AND($D23="Drift",$AT23="",$AC23&lt;&gt;""),$AC23,NA())</f>
        <v>#N/A</v>
      </c>
      <c r="EC23" s="24" t="n">
        <f aca="false">IF(AND($D23="Drift",$AE23&lt;&gt;""),$AE23,NA())</f>
        <v>-9.42143089586679</v>
      </c>
      <c r="ED23" s="9" t="e">
        <f aca="false">IF(AND(OR($D23="Sample",$D23="Check"),$AF23&lt;&gt;""),$AF23,NA())</f>
        <v>#N/A</v>
      </c>
      <c r="EE23" s="25" t="n">
        <f aca="false">IF(OR($B23="",Fits!$B$158=""),NA(),Fits!$B$158)</f>
        <v>-40.81</v>
      </c>
      <c r="EF23" s="25" t="n">
        <f aca="false">IF(OR($B23="",Fits!$B$159=""),NA(),Fits!$B$159)</f>
        <v>-20.29</v>
      </c>
      <c r="EG23" s="24" t="n">
        <f aca="false">IF($BW23="",NA(),$BW23)</f>
        <v>-25.338</v>
      </c>
      <c r="EH23" s="9" t="e">
        <f aca="false">IF(AND($EN23=1,ISNUMBER($N23)),$N23,NA())</f>
        <v>#N/A</v>
      </c>
      <c r="EI23" s="9" t="n">
        <f aca="false">IF($B23="","",$A23)</f>
        <v>18</v>
      </c>
      <c r="EJ23" s="9" t="n">
        <f aca="false">IF(OR(AND(ISNUMBER($L23),Fits!$B$97&gt;0,$L23&gt;Fits!$B$97),AND(ISNUMBER($P23),Fits!$B$104&gt;0,$P23&gt;Fits!$B$104)),1,0)</f>
        <v>0</v>
      </c>
      <c r="EK23" s="9" t="n">
        <f aca="false">IF(OR($EJ22=1,$EJ21=1),1,0)</f>
        <v>0</v>
      </c>
      <c r="EL23" s="22" t="n">
        <f aca="false">IF(AND($EK23=0,ISNUMBER($N23)),$N23,$EL22)</f>
        <v>27.3</v>
      </c>
      <c r="EM23" s="9" t="str">
        <f aca="false">IF(AND($EK23=1,ISNUMBER($N23),ISNUMBER($EL23)),$N23-$EL23,"")</f>
        <v/>
      </c>
      <c r="EN23" s="9" t="n">
        <f aca="false">IF(Setup!$B$28="",0,IF(ISNUMBER($EM23),IF($EM23&gt;Setup!$B$28,1,0),0))</f>
        <v>0</v>
      </c>
      <c r="EO23" s="9" t="str">
        <f aca="false">IF($EN23=1,COUNTIF($EN$6:$EN23,1),"")</f>
        <v/>
      </c>
      <c r="EP23" s="9" t="n">
        <f aca="false">IF(AND($EJ22=1,OR($D23="Sample",$D23="Check")),1,0)</f>
        <v>0</v>
      </c>
      <c r="EQ23" s="9" t="str">
        <f aca="false">IF(ISNUMBER($BI23),IF(COUNT($BI$6:$BI23)&lt;=5,$BI23,""),"")</f>
        <v/>
      </c>
      <c r="ER23" s="9" t="str">
        <f aca="false">IF(OR(NOT(ISNUMBER($BJ23)),$EK23=1),$ER22,IF($BJ23&lt;=Setup!$B$26,IF($CP22=0,$A23,$ER22),""))</f>
        <v/>
      </c>
    </row>
    <row r="24" customFormat="false" ht="15" hidden="false" customHeight="false" outlineLevel="0" collapsed="false">
      <c r="A24" s="8" t="n">
        <v>19</v>
      </c>
      <c r="B24" s="8" t="str">
        <f aca="false">IFERROR(INDEX(Raw!$B$2:$B$1001,MATCH($A24,Raw!$A$2:$A$1001,0)),"")</f>
        <v>Ace Bypass</v>
      </c>
      <c r="C24" s="9" t="n">
        <f aca="false">IF($B24="","",MAX($CS24:$DE24))</f>
        <v>44</v>
      </c>
      <c r="D24" s="8" t="str">
        <f aca="false">IF($B24="","",IF($C24=0,"Sample",INDEX(Setup!$B$37:$B$49,$C24-36)))</f>
        <v>Exclude</v>
      </c>
      <c r="E24" s="16" t="n">
        <f aca="false">IF($B24="","",IFERROR(IF(INDEX(Raw!$E$2:$E$1001,MATCH($A24,Raw!$A$2:$A$1001,0))=0,"",INDEX(Raw!$E$2:$E$1001,MATCH($A24,Raw!$A$2:$A$1001,0))),""))</f>
        <v>0.454</v>
      </c>
      <c r="F24" s="18"/>
      <c r="G24" s="16" t="n">
        <f aca="false">IF($B24="","",IF($F24&lt;&gt;"",$F24,IF($E24="","",$E24)))</f>
        <v>0.454</v>
      </c>
      <c r="H24" s="9" t="n">
        <f aca="false">IF($B24="","",SUMPRODUCT(MAX((Raw!$A$2:$A$1001=$A24)*(Raw!$R$2:$R$1001="N")*Raw!$D$2:$D$1001)))</f>
        <v>3</v>
      </c>
      <c r="I24" s="9" t="str">
        <f aca="false">IF(OR($H24="",$H24=0),"",$A24&amp;"|N|"&amp;$H24)</f>
        <v>19|N|3</v>
      </c>
      <c r="J24" s="9" t="n">
        <f aca="false">IF($B24="","",SUMPRODUCT(MIN((Raw!$A$2:$A$1001=$A24)*(Raw!$R$2:$R$1001="C")*Raw!$D$2:$D$1001+(1-(Raw!$A$2:$A$1001=$A24)*(Raw!$R$2:$R$1001="C"))*9999)))</f>
        <v>4</v>
      </c>
      <c r="K24" s="9" t="str">
        <f aca="false">IF(OR($J24="",$J24=0,$J24=9999),"",$A24&amp;"|C|"&amp;$J24)</f>
        <v>19|C|4</v>
      </c>
      <c r="L24" s="16" t="n">
        <f aca="false">IF($I24="","",IF(INDEX(Raw!$I$2:$I$1001,MATCH($I24,Raw!$S$2:$S$1001,0))&lt;&gt;0,"",INDEX(Raw!$H$2:$H$1001,MATCH($I24,Raw!$S$2:$S$1001,0))))</f>
        <v>29.846</v>
      </c>
      <c r="M24" s="19" t="n">
        <f aca="false">IF($I24="","",IF(INDEX(Raw!$I$2:$I$1001,MATCH($I24,Raw!$S$2:$S$1001,0))&lt;&gt;0,"",INDEX(Raw!$F$2:$F$1001,MATCH($I24,Raw!$S$2:$S$1001,0))))</f>
        <v>1745</v>
      </c>
      <c r="N24" s="20" t="n">
        <f aca="false">IF($I24="","",IF(INDEX(Raw!$I$2:$I$1001,MATCH($I24,Raw!$S$2:$S$1001,0))&lt;&gt;0,"",INDEX(Raw!$G$2:$G$1001,MATCH($I24,Raw!$S$2:$S$1001,0))))</f>
        <v>26.9</v>
      </c>
      <c r="O24" s="16" t="n">
        <f aca="false">IF($I24="","",IF(INDEX(Raw!$I$2:$I$1001,MATCH($I24,Raw!$S$2:$S$1001,0))&lt;&gt;0,"",INDEX(Raw!$N$2:$N$1001,MATCH($I24,Raw!$S$2:$S$1001,0))))</f>
        <v>-5.941</v>
      </c>
      <c r="P24" s="16" t="n">
        <f aca="false">IF($K24="","",IF(INDEX(Raw!$I$2:$I$1001,MATCH($K24,Raw!$S$2:$S$1001,0))&lt;&gt;0,"",INDEX(Raw!$K$2:$K$1001,MATCH($K24,Raw!$S$2:$S$1001,0))))</f>
        <v>143.731</v>
      </c>
      <c r="Q24" s="19" t="n">
        <f aca="false">IF($K24="","",IF(INDEX(Raw!$I$2:$I$1001,MATCH($K24,Raw!$S$2:$S$1001,0))&lt;&gt;0,"",INDEX(Raw!$J$2:$J$1001,MATCH($K24,Raw!$S$2:$S$1001,0))))</f>
        <v>6256</v>
      </c>
      <c r="R24" s="16" t="n">
        <f aca="false">IF($K24="","",IF(INDEX(Raw!$I$2:$I$1001,MATCH($K24,Raw!$S$2:$S$1001,0))&lt;&gt;0,"",INDEX(Raw!$O$2:$O$1001,MATCH($K24,Raw!$S$2:$S$1001,0))))</f>
        <v>-9.527</v>
      </c>
      <c r="S24" s="21" t="str">
        <f aca="false">IF($B24="","",IF($C24=0,"",IF(INDEX(Setup!$D$37:$D$49,$C24-36)="","",INDEX(Setup!$D$37:$D$49,$C24-36))))</f>
        <v/>
      </c>
      <c r="T24" s="21" t="str">
        <f aca="false">IF($B24="","",IF($C24=0,"",IF(INDEX(Setup!$C$37:$C$49,$C24-36)="","",INDEX(Setup!$C$37:$C$49,$C24-36))))</f>
        <v/>
      </c>
      <c r="U24" s="21" t="n">
        <f aca="false">IF($B24="","",IF($C24=0,"",IF(INDEX(Setup!$F$37:$F$49,$C24-36)="","",INDEX(Setup!$F$37:$F$49,$C24-36))))</f>
        <v>10.36</v>
      </c>
      <c r="V24" s="21" t="n">
        <f aca="false">IF($B24="","",IF($C24=0,"",IF(INDEX(Setup!$E$37:$E$49,$C24-36)="","",INDEX(Setup!$E$37:$E$49,$C24-36))))</f>
        <v>71.09</v>
      </c>
      <c r="W24" s="16" t="n">
        <f aca="false">IF($O24="","",IF(OR(Fits!$C$5&lt;&gt;"Yes",$D24="Blank",$L24&lt;=Fits!$B$6),$O24,($L24*$O24-Fits!$B$6*Fits!$B$7)/($L24-Fits!$B$6)))</f>
        <v>-5.941</v>
      </c>
      <c r="X24" s="16" t="n">
        <f aca="false">IF($W24="","",$W24-Fits!$B$20*($L24-Fits!$B$16))</f>
        <v>-5.941</v>
      </c>
      <c r="Y24" s="22" t="n">
        <f aca="false">IF($W24="","",IF(OR(Fits!$B$38="Row",$BI24=""),$A24,$BI24))</f>
        <v>19</v>
      </c>
      <c r="Z24" s="16" t="n">
        <f aca="false">IF($X24="","",$X24-Fits!$B$39*($Y24-Fits!$B$40))</f>
        <v>-6.15891039991816</v>
      </c>
      <c r="AA24" s="23" t="n">
        <f aca="false">IF(OR($Z24="",Fits!$B$55&lt;2),"",Fits!$B$56*$Z24+Fits!$B$57)</f>
        <v>-5.29545441257719</v>
      </c>
      <c r="AB24" s="16" t="n">
        <f aca="false">IF($R24="","",IF(OR(Fits!$C$9&lt;&gt;"Yes",$D24="Blank",$P24&lt;=Fits!$B$10),$R24,($P24*$R24-Fits!$B$10*Fits!$B$11)/($P24-Fits!$B$10)))</f>
        <v>-9.527</v>
      </c>
      <c r="AC24" s="16" t="n">
        <f aca="false">IF($AB24="","",$AB24-Fits!$B$28*($P24-Fits!$B$24))</f>
        <v>-9.5550142503164</v>
      </c>
      <c r="AD24" s="22" t="n">
        <f aca="false">IF($AB24="","",IF(OR(Fits!$B$50="Row",$BI24=""),$A24,$BI24))</f>
        <v>19</v>
      </c>
      <c r="AE24" s="16" t="n">
        <f aca="false">IF($AC24="","",$AC24-Fits!$B$51*($AD24-Fits!$B$52))</f>
        <v>-9.51664870430924</v>
      </c>
      <c r="AF24" s="23" t="n">
        <f aca="false">IF(OR($AE24="",Fits!$B$62&lt;2),"",Fits!$B$63*$AE24+Fits!$B$64)</f>
        <v>-26.6435558110038</v>
      </c>
      <c r="AG24" s="21" t="n">
        <f aca="false">IF(OR($L24="",Fits!$B$69&lt;3),"",($L24-Fits!$B$71)/Fits!$B$70)</f>
        <v>46.0240414758304</v>
      </c>
      <c r="AH24" s="21" t="n">
        <f aca="false">IF(OR($P24="",Fits!$B$75&lt;3),"",($P24-Fits!$B$77)/Fits!$B$76)</f>
        <v>323.388332774338</v>
      </c>
      <c r="AI24" s="23" t="n">
        <f aca="false">IF(OR($AG24="",$G24="",$G24=0),"",$AG24/($G24*1000)*100)</f>
        <v>10.1374540695662</v>
      </c>
      <c r="AJ24" s="23" t="n">
        <f aca="false">IF(OR($AH24="",$G24="",$G24=0),"",$AH24/($G24*1000)*100)</f>
        <v>71.2309103027176</v>
      </c>
      <c r="AK24" s="23" t="n">
        <f aca="false">IF(OR($AG24="",$AH24="",$AG24&lt;=0),"",($AH24/Setup!$B$52)/($AG24/Setup!$B$53))</f>
        <v>8.1941810725918</v>
      </c>
      <c r="AL24" s="23" t="n">
        <f aca="false">IF(OR($AG24="",$AH24="",$AG24&lt;=0),"",$AH24/$AG24)</f>
        <v>7.0265088072321</v>
      </c>
      <c r="AM24" s="9" t="str">
        <f aca="false">IF($D24="Linearity",IF($L24="","",$L24),"")</f>
        <v/>
      </c>
      <c r="AN24" s="9" t="str">
        <f aca="false">IF($D24="Linearity",IF($W24="","",$W24),"")</f>
        <v/>
      </c>
      <c r="AO24" s="9" t="str">
        <f aca="false">IF($D24="Linearity",IF($P24="","",$P24),"")</f>
        <v/>
      </c>
      <c r="AP24" s="9" t="str">
        <f aca="false">IF($D24="Linearity",IF($AB24="","",$AB24),"")</f>
        <v/>
      </c>
      <c r="AQ24" s="9" t="str">
        <f aca="false">IF($D24="Drift",IF($A24&lt;IF(Setup!$B$14="",0,Setup!$B$14),"",$A24),"")</f>
        <v/>
      </c>
      <c r="AR24" s="9" t="str">
        <f aca="false">IF($D24="Drift",IF($A24&lt;IF(Setup!$B$14="",0,Setup!$B$14),"",IF($BI24="","",$BI24)),"")</f>
        <v/>
      </c>
      <c r="AS24" s="9" t="str">
        <f aca="false">IF($D24="Drift",IF($A24&lt;IF(Setup!$B$14="",0,Setup!$B$14),"",IF(OR($X24="",$BX24=1),"",$X24)),"")</f>
        <v/>
      </c>
      <c r="AT24" s="9" t="str">
        <f aca="false">IF($D24="Drift",IF($A24&lt;IF(Setup!$B$14="",0,Setup!$B$14),"",IF(OR($AC24="",$BY24=1),"",$AC24)),"")</f>
        <v/>
      </c>
      <c r="AU24" s="9" t="str">
        <f aca="false">IF($D24="Anchor",IF(OR($Z24="",$S24=""),"",$Z24),"")</f>
        <v/>
      </c>
      <c r="AV24" s="9" t="str">
        <f aca="false">IF($D24="Anchor",IF(OR($Z24="",$S24=""),"",$S24),"")</f>
        <v/>
      </c>
      <c r="AW24" s="9" t="str">
        <f aca="false">IF($D24="Anchor",IF(OR($AE24="",$T24=""),"",$AE24),"")</f>
        <v/>
      </c>
      <c r="AX24" s="9" t="str">
        <f aca="false">IF($D24="Anchor",IF(OR($AE24="",$T24=""),"",$T24),"")</f>
        <v/>
      </c>
      <c r="AY24" s="9" t="str">
        <f aca="false">IF(OR($D24="Blank",$D24="Exclude",$D24="Sample",$D24="",$G24="",$U24="",$L24=""),"",$G24*1000*$U24/100)</f>
        <v/>
      </c>
      <c r="AZ24" s="9" t="str">
        <f aca="false">IF($AY24="","",$L24)</f>
        <v/>
      </c>
      <c r="BA24" s="9" t="str">
        <f aca="false">IF(OR($D24="Blank",$D24="Exclude",$D24="Sample",$D24="",$G24="",$V24="",$P24=""),"",$G24*1000*$V24/100)</f>
        <v/>
      </c>
      <c r="BB24" s="9" t="str">
        <f aca="false">IF($BA24="","",$P24)</f>
        <v/>
      </c>
      <c r="BC24" s="9" t="str">
        <f aca="false">IF(AND($D24="Blank",$L24&lt;&gt;""),$O24,"")</f>
        <v/>
      </c>
      <c r="BD24" s="9" t="str">
        <f aca="false">IF($BC24="","",$L24)</f>
        <v/>
      </c>
      <c r="BE24" s="9" t="str">
        <f aca="false">IF(AND($D24="Blank",$P24&lt;&gt;""),$R24,"")</f>
        <v/>
      </c>
      <c r="BF24" s="9" t="str">
        <f aca="false">IF($BE24="","",$P24)</f>
        <v/>
      </c>
      <c r="BG24" s="9" t="str">
        <f aca="false">IF(AND($D24="Drift",$BX24&lt;&gt;1),IF($AA24="","",$AA24),"")</f>
        <v/>
      </c>
      <c r="BH24" s="9" t="str">
        <f aca="false">IF(AND($D24="Drift",$BY24&lt;&gt;1),IF($AF24="","",$AF24),"")</f>
        <v/>
      </c>
      <c r="BI24" s="20" t="n">
        <f aca="false">IF($B24="","",IFERROR(INDEX(Raw!$G$2:$G$1001,MATCH($A24&amp;"|N|"&amp;SUMPRODUCT(MAX((Raw!$A$2:$A$1001=$A24)*(Raw!$R$2:$R$1001="N")*(Raw!$I$2:$I$1001=1)*Raw!$D$2:$D$1001)),Raw!$S$2:$S$1001,0)),""))</f>
        <v>25.4</v>
      </c>
      <c r="BJ24" s="21" t="n">
        <f aca="false">IF(OR($BI24="",Fits!$B$85&lt;=0),"",($BI24-Fits!$B$83)/Fits!$B$85)</f>
        <v>0.207207207207207</v>
      </c>
      <c r="BK24" s="9" t="str">
        <f aca="false">IF($AS24="","",IF($A24&gt;=Fits!$B$86,"",$A24))</f>
        <v/>
      </c>
      <c r="BL24" s="9" t="str">
        <f aca="false">IF($BK24="","",$X24)</f>
        <v/>
      </c>
      <c r="BM24" s="9" t="str">
        <f aca="false">IF($AS24="","",IF($A24&lt;Fits!$B$86,"",$A24))</f>
        <v/>
      </c>
      <c r="BN24" s="9" t="str">
        <f aca="false">IF($BM24="","",$X24)</f>
        <v/>
      </c>
      <c r="BO24" s="9" t="str">
        <f aca="false">IF(AND($D24="Drift",$BX24&lt;&gt;1),IF($O24="","",$O24),"")</f>
        <v/>
      </c>
      <c r="BP24" s="9" t="str">
        <f aca="false">IF(AND($D24="Drift",$BX24&lt;&gt;1),IF($W24="","",$W24),"")</f>
        <v/>
      </c>
      <c r="BQ24" s="9" t="str">
        <f aca="false">IF(AND($D24="Drift",$BX24&lt;&gt;1),IF($X24="","",$X24),"")</f>
        <v/>
      </c>
      <c r="BR24" s="9" t="str">
        <f aca="false">IF(AND($D24="Drift",$BX24&lt;&gt;1),IF($Z24="","",$Z24),"")</f>
        <v/>
      </c>
      <c r="BS24" s="9" t="n">
        <f aca="false">IF(OR($B24="",$H24=""),"",SUMPRODUCT(MIN((Raw!$A$2:$A$1001=$A24)*(Raw!$R$2:$R$1001="N")*(Raw!$I$2:$I$1001=0)*(Raw!$D$2:$D$1001&lt;$H24)*Raw!$D$2:$D$1001+(1-(Raw!$A$2:$A$1001=$A24)*(Raw!$R$2:$R$1001="N")*(Raw!$I$2:$I$1001=0)*(Raw!$D$2:$D$1001&lt;$H24))*9999)))</f>
        <v>1</v>
      </c>
      <c r="BT24" s="16" t="n">
        <f aca="false">IF(OR($BS24="",$BS24=9999,$BS24=0),"",IFERROR(INDEX(Raw!$N$2:$N$1001,MATCH($A24&amp;"|N|"&amp;$BS24,Raw!$S$2:$S$1001,0)),""))</f>
        <v>-1.131</v>
      </c>
      <c r="BU24" s="9" t="n">
        <f aca="false">IF($B24="","",SUMPRODUCT(MIN((Raw!$A$2:$A$1001=$A24)*(Raw!$R$2:$R$1001="C")*(Raw!$I$2:$I$1001=1)*Raw!$D$2:$D$1001+(1-(Raw!$A$2:$A$1001=$A24)*(Raw!$R$2:$R$1001="C")*(Raw!$I$2:$I$1001=1))*9999)))</f>
        <v>5</v>
      </c>
      <c r="BV24" s="9" t="n">
        <f aca="false">IF(OR($BU24="",$BU24=9999),"",SUMPRODUCT(MIN((Raw!$A$2:$A$1001=$A24)*(Raw!$R$2:$R$1001="C")*(Raw!$I$2:$I$1001=0)*(Raw!$D$2:$D$1001&gt;$BU24)*Raw!$D$2:$D$1001+(1-(Raw!$A$2:$A$1001=$A24)*(Raw!$R$2:$R$1001="C")*(Raw!$I$2:$I$1001=0)*(Raw!$D$2:$D$1001&gt;$BU24))*9999)))</f>
        <v>6</v>
      </c>
      <c r="BW24" s="16" t="n">
        <f aca="false">IF(OR($BV24="",$BV24=9999,$BV24=0),"",IFERROR(INDEX(Raw!$O$2:$O$1001,MATCH($A24&amp;"|C|"&amp;$BV24,Raw!$S$2:$S$1001,0)),""))</f>
        <v>-25.352</v>
      </c>
      <c r="BX24" s="9" t="n">
        <f aca="false">IF($B24="","",IF(ISNUMBER(SEARCH(","&amp;$A24&amp;",",","&amp;SUBSTITUTE(Setup!$B$16," ","")&amp;",")),1,0))</f>
        <v>0</v>
      </c>
      <c r="BY24" s="9" t="n">
        <f aca="false">IF($B24="","",IF(ISNUMBER(SEARCH(","&amp;$A24&amp;",",","&amp;SUBSTITUTE(Setup!$B$17," ","")&amp;",")),1,0))</f>
        <v>0</v>
      </c>
      <c r="BZ24" s="22" t="str">
        <f aca="false">IF($AS24="","",IF(Fits!$B$38="Row",$AQ24,IF($AR24="","",$AR24)))</f>
        <v/>
      </c>
      <c r="CA24" s="22" t="str">
        <f aca="false">IF($AT24="","",IF(Fits!$B$50="Row",$AQ24,IF($AR24="","",$AR24)))</f>
        <v/>
      </c>
      <c r="CB24" s="20" t="str">
        <f aca="false">IF(OR($D24&lt;&gt;"Drift",$X24="",$A24&lt;IF(Setup!$B$14="",0,Setup!$B$14),Fits!$B$107&lt;3,Fits!$B$110="",Fits!$B$109=0,IF(Fits!$B$38="Row",$AQ24,$AR24)=""),"",IF($BX24=1,IF(OR(Fits!$B$111="",Fits!$B$111=0),"",($X24-(IF(Fits!$B$38="Row",Fits!$B$32,Fits!$B$35)*IF(Fits!$B$38="Row",$AQ24,$AR24)+Fits!$B$110))/(Fits!$B$111*SQRT(1+(1/Fits!$B$107+(IF(Fits!$B$38="Row",$AQ24,$AR24)-Fits!$B$108)^2/Fits!$B$109)))),IF(OR(Fits!$B$107&lt;4,(1/Fits!$B$107+(IF(Fits!$B$38="Row",$AQ24,$AR24)-Fits!$B$108)^2/Fits!$B$109)&gt;=1),"",IF((Fits!$B$116-($X24-(IF(Fits!$B$38="Row",Fits!$B$32,Fits!$B$35)*IF(Fits!$B$38="Row",$AQ24,$AR24)+Fits!$B$110))^2/(1-(1/Fits!$B$107+(IF(Fits!$B$38="Row",$AQ24,$AR24)-Fits!$B$108)^2/Fits!$B$109)))&lt;=0,"",($X24-(IF(Fits!$B$38="Row",Fits!$B$32,Fits!$B$35)*IF(Fits!$B$38="Row",$AQ24,$AR24)+Fits!$B$110))/(SQRT((Fits!$B$116-($X24-(IF(Fits!$B$38="Row",Fits!$B$32,Fits!$B$35)*IF(Fits!$B$38="Row",$AQ24,$AR24)+Fits!$B$110))^2/(1-(1/Fits!$B$107+(IF(Fits!$B$38="Row",$AQ24,$AR24)-Fits!$B$108)^2/Fits!$B$109)))/(Fits!$B$107-3))*SQRT(1-(1/Fits!$B$107+(IF(Fits!$B$38="Row",$AQ24,$AR24)-Fits!$B$108)^2/Fits!$B$109)))))))</f>
        <v/>
      </c>
      <c r="CC24" s="20" t="str">
        <f aca="false">IF(OR($D24&lt;&gt;"Drift",$AC24="",$A24&lt;IF(Setup!$B$14="",0,Setup!$B$14),Fits!$B$120&lt;3,Fits!$B$123="",Fits!$B$122=0,IF(Fits!$B$50="Row",$AQ24,$AR24)=""),"",IF($BY24=1,IF(OR(Fits!$B$124="",Fits!$B$124=0),"",($AC24-(IF(Fits!$B$50="Row",Fits!$B$44,Fits!$B$47)*IF(Fits!$B$50="Row",$AQ24,$AR24)+Fits!$B$123))/(Fits!$B$124*SQRT(1+(1/Fits!$B$120+(IF(Fits!$B$50="Row",$AQ24,$AR24)-Fits!$B$121)^2/Fits!$B$122)))),IF(OR(Fits!$B$120&lt;4,(1/Fits!$B$120+(IF(Fits!$B$50="Row",$AQ24,$AR24)-Fits!$B$121)^2/Fits!$B$122)&gt;=1),"",IF((Fits!$B$129-($AC24-(IF(Fits!$B$50="Row",Fits!$B$44,Fits!$B$47)*IF(Fits!$B$50="Row",$AQ24,$AR24)+Fits!$B$123))^2/(1-(1/Fits!$B$120+(IF(Fits!$B$50="Row",$AQ24,$AR24)-Fits!$B$121)^2/Fits!$B$122)))&lt;=0,"",($AC24-(IF(Fits!$B$50="Row",Fits!$B$44,Fits!$B$47)*IF(Fits!$B$50="Row",$AQ24,$AR24)+Fits!$B$123))/(SQRT((Fits!$B$129-($AC24-(IF(Fits!$B$50="Row",Fits!$B$44,Fits!$B$47)*IF(Fits!$B$50="Row",$AQ24,$AR24)+Fits!$B$123))^2/(1-(1/Fits!$B$120+(IF(Fits!$B$50="Row",$AQ24,$AR24)-Fits!$B$121)^2/Fits!$B$122)))/(Fits!$B$120-3))*SQRT(1-(1/Fits!$B$120+(IF(Fits!$B$50="Row",$AQ24,$AR24)-Fits!$B$121)^2/Fits!$B$122)))))))</f>
        <v/>
      </c>
      <c r="CD24" s="9" t="str">
        <f aca="false">IF($AU24="","",1)</f>
        <v/>
      </c>
      <c r="CE24" s="24" t="str">
        <f aca="false">IF($AU24="","",$AU24-Fits!$B$133)</f>
        <v/>
      </c>
      <c r="CF24" s="24" t="str">
        <f aca="false">IF($AU24="","",($AV24-(Fits!$B$56*$AU24+Fits!$B$57))-Fits!$B$56*($AU24-Fits!$B$133))</f>
        <v/>
      </c>
      <c r="CG24" s="25" t="str">
        <f aca="false">IF($AU24="","",$AU24^2)</f>
        <v/>
      </c>
      <c r="CH24" s="9" t="str">
        <f aca="false">IF($AW24="","",1)</f>
        <v/>
      </c>
      <c r="CI24" s="24" t="str">
        <f aca="false">IF($AW24="","",$AW24-Fits!$B$153)</f>
        <v/>
      </c>
      <c r="CJ24" s="24" t="str">
        <f aca="false">IF($AW24="","",($AX24-(Fits!$B$63*$AW24+Fits!$B$64))-Fits!$B$63*($AW24-Fits!$B$153))</f>
        <v/>
      </c>
      <c r="CK24" s="25" t="str">
        <f aca="false">IF($AW24="","",$AW24^2)</f>
        <v/>
      </c>
      <c r="CL24" s="26" t="n">
        <f aca="false">IF(OR($Z24="",Fits!$B$55&lt;3,Fits!$B$133="",Fits!$B$134="",Fits!$B$134=0,Fits!$B$136=""),"",SQRT((Fits!$B$136*Fits!$B$56)^2+SUMPRODUCT((Fits!$J$163:$J$175*(Fits!$B$163:$B$175/Fits!$B$55+Fits!$H$163:$H$175*($Z24-Fits!$B$133)/Fits!$B$134))^2)+SUMPRODUCT((Fits!$G$163:$G$175*(($Z24-Fits!$B$133)*Fits!$I$163:$I$175/Fits!$B$134-Fits!$B$163:$B$175*Fits!$B$56/Fits!$B$55))^2)))</f>
        <v>0.256266161998815</v>
      </c>
      <c r="CM24" s="26" t="n">
        <f aca="false">IF($CL24="","",Setup!$B$32*$CL24)</f>
        <v>0.512532323997631</v>
      </c>
      <c r="CN24" s="26" t="n">
        <f aca="false">IF(OR($AE24="",Fits!$B$62&lt;3,Fits!$B$153="",Fits!$B$154="",Fits!$B$154=0,Fits!$B$156=""),"",SQRT((Fits!$B$156*Fits!$B$63)^2+SUMPRODUCT((Fits!$J$183:$J$195*(Fits!$B$183:$B$195/Fits!$B$62+Fits!$H$183:$H$195*($AE24-Fits!$B$153)/Fits!$B$154))^2)+SUMPRODUCT((Fits!$G$183:$G$195*(($AE24-Fits!$B$153)*Fits!$I$183:$I$195/Fits!$B$154-Fits!$B$183:$B$195*Fits!$B$63/Fits!$B$62))^2)))</f>
        <v>0.0378559428013165</v>
      </c>
      <c r="CO24" s="26" t="n">
        <f aca="false">IF($CN24="","",Setup!$B$32*$CN24)</f>
        <v>0.0757118856026331</v>
      </c>
      <c r="CP24" s="9" t="n">
        <f aca="false">IF(OR(NOT(ISNUMBER($BJ24)),$EK24=1),$CP23,IF($BJ24&lt;=Setup!$B$26,$CP23+1,0))</f>
        <v>0</v>
      </c>
      <c r="CQ24" s="9" t="n">
        <f aca="false">IF($BT24="","",$A24)</f>
        <v>19</v>
      </c>
      <c r="CR24" s="9" t="n">
        <f aca="false">IF($BW24="","",$A24)</f>
        <v>19</v>
      </c>
      <c r="CS24" s="9" t="n">
        <f aca="false">IF($B24="","",IF(Setup!$A$37="",0,IF(ISNUMBER(SEARCH(Setup!$A$37,$B24)),37,0)))</f>
        <v>0</v>
      </c>
      <c r="CT24" s="9" t="n">
        <f aca="false">IF($B24="","",IF(Setup!$A$38="",0,IF(ISNUMBER(SEARCH(Setup!$A$38,$B24)),38,0)))</f>
        <v>0</v>
      </c>
      <c r="CU24" s="9" t="n">
        <f aca="false">IF($B24="","",IF(Setup!$A$39="",0,IF(ISNUMBER(SEARCH(Setup!$A$39,$B24)),39,0)))</f>
        <v>0</v>
      </c>
      <c r="CV24" s="9" t="n">
        <f aca="false">IF($B24="","",IF(Setup!$A$40="",0,IF(ISNUMBER(SEARCH(Setup!$A$40,$B24)),40,0)))</f>
        <v>0</v>
      </c>
      <c r="CW24" s="9" t="n">
        <f aca="false">IF($B24="","",IF(Setup!$A$41="",0,IF(ISNUMBER(SEARCH(Setup!$A$41,$B24)),41,0)))</f>
        <v>0</v>
      </c>
      <c r="CX24" s="9" t="n">
        <f aca="false">IF($B24="","",IF(Setup!$A$42="",0,IF(ISNUMBER(SEARCH(Setup!$A$42,$B24)),42,0)))</f>
        <v>0</v>
      </c>
      <c r="CY24" s="9" t="n">
        <f aca="false">IF($B24="","",IF(Setup!$A$43="",0,IF(ISNUMBER(SEARCH(Setup!$A$43,$B24)),43,0)))</f>
        <v>0</v>
      </c>
      <c r="CZ24" s="9" t="n">
        <f aca="false">IF($B24="","",IF(Setup!$A$44="",0,IF(ISNUMBER(SEARCH(Setup!$A$44,$B24)),44,0)))</f>
        <v>44</v>
      </c>
      <c r="DA24" s="9" t="n">
        <f aca="false">IF($B24="","",IF(Setup!$A$45="",0,IF(ISNUMBER(SEARCH(Setup!$A$45,$B24)),45,0)))</f>
        <v>0</v>
      </c>
      <c r="DB24" s="9" t="n">
        <f aca="false">IF($B24="","",IF(Setup!$A$46="",0,IF(ISNUMBER(SEARCH(Setup!$A$46,$B24)),46,0)))</f>
        <v>0</v>
      </c>
      <c r="DC24" s="9" t="n">
        <f aca="false">IF($B24="","",IF(Setup!$A$47="",0,IF(ISNUMBER(SEARCH(Setup!$A$47,$B24)),47,0)))</f>
        <v>0</v>
      </c>
      <c r="DD24" s="9" t="n">
        <f aca="false">IF($B24="","",IF(Setup!$A$48="",0,IF(ISNUMBER(SEARCH(Setup!$A$48,$B24)),48,0)))</f>
        <v>0</v>
      </c>
      <c r="DE24" s="9" t="n">
        <f aca="false">IF($B24="","",IF(Setup!$A$49="",0,IF(ISNUMBER(SEARCH(Setup!$A$49,$B24)),49,0)))</f>
        <v>0</v>
      </c>
      <c r="DF24" s="9" t="n">
        <f aca="false">IF($B24="",NA(),$A24)</f>
        <v>19</v>
      </c>
      <c r="DG24" s="22" t="n">
        <f aca="false">IF($BI24="",NA(),$BI24)</f>
        <v>25.4</v>
      </c>
      <c r="DH24" s="22" t="n">
        <f aca="false">IF($N24="",NA(),$N24)</f>
        <v>26.9</v>
      </c>
      <c r="DI24" s="9" t="e">
        <f aca="false">IF(AND($D24="Drift",$N24&lt;&gt;""),$N24,NA())</f>
        <v>#N/A</v>
      </c>
      <c r="DJ24" s="9" t="str">
        <f aca="false">IF(AND($D24="Drift",$N24&lt;&gt;""),$N24,"")</f>
        <v/>
      </c>
      <c r="DK24" s="9" t="str">
        <f aca="false">IF($DJ24="","",$A24)</f>
        <v/>
      </c>
      <c r="DL24" s="9" t="e">
        <f aca="false">IF($AN24="",NA(),$AM24)</f>
        <v>#N/A</v>
      </c>
      <c r="DM24" s="9" t="e">
        <f aca="false">IF($AN24="",NA(),$AN24)</f>
        <v>#N/A</v>
      </c>
      <c r="DN24" s="9" t="e">
        <f aca="false">IF(AND($D24="Sample",$L24&lt;&gt;""),$L24,NA())</f>
        <v>#N/A</v>
      </c>
      <c r="DO24" s="9" t="e">
        <f aca="false">IF(AND($D24="Sample",$L24&lt;&gt;"",Fits!$B$98&lt;&gt;""),Fits!$B$98,NA())</f>
        <v>#N/A</v>
      </c>
      <c r="DP24" s="9" t="e">
        <f aca="false">IF($AS24="",NA(),$AS24)</f>
        <v>#N/A</v>
      </c>
      <c r="DQ24" s="9" t="e">
        <f aca="false">IF(AND($D24="Drift",$AS24="",$X24&lt;&gt;""),$X24,NA())</f>
        <v>#N/A</v>
      </c>
      <c r="DR24" s="9" t="e">
        <f aca="false">IF(AND($D24="Drift",$Z24&lt;&gt;""),$Z24,NA())</f>
        <v>#N/A</v>
      </c>
      <c r="DS24" s="9" t="e">
        <f aca="false">IF(AND(OR($D24="Sample",$D24="Check"),$AA24&lt;&gt;""),$AA24,NA())</f>
        <v>#N/A</v>
      </c>
      <c r="DT24" s="25" t="n">
        <f aca="false">IF(OR($B24="",Fits!$B$138=""),NA(),Fits!$B$138)</f>
        <v>1.76</v>
      </c>
      <c r="DU24" s="25" t="n">
        <f aca="false">IF(OR($B24="",Fits!$B$139=""),NA(),Fits!$B$139)</f>
        <v>20.68</v>
      </c>
      <c r="DV24" s="24" t="n">
        <f aca="false">IF($BT24="",NA(),$BT24)</f>
        <v>-1.131</v>
      </c>
      <c r="DW24" s="9" t="e">
        <f aca="false">IF($AP24="",NA(),$AO24)</f>
        <v>#N/A</v>
      </c>
      <c r="DX24" s="9" t="e">
        <f aca="false">IF($AP24="",NA(),$AP24)</f>
        <v>#N/A</v>
      </c>
      <c r="DY24" s="9" t="e">
        <f aca="false">IF(AND($D24="Sample",$P24&lt;&gt;""),$P24,NA())</f>
        <v>#N/A</v>
      </c>
      <c r="DZ24" s="9" t="e">
        <f aca="false">IF(AND($D24="Sample",$P24&lt;&gt;"",Fits!$B$105&lt;&gt;""),Fits!$B$105,NA())</f>
        <v>#N/A</v>
      </c>
      <c r="EA24" s="9" t="e">
        <f aca="false">IF($AT24="",NA(),$AT24)</f>
        <v>#N/A</v>
      </c>
      <c r="EB24" s="9" t="e">
        <f aca="false">IF(AND($D24="Drift",$AT24="",$AC24&lt;&gt;""),$AC24,NA())</f>
        <v>#N/A</v>
      </c>
      <c r="EC24" s="9" t="e">
        <f aca="false">IF(AND($D24="Drift",$AE24&lt;&gt;""),$AE24,NA())</f>
        <v>#N/A</v>
      </c>
      <c r="ED24" s="9" t="e">
        <f aca="false">IF(AND(OR($D24="Sample",$D24="Check"),$AF24&lt;&gt;""),$AF24,NA())</f>
        <v>#N/A</v>
      </c>
      <c r="EE24" s="25" t="n">
        <f aca="false">IF(OR($B24="",Fits!$B$158=""),NA(),Fits!$B$158)</f>
        <v>-40.81</v>
      </c>
      <c r="EF24" s="25" t="n">
        <f aca="false">IF(OR($B24="",Fits!$B$159=""),NA(),Fits!$B$159)</f>
        <v>-20.29</v>
      </c>
      <c r="EG24" s="24" t="n">
        <f aca="false">IF($BW24="",NA(),$BW24)</f>
        <v>-25.352</v>
      </c>
      <c r="EH24" s="9" t="e">
        <f aca="false">IF(AND($EN24=1,ISNUMBER($N24)),$N24,NA())</f>
        <v>#N/A</v>
      </c>
      <c r="EI24" s="9" t="n">
        <f aca="false">IF($B24="","",$A24)</f>
        <v>19</v>
      </c>
      <c r="EJ24" s="9" t="n">
        <f aca="false">IF(OR(AND(ISNUMBER($L24),Fits!$B$97&gt;0,$L24&gt;Fits!$B$97),AND(ISNUMBER($P24),Fits!$B$104&gt;0,$P24&gt;Fits!$B$104)),1,0)</f>
        <v>0</v>
      </c>
      <c r="EK24" s="9" t="n">
        <f aca="false">IF(OR($EJ23=1,$EJ22=1),1,0)</f>
        <v>0</v>
      </c>
      <c r="EL24" s="22" t="n">
        <f aca="false">IF(AND($EK24=0,ISNUMBER($N24)),$N24,$EL23)</f>
        <v>26.9</v>
      </c>
      <c r="EM24" s="9" t="str">
        <f aca="false">IF(AND($EK24=1,ISNUMBER($N24),ISNUMBER($EL24)),$N24-$EL24,"")</f>
        <v/>
      </c>
      <c r="EN24" s="9" t="n">
        <f aca="false">IF(Setup!$B$28="",0,IF(ISNUMBER($EM24),IF($EM24&gt;Setup!$B$28,1,0),0))</f>
        <v>0</v>
      </c>
      <c r="EO24" s="9" t="str">
        <f aca="false">IF($EN24=1,COUNTIF($EN$6:$EN24,1),"")</f>
        <v/>
      </c>
      <c r="EP24" s="9" t="n">
        <f aca="false">IF(AND($EJ23=1,OR($D24="Sample",$D24="Check")),1,0)</f>
        <v>0</v>
      </c>
      <c r="EQ24" s="9" t="str">
        <f aca="false">IF(ISNUMBER($BI24),IF(COUNT($BI$6:$BI24)&lt;=5,$BI24,""),"")</f>
        <v/>
      </c>
      <c r="ER24" s="9" t="str">
        <f aca="false">IF(OR(NOT(ISNUMBER($BJ24)),$EK24=1),$ER23,IF($BJ24&lt;=Setup!$B$26,IF($CP23=0,$A24,$ER23),""))</f>
        <v/>
      </c>
    </row>
    <row r="25" customFormat="false" ht="15" hidden="false" customHeight="false" outlineLevel="0" collapsed="false">
      <c r="A25" s="8" t="n">
        <v>20</v>
      </c>
      <c r="B25" s="8" t="str">
        <f aca="false">IFERROR(INDEX(Raw!$B$2:$B$1001,MATCH($A25,Raw!$A$2:$A$1001,0)),"")</f>
        <v>Random</v>
      </c>
      <c r="C25" s="9" t="n">
        <f aca="false">IF($B25="","",MAX($CS25:$DE25))</f>
        <v>0</v>
      </c>
      <c r="D25" s="8" t="str">
        <f aca="false">IF($B25="","",IF($C25=0,"Sample",INDEX(Setup!$B$37:$B$49,$C25-36)))</f>
        <v>Sample</v>
      </c>
      <c r="E25" s="16" t="str">
        <f aca="false">IF($B25="","",IFERROR(IF(INDEX(Raw!$E$2:$E$1001,MATCH($A25,Raw!$A$2:$A$1001,0))=0,"",INDEX(Raw!$E$2:$E$1001,MATCH($A25,Raw!$A$2:$A$1001,0))),""))</f>
        <v/>
      </c>
      <c r="F25" s="18"/>
      <c r="G25" s="16" t="str">
        <f aca="false">IF($B25="","",IF($F25&lt;&gt;"",$F25,IF($E25="","",$E25)))</f>
        <v/>
      </c>
      <c r="H25" s="9" t="n">
        <f aca="false">IF($B25="","",SUMPRODUCT(MAX((Raw!$A$2:$A$1001=$A25)*(Raw!$R$2:$R$1001="N")*Raw!$D$2:$D$1001)))</f>
        <v>3</v>
      </c>
      <c r="I25" s="9" t="str">
        <f aca="false">IF(OR($H25="",$H25=0),"",$A25&amp;"|N|"&amp;$H25)</f>
        <v>20|N|3</v>
      </c>
      <c r="J25" s="9" t="n">
        <f aca="false">IF($B25="","",SUMPRODUCT(MIN((Raw!$A$2:$A$1001=$A25)*(Raw!$R$2:$R$1001="C")*Raw!$D$2:$D$1001+(1-(Raw!$A$2:$A$1001=$A25)*(Raw!$R$2:$R$1001="C"))*9999)))</f>
        <v>4</v>
      </c>
      <c r="K25" s="9" t="str">
        <f aca="false">IF(OR($J25="",$J25=0,$J25=9999),"",$A25&amp;"|C|"&amp;$J25)</f>
        <v>20|C|4</v>
      </c>
      <c r="L25" s="16" t="n">
        <f aca="false">IF($I25="","",IF(INDEX(Raw!$I$2:$I$1001,MATCH($I25,Raw!$S$2:$S$1001,0))&lt;&gt;0,"",INDEX(Raw!$H$2:$H$1001,MATCH($I25,Raw!$S$2:$S$1001,0))))</f>
        <v>29.179</v>
      </c>
      <c r="M25" s="19" t="n">
        <f aca="false">IF($I25="","",IF(INDEX(Raw!$I$2:$I$1001,MATCH($I25,Raw!$S$2:$S$1001,0))&lt;&gt;0,"",INDEX(Raw!$F$2:$F$1001,MATCH($I25,Raw!$S$2:$S$1001,0))))</f>
        <v>1705</v>
      </c>
      <c r="N25" s="20" t="n">
        <f aca="false">IF($I25="","",IF(INDEX(Raw!$I$2:$I$1001,MATCH($I25,Raw!$S$2:$S$1001,0))&lt;&gt;0,"",INDEX(Raw!$G$2:$G$1001,MATCH($I25,Raw!$S$2:$S$1001,0))))</f>
        <v>26.7</v>
      </c>
      <c r="O25" s="16" t="n">
        <f aca="false">IF($I25="","",IF(INDEX(Raw!$I$2:$I$1001,MATCH($I25,Raw!$S$2:$S$1001,0))&lt;&gt;0,"",INDEX(Raw!$N$2:$N$1001,MATCH($I25,Raw!$S$2:$S$1001,0))))</f>
        <v>-5.819</v>
      </c>
      <c r="P25" s="16" t="n">
        <f aca="false">IF($K25="","",IF(INDEX(Raw!$I$2:$I$1001,MATCH($K25,Raw!$S$2:$S$1001,0))&lt;&gt;0,"",INDEX(Raw!$K$2:$K$1001,MATCH($K25,Raw!$S$2:$S$1001,0))))</f>
        <v>139.977</v>
      </c>
      <c r="Q25" s="19" t="n">
        <f aca="false">IF($K25="","",IF(INDEX(Raw!$I$2:$I$1001,MATCH($K25,Raw!$S$2:$S$1001,0))&lt;&gt;0,"",INDEX(Raw!$J$2:$J$1001,MATCH($K25,Raw!$S$2:$S$1001,0))))</f>
        <v>6159</v>
      </c>
      <c r="R25" s="16" t="n">
        <f aca="false">IF($K25="","",IF(INDEX(Raw!$I$2:$I$1001,MATCH($K25,Raw!$S$2:$S$1001,0))&lt;&gt;0,"",INDEX(Raw!$O$2:$O$1001,MATCH($K25,Raw!$S$2:$S$1001,0))))</f>
        <v>-9.593</v>
      </c>
      <c r="S25" s="21" t="str">
        <f aca="false">IF($B25="","",IF($C25=0,"",IF(INDEX(Setup!$D$37:$D$49,$C25-36)="","",INDEX(Setup!$D$37:$D$49,$C25-36))))</f>
        <v/>
      </c>
      <c r="T25" s="21" t="str">
        <f aca="false">IF($B25="","",IF($C25=0,"",IF(INDEX(Setup!$C$37:$C$49,$C25-36)="","",INDEX(Setup!$C$37:$C$49,$C25-36))))</f>
        <v/>
      </c>
      <c r="U25" s="21" t="str">
        <f aca="false">IF($B25="","",IF($C25=0,"",IF(INDEX(Setup!$F$37:$F$49,$C25-36)="","",INDEX(Setup!$F$37:$F$49,$C25-36))))</f>
        <v/>
      </c>
      <c r="V25" s="21" t="str">
        <f aca="false">IF($B25="","",IF($C25=0,"",IF(INDEX(Setup!$E$37:$E$49,$C25-36)="","",INDEX(Setup!$E$37:$E$49,$C25-36))))</f>
        <v/>
      </c>
      <c r="W25" s="16" t="n">
        <f aca="false">IF($O25="","",IF(OR(Fits!$C$5&lt;&gt;"Yes",$D25="Blank",$L25&lt;=Fits!$B$6),$O25,($L25*$O25-Fits!$B$6*Fits!$B$7)/($L25-Fits!$B$6)))</f>
        <v>-5.819</v>
      </c>
      <c r="X25" s="16" t="n">
        <f aca="false">IF($W25="","",$W25-Fits!$B$20*($L25-Fits!$B$16))</f>
        <v>-5.819</v>
      </c>
      <c r="Y25" s="22" t="n">
        <f aca="false">IF($W25="","",IF(OR(Fits!$B$38="Row",$BI25=""),$A25,$BI25))</f>
        <v>20</v>
      </c>
      <c r="Z25" s="16" t="n">
        <f aca="false">IF($X25="","",$X25-Fits!$B$39*($Y25-Fits!$B$40))</f>
        <v>-6.0221560499237</v>
      </c>
      <c r="AA25" s="23" t="n">
        <f aca="false">IF(OR($Z25="",Fits!$B$55&lt;2),"",Fits!$B$56*$Z25+Fits!$B$57)</f>
        <v>-5.15506270552128</v>
      </c>
      <c r="AB25" s="16" t="n">
        <f aca="false">IF($R25="","",IF(OR(Fits!$C$9&lt;&gt;"Yes",$D25="Blank",$P25&lt;=Fits!$B$10),$R25,($P25*$R25-Fits!$B$10*Fits!$B$11)/($P25-Fits!$B$10)))</f>
        <v>-9.593</v>
      </c>
      <c r="AC25" s="16" t="n">
        <f aca="false">IF($AB25="","",$AB25-Fits!$B$28*($P25-Fits!$B$24))</f>
        <v>-9.61450950340514</v>
      </c>
      <c r="AD25" s="22" t="n">
        <f aca="false">IF($AB25="","",IF(OR(Fits!$B$50="Row",$BI25=""),$A25,$BI25))</f>
        <v>20</v>
      </c>
      <c r="AE25" s="16" t="n">
        <f aca="false">IF($AC25="","",$AC25-Fits!$B$51*($AD25-Fits!$B$52))</f>
        <v>-9.57874162457555</v>
      </c>
      <c r="AF25" s="23" t="n">
        <f aca="false">IF(OR($AE25="",Fits!$B$62&lt;2),"",Fits!$B$63*$AE25+Fits!$B$64)</f>
        <v>-26.7065273827704</v>
      </c>
      <c r="AG25" s="21" t="n">
        <f aca="false">IF(OR($L25="",Fits!$B$69&lt;3),"",($L25-Fits!$B$71)/Fits!$B$70)</f>
        <v>44.9222185872125</v>
      </c>
      <c r="AH25" s="21" t="n">
        <f aca="false">IF(OR($P25="",Fits!$B$75&lt;3),"",($P25-Fits!$B$77)/Fits!$B$76)</f>
        <v>314.838020656222</v>
      </c>
      <c r="AI25" s="23" t="str">
        <f aca="false">IF(OR($AG25="",$G25="",$G25=0),"",$AG25/($G25*1000)*100)</f>
        <v/>
      </c>
      <c r="AJ25" s="23" t="str">
        <f aca="false">IF(OR($AH25="",$G25="",$G25=0),"",$AH25/($G25*1000)*100)</f>
        <v/>
      </c>
      <c r="AK25" s="23" t="n">
        <f aca="false">IF(OR($AG25="",$AH25="",$AG25&lt;=0),"",($AH25/Setup!$B$52)/($AG25/Setup!$B$53))</f>
        <v>8.17319646156837</v>
      </c>
      <c r="AL25" s="23" t="n">
        <f aca="false">IF(OR($AG25="",$AH25="",$AG25&lt;=0),"",$AH25/$AG25)</f>
        <v>7.00851450702489</v>
      </c>
      <c r="AM25" s="9" t="str">
        <f aca="false">IF($D25="Linearity",IF($L25="","",$L25),"")</f>
        <v/>
      </c>
      <c r="AN25" s="9" t="str">
        <f aca="false">IF($D25="Linearity",IF($W25="","",$W25),"")</f>
        <v/>
      </c>
      <c r="AO25" s="9" t="str">
        <f aca="false">IF($D25="Linearity",IF($P25="","",$P25),"")</f>
        <v/>
      </c>
      <c r="AP25" s="9" t="str">
        <f aca="false">IF($D25="Linearity",IF($AB25="","",$AB25),"")</f>
        <v/>
      </c>
      <c r="AQ25" s="9" t="str">
        <f aca="false">IF($D25="Drift",IF($A25&lt;IF(Setup!$B$14="",0,Setup!$B$14),"",$A25),"")</f>
        <v/>
      </c>
      <c r="AR25" s="9" t="str">
        <f aca="false">IF($D25="Drift",IF($A25&lt;IF(Setup!$B$14="",0,Setup!$B$14),"",IF($BI25="","",$BI25)),"")</f>
        <v/>
      </c>
      <c r="AS25" s="9" t="str">
        <f aca="false">IF($D25="Drift",IF($A25&lt;IF(Setup!$B$14="",0,Setup!$B$14),"",IF(OR($X25="",$BX25=1),"",$X25)),"")</f>
        <v/>
      </c>
      <c r="AT25" s="9" t="str">
        <f aca="false">IF($D25="Drift",IF($A25&lt;IF(Setup!$B$14="",0,Setup!$B$14),"",IF(OR($AC25="",$BY25=1),"",$AC25)),"")</f>
        <v/>
      </c>
      <c r="AU25" s="9" t="str">
        <f aca="false">IF($D25="Anchor",IF(OR($Z25="",$S25=""),"",$Z25),"")</f>
        <v/>
      </c>
      <c r="AV25" s="9" t="str">
        <f aca="false">IF($D25="Anchor",IF(OR($Z25="",$S25=""),"",$S25),"")</f>
        <v/>
      </c>
      <c r="AW25" s="9" t="str">
        <f aca="false">IF($D25="Anchor",IF(OR($AE25="",$T25=""),"",$AE25),"")</f>
        <v/>
      </c>
      <c r="AX25" s="9" t="str">
        <f aca="false">IF($D25="Anchor",IF(OR($AE25="",$T25=""),"",$T25),"")</f>
        <v/>
      </c>
      <c r="AY25" s="9" t="str">
        <f aca="false">IF(OR($D25="Blank",$D25="Exclude",$D25="Sample",$D25="",$G25="",$U25="",$L25=""),"",$G25*1000*$U25/100)</f>
        <v/>
      </c>
      <c r="AZ25" s="9" t="str">
        <f aca="false">IF($AY25="","",$L25)</f>
        <v/>
      </c>
      <c r="BA25" s="9" t="str">
        <f aca="false">IF(OR($D25="Blank",$D25="Exclude",$D25="Sample",$D25="",$G25="",$V25="",$P25=""),"",$G25*1000*$V25/100)</f>
        <v/>
      </c>
      <c r="BB25" s="9" t="str">
        <f aca="false">IF($BA25="","",$P25)</f>
        <v/>
      </c>
      <c r="BC25" s="9" t="str">
        <f aca="false">IF(AND($D25="Blank",$L25&lt;&gt;""),$O25,"")</f>
        <v/>
      </c>
      <c r="BD25" s="9" t="str">
        <f aca="false">IF($BC25="","",$L25)</f>
        <v/>
      </c>
      <c r="BE25" s="9" t="str">
        <f aca="false">IF(AND($D25="Blank",$P25&lt;&gt;""),$R25,"")</f>
        <v/>
      </c>
      <c r="BF25" s="9" t="str">
        <f aca="false">IF($BE25="","",$P25)</f>
        <v/>
      </c>
      <c r="BG25" s="9" t="str">
        <f aca="false">IF(AND($D25="Drift",$BX25&lt;&gt;1),IF($AA25="","",$AA25),"")</f>
        <v/>
      </c>
      <c r="BH25" s="9" t="str">
        <f aca="false">IF(AND($D25="Drift",$BY25&lt;&gt;1),IF($AF25="","",$AF25),"")</f>
        <v/>
      </c>
      <c r="BI25" s="20" t="n">
        <f aca="false">IF($B25="","",IFERROR(INDEX(Raw!$G$2:$G$1001,MATCH($A25&amp;"|N|"&amp;SUMPRODUCT(MAX((Raw!$A$2:$A$1001=$A25)*(Raw!$R$2:$R$1001="N")*(Raw!$I$2:$I$1001=1)*Raw!$D$2:$D$1001)),Raw!$S$2:$S$1001,0)),""))</f>
        <v>25.3</v>
      </c>
      <c r="BJ25" s="21" t="n">
        <f aca="false">IF(OR($BI25="",Fits!$B$85&lt;=0),"",($BI25-Fits!$B$83)/Fits!$B$85)</f>
        <v>0.198198198198198</v>
      </c>
      <c r="BK25" s="9" t="str">
        <f aca="false">IF($AS25="","",IF($A25&gt;=Fits!$B$86,"",$A25))</f>
        <v/>
      </c>
      <c r="BL25" s="9" t="str">
        <f aca="false">IF($BK25="","",$X25)</f>
        <v/>
      </c>
      <c r="BM25" s="9" t="str">
        <f aca="false">IF($AS25="","",IF($A25&lt;Fits!$B$86,"",$A25))</f>
        <v/>
      </c>
      <c r="BN25" s="9" t="str">
        <f aca="false">IF($BM25="","",$X25)</f>
        <v/>
      </c>
      <c r="BO25" s="9" t="str">
        <f aca="false">IF(AND($D25="Drift",$BX25&lt;&gt;1),IF($O25="","",$O25),"")</f>
        <v/>
      </c>
      <c r="BP25" s="9" t="str">
        <f aca="false">IF(AND($D25="Drift",$BX25&lt;&gt;1),IF($W25="","",$W25),"")</f>
        <v/>
      </c>
      <c r="BQ25" s="9" t="str">
        <f aca="false">IF(AND($D25="Drift",$BX25&lt;&gt;1),IF($X25="","",$X25),"")</f>
        <v/>
      </c>
      <c r="BR25" s="9" t="str">
        <f aca="false">IF(AND($D25="Drift",$BX25&lt;&gt;1),IF($Z25="","",$Z25),"")</f>
        <v/>
      </c>
      <c r="BS25" s="9" t="n">
        <f aca="false">IF(OR($B25="",$H25=""),"",SUMPRODUCT(MIN((Raw!$A$2:$A$1001=$A25)*(Raw!$R$2:$R$1001="N")*(Raw!$I$2:$I$1001=0)*(Raw!$D$2:$D$1001&lt;$H25)*Raw!$D$2:$D$1001+(1-(Raw!$A$2:$A$1001=$A25)*(Raw!$R$2:$R$1001="N")*(Raw!$I$2:$I$1001=0)*(Raw!$D$2:$D$1001&lt;$H25))*9999)))</f>
        <v>1</v>
      </c>
      <c r="BT25" s="16" t="n">
        <f aca="false">IF(OR($BS25="",$BS25=9999,$BS25=0),"",IFERROR(INDEX(Raw!$N$2:$N$1001,MATCH($A25&amp;"|N|"&amp;$BS25,Raw!$S$2:$S$1001,0)),""))</f>
        <v>-1.305</v>
      </c>
      <c r="BU25" s="9" t="n">
        <f aca="false">IF($B25="","",SUMPRODUCT(MIN((Raw!$A$2:$A$1001=$A25)*(Raw!$R$2:$R$1001="C")*(Raw!$I$2:$I$1001=1)*Raw!$D$2:$D$1001+(1-(Raw!$A$2:$A$1001=$A25)*(Raw!$R$2:$R$1001="C")*(Raw!$I$2:$I$1001=1))*9999)))</f>
        <v>5</v>
      </c>
      <c r="BV25" s="9" t="n">
        <f aca="false">IF(OR($BU25="",$BU25=9999),"",SUMPRODUCT(MIN((Raw!$A$2:$A$1001=$A25)*(Raw!$R$2:$R$1001="C")*(Raw!$I$2:$I$1001=0)*(Raw!$D$2:$D$1001&gt;$BU25)*Raw!$D$2:$D$1001+(1-(Raw!$A$2:$A$1001=$A25)*(Raw!$R$2:$R$1001="C")*(Raw!$I$2:$I$1001=0)*(Raw!$D$2:$D$1001&gt;$BU25))*9999)))</f>
        <v>6</v>
      </c>
      <c r="BW25" s="16" t="n">
        <f aca="false">IF(OR($BV25="",$BV25=9999,$BV25=0),"",IFERROR(INDEX(Raw!$O$2:$O$1001,MATCH($A25&amp;"|C|"&amp;$BV25,Raw!$S$2:$S$1001,0)),""))</f>
        <v>-25.373</v>
      </c>
      <c r="BX25" s="9" t="n">
        <f aca="false">IF($B25="","",IF(ISNUMBER(SEARCH(","&amp;$A25&amp;",",","&amp;SUBSTITUTE(Setup!$B$16," ","")&amp;",")),1,0))</f>
        <v>0</v>
      </c>
      <c r="BY25" s="9" t="n">
        <f aca="false">IF($B25="","",IF(ISNUMBER(SEARCH(","&amp;$A25&amp;",",","&amp;SUBSTITUTE(Setup!$B$17," ","")&amp;",")),1,0))</f>
        <v>0</v>
      </c>
      <c r="BZ25" s="22" t="str">
        <f aca="false">IF($AS25="","",IF(Fits!$B$38="Row",$AQ25,IF($AR25="","",$AR25)))</f>
        <v/>
      </c>
      <c r="CA25" s="22" t="str">
        <f aca="false">IF($AT25="","",IF(Fits!$B$50="Row",$AQ25,IF($AR25="","",$AR25)))</f>
        <v/>
      </c>
      <c r="CB25" s="20" t="str">
        <f aca="false">IF(OR($D25&lt;&gt;"Drift",$X25="",$A25&lt;IF(Setup!$B$14="",0,Setup!$B$14),Fits!$B$107&lt;3,Fits!$B$110="",Fits!$B$109=0,IF(Fits!$B$38="Row",$AQ25,$AR25)=""),"",IF($BX25=1,IF(OR(Fits!$B$111="",Fits!$B$111=0),"",($X25-(IF(Fits!$B$38="Row",Fits!$B$32,Fits!$B$35)*IF(Fits!$B$38="Row",$AQ25,$AR25)+Fits!$B$110))/(Fits!$B$111*SQRT(1+(1/Fits!$B$107+(IF(Fits!$B$38="Row",$AQ25,$AR25)-Fits!$B$108)^2/Fits!$B$109)))),IF(OR(Fits!$B$107&lt;4,(1/Fits!$B$107+(IF(Fits!$B$38="Row",$AQ25,$AR25)-Fits!$B$108)^2/Fits!$B$109)&gt;=1),"",IF((Fits!$B$116-($X25-(IF(Fits!$B$38="Row",Fits!$B$32,Fits!$B$35)*IF(Fits!$B$38="Row",$AQ25,$AR25)+Fits!$B$110))^2/(1-(1/Fits!$B$107+(IF(Fits!$B$38="Row",$AQ25,$AR25)-Fits!$B$108)^2/Fits!$B$109)))&lt;=0,"",($X25-(IF(Fits!$B$38="Row",Fits!$B$32,Fits!$B$35)*IF(Fits!$B$38="Row",$AQ25,$AR25)+Fits!$B$110))/(SQRT((Fits!$B$116-($X25-(IF(Fits!$B$38="Row",Fits!$B$32,Fits!$B$35)*IF(Fits!$B$38="Row",$AQ25,$AR25)+Fits!$B$110))^2/(1-(1/Fits!$B$107+(IF(Fits!$B$38="Row",$AQ25,$AR25)-Fits!$B$108)^2/Fits!$B$109)))/(Fits!$B$107-3))*SQRT(1-(1/Fits!$B$107+(IF(Fits!$B$38="Row",$AQ25,$AR25)-Fits!$B$108)^2/Fits!$B$109)))))))</f>
        <v/>
      </c>
      <c r="CC25" s="20" t="str">
        <f aca="false">IF(OR($D25&lt;&gt;"Drift",$AC25="",$A25&lt;IF(Setup!$B$14="",0,Setup!$B$14),Fits!$B$120&lt;3,Fits!$B$123="",Fits!$B$122=0,IF(Fits!$B$50="Row",$AQ25,$AR25)=""),"",IF($BY25=1,IF(OR(Fits!$B$124="",Fits!$B$124=0),"",($AC25-(IF(Fits!$B$50="Row",Fits!$B$44,Fits!$B$47)*IF(Fits!$B$50="Row",$AQ25,$AR25)+Fits!$B$123))/(Fits!$B$124*SQRT(1+(1/Fits!$B$120+(IF(Fits!$B$50="Row",$AQ25,$AR25)-Fits!$B$121)^2/Fits!$B$122)))),IF(OR(Fits!$B$120&lt;4,(1/Fits!$B$120+(IF(Fits!$B$50="Row",$AQ25,$AR25)-Fits!$B$121)^2/Fits!$B$122)&gt;=1),"",IF((Fits!$B$129-($AC25-(IF(Fits!$B$50="Row",Fits!$B$44,Fits!$B$47)*IF(Fits!$B$50="Row",$AQ25,$AR25)+Fits!$B$123))^2/(1-(1/Fits!$B$120+(IF(Fits!$B$50="Row",$AQ25,$AR25)-Fits!$B$121)^2/Fits!$B$122)))&lt;=0,"",($AC25-(IF(Fits!$B$50="Row",Fits!$B$44,Fits!$B$47)*IF(Fits!$B$50="Row",$AQ25,$AR25)+Fits!$B$123))/(SQRT((Fits!$B$129-($AC25-(IF(Fits!$B$50="Row",Fits!$B$44,Fits!$B$47)*IF(Fits!$B$50="Row",$AQ25,$AR25)+Fits!$B$123))^2/(1-(1/Fits!$B$120+(IF(Fits!$B$50="Row",$AQ25,$AR25)-Fits!$B$121)^2/Fits!$B$122)))/(Fits!$B$120-3))*SQRT(1-(1/Fits!$B$120+(IF(Fits!$B$50="Row",$AQ25,$AR25)-Fits!$B$121)^2/Fits!$B$122)))))))</f>
        <v/>
      </c>
      <c r="CD25" s="9" t="str">
        <f aca="false">IF($AU25="","",1)</f>
        <v/>
      </c>
      <c r="CE25" s="24" t="str">
        <f aca="false">IF($AU25="","",$AU25-Fits!$B$133)</f>
        <v/>
      </c>
      <c r="CF25" s="24" t="str">
        <f aca="false">IF($AU25="","",($AV25-(Fits!$B$56*$AU25+Fits!$B$57))-Fits!$B$56*($AU25-Fits!$B$133))</f>
        <v/>
      </c>
      <c r="CG25" s="25" t="str">
        <f aca="false">IF($AU25="","",$AU25^2)</f>
        <v/>
      </c>
      <c r="CH25" s="9" t="str">
        <f aca="false">IF($AW25="","",1)</f>
        <v/>
      </c>
      <c r="CI25" s="24" t="str">
        <f aca="false">IF($AW25="","",$AW25-Fits!$B$153)</f>
        <v/>
      </c>
      <c r="CJ25" s="24" t="str">
        <f aca="false">IF($AW25="","",($AX25-(Fits!$B$63*$AW25+Fits!$B$64))-Fits!$B$63*($AW25-Fits!$B$153))</f>
        <v/>
      </c>
      <c r="CK25" s="25" t="str">
        <f aca="false">IF($AW25="","",$AW25^2)</f>
        <v/>
      </c>
      <c r="CL25" s="26" t="n">
        <f aca="false">IF(OR($Z25="",Fits!$B$55&lt;3,Fits!$B$133="",Fits!$B$134="",Fits!$B$134=0,Fits!$B$136=""),"",SQRT((Fits!$B$136*Fits!$B$56)^2+SUMPRODUCT((Fits!$J$163:$J$175*(Fits!$B$163:$B$175/Fits!$B$55+Fits!$H$163:$H$175*($Z25-Fits!$B$133)/Fits!$B$134))^2)+SUMPRODUCT((Fits!$G$163:$G$175*(($Z25-Fits!$B$133)*Fits!$I$163:$I$175/Fits!$B$134-Fits!$B$163:$B$175*Fits!$B$56/Fits!$B$55))^2)))</f>
        <v>0.255445667254762</v>
      </c>
      <c r="CM25" s="26" t="n">
        <f aca="false">IF($CL25="","",Setup!$B$32*$CL25)</f>
        <v>0.510891334509524</v>
      </c>
      <c r="CN25" s="26" t="n">
        <f aca="false">IF(OR($AE25="",Fits!$B$62&lt;3,Fits!$B$153="",Fits!$B$154="",Fits!$B$154=0,Fits!$B$156=""),"",SQRT((Fits!$B$156*Fits!$B$63)^2+SUMPRODUCT((Fits!$J$183:$J$195*(Fits!$B$183:$B$195/Fits!$B$62+Fits!$H$183:$H$195*($AE25-Fits!$B$153)/Fits!$B$154))^2)+SUMPRODUCT((Fits!$G$183:$G$195*(($AE25-Fits!$B$153)*Fits!$I$183:$I$195/Fits!$B$154-Fits!$B$183:$B$195*Fits!$B$63/Fits!$B$62))^2)))</f>
        <v>0.0378025011498676</v>
      </c>
      <c r="CO25" s="26" t="n">
        <f aca="false">IF($CN25="","",Setup!$B$32*$CN25)</f>
        <v>0.0756050022997352</v>
      </c>
      <c r="CP25" s="9" t="n">
        <f aca="false">IF(OR(NOT(ISNUMBER($BJ25)),$EK25=1),$CP24,IF($BJ25&lt;=Setup!$B$26,$CP24+1,0))</f>
        <v>0</v>
      </c>
      <c r="CQ25" s="9" t="n">
        <f aca="false">IF($BT25="","",$A25)</f>
        <v>20</v>
      </c>
      <c r="CR25" s="9" t="n">
        <f aca="false">IF($BW25="","",$A25)</f>
        <v>20</v>
      </c>
      <c r="CS25" s="9" t="n">
        <f aca="false">IF($B25="","",IF(Setup!$A$37="",0,IF(ISNUMBER(SEARCH(Setup!$A$37,$B25)),37,0)))</f>
        <v>0</v>
      </c>
      <c r="CT25" s="9" t="n">
        <f aca="false">IF($B25="","",IF(Setup!$A$38="",0,IF(ISNUMBER(SEARCH(Setup!$A$38,$B25)),38,0)))</f>
        <v>0</v>
      </c>
      <c r="CU25" s="9" t="n">
        <f aca="false">IF($B25="","",IF(Setup!$A$39="",0,IF(ISNUMBER(SEARCH(Setup!$A$39,$B25)),39,0)))</f>
        <v>0</v>
      </c>
      <c r="CV25" s="9" t="n">
        <f aca="false">IF($B25="","",IF(Setup!$A$40="",0,IF(ISNUMBER(SEARCH(Setup!$A$40,$B25)),40,0)))</f>
        <v>0</v>
      </c>
      <c r="CW25" s="9" t="n">
        <f aca="false">IF($B25="","",IF(Setup!$A$41="",0,IF(ISNUMBER(SEARCH(Setup!$A$41,$B25)),41,0)))</f>
        <v>0</v>
      </c>
      <c r="CX25" s="9" t="n">
        <f aca="false">IF($B25="","",IF(Setup!$A$42="",0,IF(ISNUMBER(SEARCH(Setup!$A$42,$B25)),42,0)))</f>
        <v>0</v>
      </c>
      <c r="CY25" s="9" t="n">
        <f aca="false">IF($B25="","",IF(Setup!$A$43="",0,IF(ISNUMBER(SEARCH(Setup!$A$43,$B25)),43,0)))</f>
        <v>0</v>
      </c>
      <c r="CZ25" s="9" t="n">
        <f aca="false">IF($B25="","",IF(Setup!$A$44="",0,IF(ISNUMBER(SEARCH(Setup!$A$44,$B25)),44,0)))</f>
        <v>0</v>
      </c>
      <c r="DA25" s="9" t="n">
        <f aca="false">IF($B25="","",IF(Setup!$A$45="",0,IF(ISNUMBER(SEARCH(Setup!$A$45,$B25)),45,0)))</f>
        <v>0</v>
      </c>
      <c r="DB25" s="9" t="n">
        <f aca="false">IF($B25="","",IF(Setup!$A$46="",0,IF(ISNUMBER(SEARCH(Setup!$A$46,$B25)),46,0)))</f>
        <v>0</v>
      </c>
      <c r="DC25" s="9" t="n">
        <f aca="false">IF($B25="","",IF(Setup!$A$47="",0,IF(ISNUMBER(SEARCH(Setup!$A$47,$B25)),47,0)))</f>
        <v>0</v>
      </c>
      <c r="DD25" s="9" t="n">
        <f aca="false">IF($B25="","",IF(Setup!$A$48="",0,IF(ISNUMBER(SEARCH(Setup!$A$48,$B25)),48,0)))</f>
        <v>0</v>
      </c>
      <c r="DE25" s="9" t="n">
        <f aca="false">IF($B25="","",IF(Setup!$A$49="",0,IF(ISNUMBER(SEARCH(Setup!$A$49,$B25)),49,0)))</f>
        <v>0</v>
      </c>
      <c r="DF25" s="9" t="n">
        <f aca="false">IF($B25="",NA(),$A25)</f>
        <v>20</v>
      </c>
      <c r="DG25" s="22" t="n">
        <f aca="false">IF($BI25="",NA(),$BI25)</f>
        <v>25.3</v>
      </c>
      <c r="DH25" s="22" t="n">
        <f aca="false">IF($N25="",NA(),$N25)</f>
        <v>26.7</v>
      </c>
      <c r="DI25" s="9" t="e">
        <f aca="false">IF(AND($D25="Drift",$N25&lt;&gt;""),$N25,NA())</f>
        <v>#N/A</v>
      </c>
      <c r="DJ25" s="9" t="str">
        <f aca="false">IF(AND($D25="Drift",$N25&lt;&gt;""),$N25,"")</f>
        <v/>
      </c>
      <c r="DK25" s="9" t="str">
        <f aca="false">IF($DJ25="","",$A25)</f>
        <v/>
      </c>
      <c r="DL25" s="9" t="e">
        <f aca="false">IF($AN25="",NA(),$AM25)</f>
        <v>#N/A</v>
      </c>
      <c r="DM25" s="9" t="e">
        <f aca="false">IF($AN25="",NA(),$AN25)</f>
        <v>#N/A</v>
      </c>
      <c r="DN25" s="24" t="n">
        <f aca="false">IF(AND($D25="Sample",$L25&lt;&gt;""),$L25,NA())</f>
        <v>29.179</v>
      </c>
      <c r="DO25" s="24" t="n">
        <f aca="false">IF(AND($D25="Sample",$L25&lt;&gt;"",Fits!$B$98&lt;&gt;""),Fits!$B$98,NA())</f>
        <v>-6.0577</v>
      </c>
      <c r="DP25" s="9" t="e">
        <f aca="false">IF($AS25="",NA(),$AS25)</f>
        <v>#N/A</v>
      </c>
      <c r="DQ25" s="9" t="e">
        <f aca="false">IF(AND($D25="Drift",$AS25="",$X25&lt;&gt;""),$X25,NA())</f>
        <v>#N/A</v>
      </c>
      <c r="DR25" s="9" t="e">
        <f aca="false">IF(AND($D25="Drift",$Z25&lt;&gt;""),$Z25,NA())</f>
        <v>#N/A</v>
      </c>
      <c r="DS25" s="25" t="n">
        <f aca="false">IF(AND(OR($D25="Sample",$D25="Check"),$AA25&lt;&gt;""),$AA25,NA())</f>
        <v>-5.15506270552128</v>
      </c>
      <c r="DT25" s="25" t="n">
        <f aca="false">IF(OR($B25="",Fits!$B$138=""),NA(),Fits!$B$138)</f>
        <v>1.76</v>
      </c>
      <c r="DU25" s="25" t="n">
        <f aca="false">IF(OR($B25="",Fits!$B$139=""),NA(),Fits!$B$139)</f>
        <v>20.68</v>
      </c>
      <c r="DV25" s="24" t="n">
        <f aca="false">IF($BT25="",NA(),$BT25)</f>
        <v>-1.305</v>
      </c>
      <c r="DW25" s="9" t="e">
        <f aca="false">IF($AP25="",NA(),$AO25)</f>
        <v>#N/A</v>
      </c>
      <c r="DX25" s="9" t="e">
        <f aca="false">IF($AP25="",NA(),$AP25)</f>
        <v>#N/A</v>
      </c>
      <c r="DY25" s="24" t="n">
        <f aca="false">IF(AND($D25="Sample",$P25&lt;&gt;""),$P25,NA())</f>
        <v>139.977</v>
      </c>
      <c r="DZ25" s="24" t="n">
        <f aca="false">IF(AND($D25="Sample",$P25&lt;&gt;"",Fits!$B$105&lt;&gt;""),Fits!$B$105,NA())</f>
        <v>-9.717</v>
      </c>
      <c r="EA25" s="9" t="e">
        <f aca="false">IF($AT25="",NA(),$AT25)</f>
        <v>#N/A</v>
      </c>
      <c r="EB25" s="9" t="e">
        <f aca="false">IF(AND($D25="Drift",$AT25="",$AC25&lt;&gt;""),$AC25,NA())</f>
        <v>#N/A</v>
      </c>
      <c r="EC25" s="9" t="e">
        <f aca="false">IF(AND($D25="Drift",$AE25&lt;&gt;""),$AE25,NA())</f>
        <v>#N/A</v>
      </c>
      <c r="ED25" s="25" t="n">
        <f aca="false">IF(AND(OR($D25="Sample",$D25="Check"),$AF25&lt;&gt;""),$AF25,NA())</f>
        <v>-26.7065273827704</v>
      </c>
      <c r="EE25" s="25" t="n">
        <f aca="false">IF(OR($B25="",Fits!$B$158=""),NA(),Fits!$B$158)</f>
        <v>-40.81</v>
      </c>
      <c r="EF25" s="25" t="n">
        <f aca="false">IF(OR($B25="",Fits!$B$159=""),NA(),Fits!$B$159)</f>
        <v>-20.29</v>
      </c>
      <c r="EG25" s="24" t="n">
        <f aca="false">IF($BW25="",NA(),$BW25)</f>
        <v>-25.373</v>
      </c>
      <c r="EH25" s="9" t="e">
        <f aca="false">IF(AND($EN25=1,ISNUMBER($N25)),$N25,NA())</f>
        <v>#N/A</v>
      </c>
      <c r="EI25" s="9" t="n">
        <f aca="false">IF($B25="","",$A25)</f>
        <v>20</v>
      </c>
      <c r="EJ25" s="9" t="n">
        <f aca="false">IF(OR(AND(ISNUMBER($L25),Fits!$B$97&gt;0,$L25&gt;Fits!$B$97),AND(ISNUMBER($P25),Fits!$B$104&gt;0,$P25&gt;Fits!$B$104)),1,0)</f>
        <v>0</v>
      </c>
      <c r="EK25" s="9" t="n">
        <f aca="false">IF(OR($EJ24=1,$EJ23=1),1,0)</f>
        <v>0</v>
      </c>
      <c r="EL25" s="22" t="n">
        <f aca="false">IF(AND($EK25=0,ISNUMBER($N25)),$N25,$EL24)</f>
        <v>26.7</v>
      </c>
      <c r="EM25" s="9" t="str">
        <f aca="false">IF(AND($EK25=1,ISNUMBER($N25),ISNUMBER($EL25)),$N25-$EL25,"")</f>
        <v/>
      </c>
      <c r="EN25" s="9" t="n">
        <f aca="false">IF(Setup!$B$28="",0,IF(ISNUMBER($EM25),IF($EM25&gt;Setup!$B$28,1,0),0))</f>
        <v>0</v>
      </c>
      <c r="EO25" s="9" t="str">
        <f aca="false">IF($EN25=1,COUNTIF($EN$6:$EN25,1),"")</f>
        <v/>
      </c>
      <c r="EP25" s="9" t="n">
        <f aca="false">IF(AND($EJ24=1,OR($D25="Sample",$D25="Check")),1,0)</f>
        <v>0</v>
      </c>
      <c r="EQ25" s="9" t="str">
        <f aca="false">IF(ISNUMBER($BI25),IF(COUNT($BI$6:$BI25)&lt;=5,$BI25,""),"")</f>
        <v/>
      </c>
      <c r="ER25" s="9" t="str">
        <f aca="false">IF(OR(NOT(ISNUMBER($BJ25)),$EK25=1),$ER24,IF($BJ25&lt;=Setup!$B$26,IF($CP24=0,$A25,$ER24),""))</f>
        <v/>
      </c>
    </row>
    <row r="26" customFormat="false" ht="15" hidden="false" customHeight="false" outlineLevel="0" collapsed="false">
      <c r="A26" s="8" t="n">
        <v>21</v>
      </c>
      <c r="B26" s="8" t="str">
        <f aca="false">IFERROR(INDEX(Raw!$B$2:$B$1001,MATCH($A26,Raw!$A$2:$A$1001,0)),"")</f>
        <v>Random</v>
      </c>
      <c r="C26" s="9" t="n">
        <f aca="false">IF($B26="","",MAX($CS26:$DE26))</f>
        <v>0</v>
      </c>
      <c r="D26" s="8" t="str">
        <f aca="false">IF($B26="","",IF($C26=0,"Sample",INDEX(Setup!$B$37:$B$49,$C26-36)))</f>
        <v>Sample</v>
      </c>
      <c r="E26" s="16" t="str">
        <f aca="false">IF($B26="","",IFERROR(IF(INDEX(Raw!$E$2:$E$1001,MATCH($A26,Raw!$A$2:$A$1001,0))=0,"",INDEX(Raw!$E$2:$E$1001,MATCH($A26,Raw!$A$2:$A$1001,0))),""))</f>
        <v/>
      </c>
      <c r="F26" s="18"/>
      <c r="G26" s="16" t="str">
        <f aca="false">IF($B26="","",IF($F26&lt;&gt;"",$F26,IF($E26="","",$E26)))</f>
        <v/>
      </c>
      <c r="H26" s="9" t="n">
        <f aca="false">IF($B26="","",SUMPRODUCT(MAX((Raw!$A$2:$A$1001=$A26)*(Raw!$R$2:$R$1001="N")*Raw!$D$2:$D$1001)))</f>
        <v>3</v>
      </c>
      <c r="I26" s="9" t="str">
        <f aca="false">IF(OR($H26="",$H26=0),"",$A26&amp;"|N|"&amp;$H26)</f>
        <v>21|N|3</v>
      </c>
      <c r="J26" s="9" t="n">
        <f aca="false">IF($B26="","",SUMPRODUCT(MIN((Raw!$A$2:$A$1001=$A26)*(Raw!$R$2:$R$1001="C")*Raw!$D$2:$D$1001+(1-(Raw!$A$2:$A$1001=$A26)*(Raw!$R$2:$R$1001="C"))*9999)))</f>
        <v>4</v>
      </c>
      <c r="K26" s="9" t="str">
        <f aca="false">IF(OR($J26="",$J26=0,$J26=9999),"",$A26&amp;"|C|"&amp;$J26)</f>
        <v>21|C|4</v>
      </c>
      <c r="L26" s="16" t="n">
        <f aca="false">IF($I26="","",IF(INDEX(Raw!$I$2:$I$1001,MATCH($I26,Raw!$S$2:$S$1001,0))&lt;&gt;0,"",INDEX(Raw!$H$2:$H$1001,MATCH($I26,Raw!$S$2:$S$1001,0))))</f>
        <v>10.11</v>
      </c>
      <c r="M26" s="19" t="n">
        <f aca="false">IF($I26="","",IF(INDEX(Raw!$I$2:$I$1001,MATCH($I26,Raw!$S$2:$S$1001,0))&lt;&gt;0,"",INDEX(Raw!$F$2:$F$1001,MATCH($I26,Raw!$S$2:$S$1001,0))))</f>
        <v>577</v>
      </c>
      <c r="N26" s="20" t="n">
        <f aca="false">IF($I26="","",IF(INDEX(Raw!$I$2:$I$1001,MATCH($I26,Raw!$S$2:$S$1001,0))&lt;&gt;0,"",INDEX(Raw!$G$2:$G$1001,MATCH($I26,Raw!$S$2:$S$1001,0))))</f>
        <v>26.4</v>
      </c>
      <c r="O26" s="16" t="n">
        <f aca="false">IF($I26="","",IF(INDEX(Raw!$I$2:$I$1001,MATCH($I26,Raw!$S$2:$S$1001,0))&lt;&gt;0,"",INDEX(Raw!$N$2:$N$1001,MATCH($I26,Raw!$S$2:$S$1001,0))))</f>
        <v>-5.969</v>
      </c>
      <c r="P26" s="16" t="n">
        <f aca="false">IF($K26="","",IF(INDEX(Raw!$I$2:$I$1001,MATCH($K26,Raw!$S$2:$S$1001,0))&lt;&gt;0,"",INDEX(Raw!$K$2:$K$1001,MATCH($K26,Raw!$S$2:$S$1001,0))))</f>
        <v>49.134</v>
      </c>
      <c r="Q26" s="19" t="n">
        <f aca="false">IF($K26="","",IF(INDEX(Raw!$I$2:$I$1001,MATCH($K26,Raw!$S$2:$S$1001,0))&lt;&gt;0,"",INDEX(Raw!$J$2:$J$1001,MATCH($K26,Raw!$S$2:$S$1001,0))))</f>
        <v>2216</v>
      </c>
      <c r="R26" s="16" t="n">
        <f aca="false">IF($K26="","",IF(INDEX(Raw!$I$2:$I$1001,MATCH($K26,Raw!$S$2:$S$1001,0))&lt;&gt;0,"",INDEX(Raw!$O$2:$O$1001,MATCH($K26,Raw!$S$2:$S$1001,0))))</f>
        <v>-9.66</v>
      </c>
      <c r="S26" s="21" t="str">
        <f aca="false">IF($B26="","",IF($C26=0,"",IF(INDEX(Setup!$D$37:$D$49,$C26-36)="","",INDEX(Setup!$D$37:$D$49,$C26-36))))</f>
        <v/>
      </c>
      <c r="T26" s="21" t="str">
        <f aca="false">IF($B26="","",IF($C26=0,"",IF(INDEX(Setup!$C$37:$C$49,$C26-36)="","",INDEX(Setup!$C$37:$C$49,$C26-36))))</f>
        <v/>
      </c>
      <c r="U26" s="21" t="str">
        <f aca="false">IF($B26="","",IF($C26=0,"",IF(INDEX(Setup!$F$37:$F$49,$C26-36)="","",INDEX(Setup!$F$37:$F$49,$C26-36))))</f>
        <v/>
      </c>
      <c r="V26" s="21" t="str">
        <f aca="false">IF($B26="","",IF($C26=0,"",IF(INDEX(Setup!$E$37:$E$49,$C26-36)="","",INDEX(Setup!$E$37:$E$49,$C26-36))))</f>
        <v/>
      </c>
      <c r="W26" s="16" t="n">
        <f aca="false">IF($O26="","",IF(OR(Fits!$C$5&lt;&gt;"Yes",$D26="Blank",$L26&lt;=Fits!$B$6),$O26,($L26*$O26-Fits!$B$6*Fits!$B$7)/($L26-Fits!$B$6)))</f>
        <v>-5.969</v>
      </c>
      <c r="X26" s="16" t="n">
        <f aca="false">IF($W26="","",$W26-Fits!$B$20*($L26-Fits!$B$16))</f>
        <v>-5.969</v>
      </c>
      <c r="Y26" s="22" t="n">
        <f aca="false">IF($W26="","",IF(OR(Fits!$B$38="Row",$BI26=""),$A26,$BI26))</f>
        <v>21</v>
      </c>
      <c r="Z26" s="16" t="n">
        <f aca="false">IF($X26="","",$X26-Fits!$B$39*($Y26-Fits!$B$40))</f>
        <v>-6.15740169992924</v>
      </c>
      <c r="AA26" s="23" t="n">
        <f aca="false">IF(OR($Z26="",Fits!$B$55&lt;2),"",Fits!$B$56*$Z26+Fits!$B$57)</f>
        <v>-5.29390558457363</v>
      </c>
      <c r="AB26" s="16" t="n">
        <f aca="false">IF($R26="","",IF(OR(Fits!$C$9&lt;&gt;"Yes",$D26="Blank",$P26&lt;=Fits!$B$10),$R26,($P26*$R26-Fits!$B$10*Fits!$B$11)/($P26-Fits!$B$10)))</f>
        <v>-9.66</v>
      </c>
      <c r="AC26" s="16" t="n">
        <f aca="false">IF($AB26="","",$AB26-Fits!$B$28*($P26-Fits!$B$24))</f>
        <v>-9.52410121260616</v>
      </c>
      <c r="AD26" s="22" t="n">
        <f aca="false">IF($AB26="","",IF(OR(Fits!$B$50="Row",$BI26=""),$A26,$BI26))</f>
        <v>21</v>
      </c>
      <c r="AE26" s="16" t="n">
        <f aca="false">IF($AC26="","",$AC26-Fits!$B$51*($AD26-Fits!$B$52))</f>
        <v>-9.49093100095413</v>
      </c>
      <c r="AF26" s="23" t="n">
        <f aca="false">IF(OR($AE26="",Fits!$B$62&lt;2),"",Fits!$B$63*$AE26+Fits!$B$64)</f>
        <v>-26.6174741869547</v>
      </c>
      <c r="AG26" s="21" t="n">
        <f aca="false">IF(OR($L26="",Fits!$B$69&lt;3),"",($L26-Fits!$B$71)/Fits!$B$70)</f>
        <v>13.4219777130679</v>
      </c>
      <c r="AH26" s="21" t="n">
        <f aca="false">IF(OR($P26="",Fits!$B$75&lt;3),"",($P26-Fits!$B$77)/Fits!$B$76)</f>
        <v>107.929122482003</v>
      </c>
      <c r="AI26" s="23" t="str">
        <f aca="false">IF(OR($AG26="",$G26="",$G26=0),"",$AG26/($G26*1000)*100)</f>
        <v/>
      </c>
      <c r="AJ26" s="23" t="str">
        <f aca="false">IF(OR($AH26="",$G26="",$G26=0),"",$AH26/($G26*1000)*100)</f>
        <v/>
      </c>
      <c r="AK26" s="23" t="n">
        <f aca="false">IF(OR($AG26="",$AH26="",$AG26&lt;=0),"",($AH26/Setup!$B$52)/($AG26/Setup!$B$53))</f>
        <v>9.37752205798355</v>
      </c>
      <c r="AL26" s="23" t="n">
        <f aca="false">IF(OR($AG26="",$AH26="",$AG26&lt;=0),"",$AH26/$AG26)</f>
        <v>8.04122349100024</v>
      </c>
      <c r="AM26" s="9" t="str">
        <f aca="false">IF($D26="Linearity",IF($L26="","",$L26),"")</f>
        <v/>
      </c>
      <c r="AN26" s="9" t="str">
        <f aca="false">IF($D26="Linearity",IF($W26="","",$W26),"")</f>
        <v/>
      </c>
      <c r="AO26" s="9" t="str">
        <f aca="false">IF($D26="Linearity",IF($P26="","",$P26),"")</f>
        <v/>
      </c>
      <c r="AP26" s="9" t="str">
        <f aca="false">IF($D26="Linearity",IF($AB26="","",$AB26),"")</f>
        <v/>
      </c>
      <c r="AQ26" s="9" t="str">
        <f aca="false">IF($D26="Drift",IF($A26&lt;IF(Setup!$B$14="",0,Setup!$B$14),"",$A26),"")</f>
        <v/>
      </c>
      <c r="AR26" s="9" t="str">
        <f aca="false">IF($D26="Drift",IF($A26&lt;IF(Setup!$B$14="",0,Setup!$B$14),"",IF($BI26="","",$BI26)),"")</f>
        <v/>
      </c>
      <c r="AS26" s="9" t="str">
        <f aca="false">IF($D26="Drift",IF($A26&lt;IF(Setup!$B$14="",0,Setup!$B$14),"",IF(OR($X26="",$BX26=1),"",$X26)),"")</f>
        <v/>
      </c>
      <c r="AT26" s="9" t="str">
        <f aca="false">IF($D26="Drift",IF($A26&lt;IF(Setup!$B$14="",0,Setup!$B$14),"",IF(OR($AC26="",$BY26=1),"",$AC26)),"")</f>
        <v/>
      </c>
      <c r="AU26" s="9" t="str">
        <f aca="false">IF($D26="Anchor",IF(OR($Z26="",$S26=""),"",$Z26),"")</f>
        <v/>
      </c>
      <c r="AV26" s="9" t="str">
        <f aca="false">IF($D26="Anchor",IF(OR($Z26="",$S26=""),"",$S26),"")</f>
        <v/>
      </c>
      <c r="AW26" s="9" t="str">
        <f aca="false">IF($D26="Anchor",IF(OR($AE26="",$T26=""),"",$AE26),"")</f>
        <v/>
      </c>
      <c r="AX26" s="9" t="str">
        <f aca="false">IF($D26="Anchor",IF(OR($AE26="",$T26=""),"",$T26),"")</f>
        <v/>
      </c>
      <c r="AY26" s="9" t="str">
        <f aca="false">IF(OR($D26="Blank",$D26="Exclude",$D26="Sample",$D26="",$G26="",$U26="",$L26=""),"",$G26*1000*$U26/100)</f>
        <v/>
      </c>
      <c r="AZ26" s="9" t="str">
        <f aca="false">IF($AY26="","",$L26)</f>
        <v/>
      </c>
      <c r="BA26" s="9" t="str">
        <f aca="false">IF(OR($D26="Blank",$D26="Exclude",$D26="Sample",$D26="",$G26="",$V26="",$P26=""),"",$G26*1000*$V26/100)</f>
        <v/>
      </c>
      <c r="BB26" s="9" t="str">
        <f aca="false">IF($BA26="","",$P26)</f>
        <v/>
      </c>
      <c r="BC26" s="9" t="str">
        <f aca="false">IF(AND($D26="Blank",$L26&lt;&gt;""),$O26,"")</f>
        <v/>
      </c>
      <c r="BD26" s="9" t="str">
        <f aca="false">IF($BC26="","",$L26)</f>
        <v/>
      </c>
      <c r="BE26" s="9" t="str">
        <f aca="false">IF(AND($D26="Blank",$P26&lt;&gt;""),$R26,"")</f>
        <v/>
      </c>
      <c r="BF26" s="9" t="str">
        <f aca="false">IF($BE26="","",$P26)</f>
        <v/>
      </c>
      <c r="BG26" s="9" t="str">
        <f aca="false">IF(AND($D26="Drift",$BX26&lt;&gt;1),IF($AA26="","",$AA26),"")</f>
        <v/>
      </c>
      <c r="BH26" s="9" t="str">
        <f aca="false">IF(AND($D26="Drift",$BY26&lt;&gt;1),IF($AF26="","",$AF26),"")</f>
        <v/>
      </c>
      <c r="BI26" s="20" t="n">
        <f aca="false">IF($B26="","",IFERROR(INDEX(Raw!$G$2:$G$1001,MATCH($A26&amp;"|N|"&amp;SUMPRODUCT(MAX((Raw!$A$2:$A$1001=$A26)*(Raw!$R$2:$R$1001="N")*(Raw!$I$2:$I$1001=1)*Raw!$D$2:$D$1001)),Raw!$S$2:$S$1001,0)),""))</f>
        <v>25.1</v>
      </c>
      <c r="BJ26" s="21" t="n">
        <f aca="false">IF(OR($BI26="",Fits!$B$85&lt;=0),"",($BI26-Fits!$B$83)/Fits!$B$85)</f>
        <v>0.18018018018018</v>
      </c>
      <c r="BK26" s="9" t="str">
        <f aca="false">IF($AS26="","",IF($A26&gt;=Fits!$B$86,"",$A26))</f>
        <v/>
      </c>
      <c r="BL26" s="9" t="str">
        <f aca="false">IF($BK26="","",$X26)</f>
        <v/>
      </c>
      <c r="BM26" s="9" t="str">
        <f aca="false">IF($AS26="","",IF($A26&lt;Fits!$B$86,"",$A26))</f>
        <v/>
      </c>
      <c r="BN26" s="9" t="str">
        <f aca="false">IF($BM26="","",$X26)</f>
        <v/>
      </c>
      <c r="BO26" s="9" t="str">
        <f aca="false">IF(AND($D26="Drift",$BX26&lt;&gt;1),IF($O26="","",$O26),"")</f>
        <v/>
      </c>
      <c r="BP26" s="9" t="str">
        <f aca="false">IF(AND($D26="Drift",$BX26&lt;&gt;1),IF($W26="","",$W26),"")</f>
        <v/>
      </c>
      <c r="BQ26" s="9" t="str">
        <f aca="false">IF(AND($D26="Drift",$BX26&lt;&gt;1),IF($X26="","",$X26),"")</f>
        <v/>
      </c>
      <c r="BR26" s="9" t="str">
        <f aca="false">IF(AND($D26="Drift",$BX26&lt;&gt;1),IF($Z26="","",$Z26),"")</f>
        <v/>
      </c>
      <c r="BS26" s="9" t="n">
        <f aca="false">IF(OR($B26="",$H26=""),"",SUMPRODUCT(MIN((Raw!$A$2:$A$1001=$A26)*(Raw!$R$2:$R$1001="N")*(Raw!$I$2:$I$1001=0)*(Raw!$D$2:$D$1001&lt;$H26)*Raw!$D$2:$D$1001+(1-(Raw!$A$2:$A$1001=$A26)*(Raw!$R$2:$R$1001="N")*(Raw!$I$2:$I$1001=0)*(Raw!$D$2:$D$1001&lt;$H26))*9999)))</f>
        <v>1</v>
      </c>
      <c r="BT26" s="16" t="n">
        <f aca="false">IF(OR($BS26="",$BS26=9999,$BS26=0),"",IFERROR(INDEX(Raw!$N$2:$N$1001,MATCH($A26&amp;"|N|"&amp;$BS26,Raw!$S$2:$S$1001,0)),""))</f>
        <v>-1.121</v>
      </c>
      <c r="BU26" s="9" t="n">
        <f aca="false">IF($B26="","",SUMPRODUCT(MIN((Raw!$A$2:$A$1001=$A26)*(Raw!$R$2:$R$1001="C")*(Raw!$I$2:$I$1001=1)*Raw!$D$2:$D$1001+(1-(Raw!$A$2:$A$1001=$A26)*(Raw!$R$2:$R$1001="C")*(Raw!$I$2:$I$1001=1))*9999)))</f>
        <v>5</v>
      </c>
      <c r="BV26" s="9" t="n">
        <f aca="false">IF(OR($BU26="",$BU26=9999),"",SUMPRODUCT(MIN((Raw!$A$2:$A$1001=$A26)*(Raw!$R$2:$R$1001="C")*(Raw!$I$2:$I$1001=0)*(Raw!$D$2:$D$1001&gt;$BU26)*Raw!$D$2:$D$1001+(1-(Raw!$A$2:$A$1001=$A26)*(Raw!$R$2:$R$1001="C")*(Raw!$I$2:$I$1001=0)*(Raw!$D$2:$D$1001&gt;$BU26))*9999)))</f>
        <v>6</v>
      </c>
      <c r="BW26" s="16" t="n">
        <f aca="false">IF(OR($BV26="",$BV26=9999,$BV26=0),"",IFERROR(INDEX(Raw!$O$2:$O$1001,MATCH($A26&amp;"|C|"&amp;$BV26,Raw!$S$2:$S$1001,0)),""))</f>
        <v>-25.441</v>
      </c>
      <c r="BX26" s="9" t="n">
        <f aca="false">IF($B26="","",IF(ISNUMBER(SEARCH(","&amp;$A26&amp;",",","&amp;SUBSTITUTE(Setup!$B$16," ","")&amp;",")),1,0))</f>
        <v>0</v>
      </c>
      <c r="BY26" s="9" t="n">
        <f aca="false">IF($B26="","",IF(ISNUMBER(SEARCH(","&amp;$A26&amp;",",","&amp;SUBSTITUTE(Setup!$B$17," ","")&amp;",")),1,0))</f>
        <v>0</v>
      </c>
      <c r="BZ26" s="22" t="str">
        <f aca="false">IF($AS26="","",IF(Fits!$B$38="Row",$AQ26,IF($AR26="","",$AR26)))</f>
        <v/>
      </c>
      <c r="CA26" s="22" t="str">
        <f aca="false">IF($AT26="","",IF(Fits!$B$50="Row",$AQ26,IF($AR26="","",$AR26)))</f>
        <v/>
      </c>
      <c r="CB26" s="20" t="str">
        <f aca="false">IF(OR($D26&lt;&gt;"Drift",$X26="",$A26&lt;IF(Setup!$B$14="",0,Setup!$B$14),Fits!$B$107&lt;3,Fits!$B$110="",Fits!$B$109=0,IF(Fits!$B$38="Row",$AQ26,$AR26)=""),"",IF($BX26=1,IF(OR(Fits!$B$111="",Fits!$B$111=0),"",($X26-(IF(Fits!$B$38="Row",Fits!$B$32,Fits!$B$35)*IF(Fits!$B$38="Row",$AQ26,$AR26)+Fits!$B$110))/(Fits!$B$111*SQRT(1+(1/Fits!$B$107+(IF(Fits!$B$38="Row",$AQ26,$AR26)-Fits!$B$108)^2/Fits!$B$109)))),IF(OR(Fits!$B$107&lt;4,(1/Fits!$B$107+(IF(Fits!$B$38="Row",$AQ26,$AR26)-Fits!$B$108)^2/Fits!$B$109)&gt;=1),"",IF((Fits!$B$116-($X26-(IF(Fits!$B$38="Row",Fits!$B$32,Fits!$B$35)*IF(Fits!$B$38="Row",$AQ26,$AR26)+Fits!$B$110))^2/(1-(1/Fits!$B$107+(IF(Fits!$B$38="Row",$AQ26,$AR26)-Fits!$B$108)^2/Fits!$B$109)))&lt;=0,"",($X26-(IF(Fits!$B$38="Row",Fits!$B$32,Fits!$B$35)*IF(Fits!$B$38="Row",$AQ26,$AR26)+Fits!$B$110))/(SQRT((Fits!$B$116-($X26-(IF(Fits!$B$38="Row",Fits!$B$32,Fits!$B$35)*IF(Fits!$B$38="Row",$AQ26,$AR26)+Fits!$B$110))^2/(1-(1/Fits!$B$107+(IF(Fits!$B$38="Row",$AQ26,$AR26)-Fits!$B$108)^2/Fits!$B$109)))/(Fits!$B$107-3))*SQRT(1-(1/Fits!$B$107+(IF(Fits!$B$38="Row",$AQ26,$AR26)-Fits!$B$108)^2/Fits!$B$109)))))))</f>
        <v/>
      </c>
      <c r="CC26" s="20" t="str">
        <f aca="false">IF(OR($D26&lt;&gt;"Drift",$AC26="",$A26&lt;IF(Setup!$B$14="",0,Setup!$B$14),Fits!$B$120&lt;3,Fits!$B$123="",Fits!$B$122=0,IF(Fits!$B$50="Row",$AQ26,$AR26)=""),"",IF($BY26=1,IF(OR(Fits!$B$124="",Fits!$B$124=0),"",($AC26-(IF(Fits!$B$50="Row",Fits!$B$44,Fits!$B$47)*IF(Fits!$B$50="Row",$AQ26,$AR26)+Fits!$B$123))/(Fits!$B$124*SQRT(1+(1/Fits!$B$120+(IF(Fits!$B$50="Row",$AQ26,$AR26)-Fits!$B$121)^2/Fits!$B$122)))),IF(OR(Fits!$B$120&lt;4,(1/Fits!$B$120+(IF(Fits!$B$50="Row",$AQ26,$AR26)-Fits!$B$121)^2/Fits!$B$122)&gt;=1),"",IF((Fits!$B$129-($AC26-(IF(Fits!$B$50="Row",Fits!$B$44,Fits!$B$47)*IF(Fits!$B$50="Row",$AQ26,$AR26)+Fits!$B$123))^2/(1-(1/Fits!$B$120+(IF(Fits!$B$50="Row",$AQ26,$AR26)-Fits!$B$121)^2/Fits!$B$122)))&lt;=0,"",($AC26-(IF(Fits!$B$50="Row",Fits!$B$44,Fits!$B$47)*IF(Fits!$B$50="Row",$AQ26,$AR26)+Fits!$B$123))/(SQRT((Fits!$B$129-($AC26-(IF(Fits!$B$50="Row",Fits!$B$44,Fits!$B$47)*IF(Fits!$B$50="Row",$AQ26,$AR26)+Fits!$B$123))^2/(1-(1/Fits!$B$120+(IF(Fits!$B$50="Row",$AQ26,$AR26)-Fits!$B$121)^2/Fits!$B$122)))/(Fits!$B$120-3))*SQRT(1-(1/Fits!$B$120+(IF(Fits!$B$50="Row",$AQ26,$AR26)-Fits!$B$121)^2/Fits!$B$122)))))))</f>
        <v/>
      </c>
      <c r="CD26" s="9" t="str">
        <f aca="false">IF($AU26="","",1)</f>
        <v/>
      </c>
      <c r="CE26" s="24" t="str">
        <f aca="false">IF($AU26="","",$AU26-Fits!$B$133)</f>
        <v/>
      </c>
      <c r="CF26" s="24" t="str">
        <f aca="false">IF($AU26="","",($AV26-(Fits!$B$56*$AU26+Fits!$B$57))-Fits!$B$56*($AU26-Fits!$B$133))</f>
        <v/>
      </c>
      <c r="CG26" s="25" t="str">
        <f aca="false">IF($AU26="","",$AU26^2)</f>
        <v/>
      </c>
      <c r="CH26" s="9" t="str">
        <f aca="false">IF($AW26="","",1)</f>
        <v/>
      </c>
      <c r="CI26" s="24" t="str">
        <f aca="false">IF($AW26="","",$AW26-Fits!$B$153)</f>
        <v/>
      </c>
      <c r="CJ26" s="24" t="str">
        <f aca="false">IF($AW26="","",($AX26-(Fits!$B$63*$AW26+Fits!$B$64))-Fits!$B$63*($AW26-Fits!$B$153))</f>
        <v/>
      </c>
      <c r="CK26" s="25" t="str">
        <f aca="false">IF($AW26="","",$AW26^2)</f>
        <v/>
      </c>
      <c r="CL26" s="26" t="n">
        <f aca="false">IF(OR($Z26="",Fits!$B$55&lt;3,Fits!$B$133="",Fits!$B$134="",Fits!$B$134=0,Fits!$B$136=""),"",SQRT((Fits!$B$136*Fits!$B$56)^2+SUMPRODUCT((Fits!$J$163:$J$175*(Fits!$B$163:$B$175/Fits!$B$55+Fits!$H$163:$H$175*($Z26-Fits!$B$133)/Fits!$B$134))^2)+SUMPRODUCT((Fits!$G$163:$G$175*(($Z26-Fits!$B$133)*Fits!$I$163:$I$175/Fits!$B$134-Fits!$B$163:$B$175*Fits!$B$56/Fits!$B$55))^2)))</f>
        <v>0.256257092576626</v>
      </c>
      <c r="CM26" s="26" t="n">
        <f aca="false">IF($CL26="","",Setup!$B$32*$CL26)</f>
        <v>0.512514185153252</v>
      </c>
      <c r="CN26" s="26" t="n">
        <f aca="false">IF(OR($AE26="",Fits!$B$62&lt;3,Fits!$B$153="",Fits!$B$154="",Fits!$B$154=0,Fits!$B$156=""),"",SQRT((Fits!$B$156*Fits!$B$63)^2+SUMPRODUCT((Fits!$J$183:$J$195*(Fits!$B$183:$B$195/Fits!$B$62+Fits!$H$183:$H$195*($AE26-Fits!$B$153)/Fits!$B$154))^2)+SUMPRODUCT((Fits!$G$183:$G$195*(($AE26-Fits!$B$153)*Fits!$I$183:$I$195/Fits!$B$154-Fits!$B$183:$B$195*Fits!$B$63/Fits!$B$62))^2)))</f>
        <v>0.0378783093158459</v>
      </c>
      <c r="CO26" s="26" t="n">
        <f aca="false">IF($CN26="","",Setup!$B$32*$CN26)</f>
        <v>0.0757566186316918</v>
      </c>
      <c r="CP26" s="9" t="n">
        <f aca="false">IF(OR(NOT(ISNUMBER($BJ26)),$EK26=1),$CP25,IF($BJ26&lt;=Setup!$B$26,$CP25+1,0))</f>
        <v>0</v>
      </c>
      <c r="CQ26" s="9" t="n">
        <f aca="false">IF($BT26="","",$A26)</f>
        <v>21</v>
      </c>
      <c r="CR26" s="9" t="n">
        <f aca="false">IF($BW26="","",$A26)</f>
        <v>21</v>
      </c>
      <c r="CS26" s="9" t="n">
        <f aca="false">IF($B26="","",IF(Setup!$A$37="",0,IF(ISNUMBER(SEARCH(Setup!$A$37,$B26)),37,0)))</f>
        <v>0</v>
      </c>
      <c r="CT26" s="9" t="n">
        <f aca="false">IF($B26="","",IF(Setup!$A$38="",0,IF(ISNUMBER(SEARCH(Setup!$A$38,$B26)),38,0)))</f>
        <v>0</v>
      </c>
      <c r="CU26" s="9" t="n">
        <f aca="false">IF($B26="","",IF(Setup!$A$39="",0,IF(ISNUMBER(SEARCH(Setup!$A$39,$B26)),39,0)))</f>
        <v>0</v>
      </c>
      <c r="CV26" s="9" t="n">
        <f aca="false">IF($B26="","",IF(Setup!$A$40="",0,IF(ISNUMBER(SEARCH(Setup!$A$40,$B26)),40,0)))</f>
        <v>0</v>
      </c>
      <c r="CW26" s="9" t="n">
        <f aca="false">IF($B26="","",IF(Setup!$A$41="",0,IF(ISNUMBER(SEARCH(Setup!$A$41,$B26)),41,0)))</f>
        <v>0</v>
      </c>
      <c r="CX26" s="9" t="n">
        <f aca="false">IF($B26="","",IF(Setup!$A$42="",0,IF(ISNUMBER(SEARCH(Setup!$A$42,$B26)),42,0)))</f>
        <v>0</v>
      </c>
      <c r="CY26" s="9" t="n">
        <f aca="false">IF($B26="","",IF(Setup!$A$43="",0,IF(ISNUMBER(SEARCH(Setup!$A$43,$B26)),43,0)))</f>
        <v>0</v>
      </c>
      <c r="CZ26" s="9" t="n">
        <f aca="false">IF($B26="","",IF(Setup!$A$44="",0,IF(ISNUMBER(SEARCH(Setup!$A$44,$B26)),44,0)))</f>
        <v>0</v>
      </c>
      <c r="DA26" s="9" t="n">
        <f aca="false">IF($B26="","",IF(Setup!$A$45="",0,IF(ISNUMBER(SEARCH(Setup!$A$45,$B26)),45,0)))</f>
        <v>0</v>
      </c>
      <c r="DB26" s="9" t="n">
        <f aca="false">IF($B26="","",IF(Setup!$A$46="",0,IF(ISNUMBER(SEARCH(Setup!$A$46,$B26)),46,0)))</f>
        <v>0</v>
      </c>
      <c r="DC26" s="9" t="n">
        <f aca="false">IF($B26="","",IF(Setup!$A$47="",0,IF(ISNUMBER(SEARCH(Setup!$A$47,$B26)),47,0)))</f>
        <v>0</v>
      </c>
      <c r="DD26" s="9" t="n">
        <f aca="false">IF($B26="","",IF(Setup!$A$48="",0,IF(ISNUMBER(SEARCH(Setup!$A$48,$B26)),48,0)))</f>
        <v>0</v>
      </c>
      <c r="DE26" s="9" t="n">
        <f aca="false">IF($B26="","",IF(Setup!$A$49="",0,IF(ISNUMBER(SEARCH(Setup!$A$49,$B26)),49,0)))</f>
        <v>0</v>
      </c>
      <c r="DF26" s="9" t="n">
        <f aca="false">IF($B26="",NA(),$A26)</f>
        <v>21</v>
      </c>
      <c r="DG26" s="22" t="n">
        <f aca="false">IF($BI26="",NA(),$BI26)</f>
        <v>25.1</v>
      </c>
      <c r="DH26" s="22" t="n">
        <f aca="false">IF($N26="",NA(),$N26)</f>
        <v>26.4</v>
      </c>
      <c r="DI26" s="9" t="e">
        <f aca="false">IF(AND($D26="Drift",$N26&lt;&gt;""),$N26,NA())</f>
        <v>#N/A</v>
      </c>
      <c r="DJ26" s="9" t="str">
        <f aca="false">IF(AND($D26="Drift",$N26&lt;&gt;""),$N26,"")</f>
        <v/>
      </c>
      <c r="DK26" s="9" t="str">
        <f aca="false">IF($DJ26="","",$A26)</f>
        <v/>
      </c>
      <c r="DL26" s="9" t="e">
        <f aca="false">IF($AN26="",NA(),$AM26)</f>
        <v>#N/A</v>
      </c>
      <c r="DM26" s="9" t="e">
        <f aca="false">IF($AN26="",NA(),$AN26)</f>
        <v>#N/A</v>
      </c>
      <c r="DN26" s="24" t="n">
        <f aca="false">IF(AND($D26="Sample",$L26&lt;&gt;""),$L26,NA())</f>
        <v>10.11</v>
      </c>
      <c r="DO26" s="24" t="n">
        <f aca="false">IF(AND($D26="Sample",$L26&lt;&gt;"",Fits!$B$98&lt;&gt;""),Fits!$B$98,NA())</f>
        <v>-6.0577</v>
      </c>
      <c r="DP26" s="9" t="e">
        <f aca="false">IF($AS26="",NA(),$AS26)</f>
        <v>#N/A</v>
      </c>
      <c r="DQ26" s="9" t="e">
        <f aca="false">IF(AND($D26="Drift",$AS26="",$X26&lt;&gt;""),$X26,NA())</f>
        <v>#N/A</v>
      </c>
      <c r="DR26" s="9" t="e">
        <f aca="false">IF(AND($D26="Drift",$Z26&lt;&gt;""),$Z26,NA())</f>
        <v>#N/A</v>
      </c>
      <c r="DS26" s="25" t="n">
        <f aca="false">IF(AND(OR($D26="Sample",$D26="Check"),$AA26&lt;&gt;""),$AA26,NA())</f>
        <v>-5.29390558457363</v>
      </c>
      <c r="DT26" s="25" t="n">
        <f aca="false">IF(OR($B26="",Fits!$B$138=""),NA(),Fits!$B$138)</f>
        <v>1.76</v>
      </c>
      <c r="DU26" s="25" t="n">
        <f aca="false">IF(OR($B26="",Fits!$B$139=""),NA(),Fits!$B$139)</f>
        <v>20.68</v>
      </c>
      <c r="DV26" s="24" t="n">
        <f aca="false">IF($BT26="",NA(),$BT26)</f>
        <v>-1.121</v>
      </c>
      <c r="DW26" s="9" t="e">
        <f aca="false">IF($AP26="",NA(),$AO26)</f>
        <v>#N/A</v>
      </c>
      <c r="DX26" s="9" t="e">
        <f aca="false">IF($AP26="",NA(),$AP26)</f>
        <v>#N/A</v>
      </c>
      <c r="DY26" s="24" t="n">
        <f aca="false">IF(AND($D26="Sample",$P26&lt;&gt;""),$P26,NA())</f>
        <v>49.134</v>
      </c>
      <c r="DZ26" s="24" t="n">
        <f aca="false">IF(AND($D26="Sample",$P26&lt;&gt;"",Fits!$B$105&lt;&gt;""),Fits!$B$105,NA())</f>
        <v>-9.717</v>
      </c>
      <c r="EA26" s="9" t="e">
        <f aca="false">IF($AT26="",NA(),$AT26)</f>
        <v>#N/A</v>
      </c>
      <c r="EB26" s="9" t="e">
        <f aca="false">IF(AND($D26="Drift",$AT26="",$AC26&lt;&gt;""),$AC26,NA())</f>
        <v>#N/A</v>
      </c>
      <c r="EC26" s="9" t="e">
        <f aca="false">IF(AND($D26="Drift",$AE26&lt;&gt;""),$AE26,NA())</f>
        <v>#N/A</v>
      </c>
      <c r="ED26" s="25" t="n">
        <f aca="false">IF(AND(OR($D26="Sample",$D26="Check"),$AF26&lt;&gt;""),$AF26,NA())</f>
        <v>-26.6174741869547</v>
      </c>
      <c r="EE26" s="25" t="n">
        <f aca="false">IF(OR($B26="",Fits!$B$158=""),NA(),Fits!$B$158)</f>
        <v>-40.81</v>
      </c>
      <c r="EF26" s="25" t="n">
        <f aca="false">IF(OR($B26="",Fits!$B$159=""),NA(),Fits!$B$159)</f>
        <v>-20.29</v>
      </c>
      <c r="EG26" s="24" t="n">
        <f aca="false">IF($BW26="",NA(),$BW26)</f>
        <v>-25.441</v>
      </c>
      <c r="EH26" s="9" t="e">
        <f aca="false">IF(AND($EN26=1,ISNUMBER($N26)),$N26,NA())</f>
        <v>#N/A</v>
      </c>
      <c r="EI26" s="9" t="n">
        <f aca="false">IF($B26="","",$A26)</f>
        <v>21</v>
      </c>
      <c r="EJ26" s="9" t="n">
        <f aca="false">IF(OR(AND(ISNUMBER($L26),Fits!$B$97&gt;0,$L26&gt;Fits!$B$97),AND(ISNUMBER($P26),Fits!$B$104&gt;0,$P26&gt;Fits!$B$104)),1,0)</f>
        <v>0</v>
      </c>
      <c r="EK26" s="9" t="n">
        <f aca="false">IF(OR($EJ25=1,$EJ24=1),1,0)</f>
        <v>0</v>
      </c>
      <c r="EL26" s="22" t="n">
        <f aca="false">IF(AND($EK26=0,ISNUMBER($N26)),$N26,$EL25)</f>
        <v>26.4</v>
      </c>
      <c r="EM26" s="9" t="str">
        <f aca="false">IF(AND($EK26=1,ISNUMBER($N26),ISNUMBER($EL26)),$N26-$EL26,"")</f>
        <v/>
      </c>
      <c r="EN26" s="9" t="n">
        <f aca="false">IF(Setup!$B$28="",0,IF(ISNUMBER($EM26),IF($EM26&gt;Setup!$B$28,1,0),0))</f>
        <v>0</v>
      </c>
      <c r="EO26" s="9" t="str">
        <f aca="false">IF($EN26=1,COUNTIF($EN$6:$EN26,1),"")</f>
        <v/>
      </c>
      <c r="EP26" s="9" t="n">
        <f aca="false">IF(AND($EJ25=1,OR($D26="Sample",$D26="Check")),1,0)</f>
        <v>0</v>
      </c>
      <c r="EQ26" s="9" t="str">
        <f aca="false">IF(ISNUMBER($BI26),IF(COUNT($BI$6:$BI26)&lt;=5,$BI26,""),"")</f>
        <v/>
      </c>
      <c r="ER26" s="9" t="str">
        <f aca="false">IF(OR(NOT(ISNUMBER($BJ26)),$EK26=1),$ER25,IF($BJ26&lt;=Setup!$B$26,IF($CP25=0,$A26,$ER25),""))</f>
        <v/>
      </c>
    </row>
    <row r="27" customFormat="false" ht="15" hidden="false" customHeight="false" outlineLevel="0" collapsed="false">
      <c r="A27" s="8" t="n">
        <v>22</v>
      </c>
      <c r="B27" s="8" t="str">
        <f aca="false">IFERROR(INDEX(Raw!$B$2:$B$1001,MATCH($A27,Raw!$A$2:$A$1001,0)),"")</f>
        <v>Ace Drift4</v>
      </c>
      <c r="C27" s="9" t="n">
        <f aca="false">IF($B27="","",MAX($CS27:$DE27))</f>
        <v>43</v>
      </c>
      <c r="D27" s="8" t="str">
        <f aca="false">IF($B27="","",IF($C27=0,"Sample",INDEX(Setup!$B$37:$B$49,$C27-36)))</f>
        <v>Drift</v>
      </c>
      <c r="E27" s="16" t="n">
        <f aca="false">IF($B27="","",IFERROR(IF(INDEX(Raw!$E$2:$E$1001,MATCH($A27,Raw!$A$2:$A$1001,0))=0,"",INDEX(Raw!$E$2:$E$1001,MATCH($A27,Raw!$A$2:$A$1001,0))),""))</f>
        <v>0.402</v>
      </c>
      <c r="F27" s="18"/>
      <c r="G27" s="16" t="n">
        <f aca="false">IF($B27="","",IF($F27&lt;&gt;"",$F27,IF($E27="","",$E27)))</f>
        <v>0.402</v>
      </c>
      <c r="H27" s="9" t="n">
        <f aca="false">IF($B27="","",SUMPRODUCT(MAX((Raw!$A$2:$A$1001=$A27)*(Raw!$R$2:$R$1001="N")*Raw!$D$2:$D$1001)))</f>
        <v>3</v>
      </c>
      <c r="I27" s="9" t="str">
        <f aca="false">IF(OR($H27="",$H27=0),"",$A27&amp;"|N|"&amp;$H27)</f>
        <v>22|N|3</v>
      </c>
      <c r="J27" s="9" t="n">
        <f aca="false">IF($B27="","",SUMPRODUCT(MIN((Raw!$A$2:$A$1001=$A27)*(Raw!$R$2:$R$1001="C")*Raw!$D$2:$D$1001+(1-(Raw!$A$2:$A$1001=$A27)*(Raw!$R$2:$R$1001="C"))*9999)))</f>
        <v>4</v>
      </c>
      <c r="K27" s="9" t="str">
        <f aca="false">IF(OR($J27="",$J27=0,$J27=9999),"",$A27&amp;"|C|"&amp;$J27)</f>
        <v>22|C|4</v>
      </c>
      <c r="L27" s="16" t="n">
        <f aca="false">IF($I27="","",IF(INDEX(Raw!$I$2:$I$1001,MATCH($I27,Raw!$S$2:$S$1001,0))&lt;&gt;0,"",INDEX(Raw!$H$2:$H$1001,MATCH($I27,Raw!$S$2:$S$1001,0))))</f>
        <v>27.288</v>
      </c>
      <c r="M27" s="19" t="n">
        <f aca="false">IF($I27="","",IF(INDEX(Raw!$I$2:$I$1001,MATCH($I27,Raw!$S$2:$S$1001,0))&lt;&gt;0,"",INDEX(Raw!$F$2:$F$1001,MATCH($I27,Raw!$S$2:$S$1001,0))))</f>
        <v>1591</v>
      </c>
      <c r="N27" s="20" t="n">
        <f aca="false">IF($I27="","",IF(INDEX(Raw!$I$2:$I$1001,MATCH($I27,Raw!$S$2:$S$1001,0))&lt;&gt;0,"",INDEX(Raw!$G$2:$G$1001,MATCH($I27,Raw!$S$2:$S$1001,0))))</f>
        <v>26.1</v>
      </c>
      <c r="O27" s="16" t="n">
        <f aca="false">IF($I27="","",IF(INDEX(Raw!$I$2:$I$1001,MATCH($I27,Raw!$S$2:$S$1001,0))&lt;&gt;0,"",INDEX(Raw!$N$2:$N$1001,MATCH($I27,Raw!$S$2:$S$1001,0))))</f>
        <v>-5.874</v>
      </c>
      <c r="P27" s="16" t="n">
        <f aca="false">IF($K27="","",IF(INDEX(Raw!$I$2:$I$1001,MATCH($K27,Raw!$S$2:$S$1001,0))&lt;&gt;0,"",INDEX(Raw!$K$2:$K$1001,MATCH($K27,Raw!$S$2:$S$1001,0))))</f>
        <v>130.484</v>
      </c>
      <c r="Q27" s="19" t="n">
        <f aca="false">IF($K27="","",IF(INDEX(Raw!$I$2:$I$1001,MATCH($K27,Raw!$S$2:$S$1001,0))&lt;&gt;0,"",INDEX(Raw!$J$2:$J$1001,MATCH($K27,Raw!$S$2:$S$1001,0))))</f>
        <v>5751</v>
      </c>
      <c r="R27" s="16" t="n">
        <f aca="false">IF($K27="","",IF(INDEX(Raw!$I$2:$I$1001,MATCH($K27,Raw!$S$2:$S$1001,0))&lt;&gt;0,"",INDEX(Raw!$O$2:$O$1001,MATCH($K27,Raw!$S$2:$S$1001,0))))</f>
        <v>-9.538</v>
      </c>
      <c r="S27" s="21" t="str">
        <f aca="false">IF($B27="","",IF($C27=0,"",IF(INDEX(Setup!$D$37:$D$49,$C27-36)="","",INDEX(Setup!$D$37:$D$49,$C27-36))))</f>
        <v/>
      </c>
      <c r="T27" s="21" t="str">
        <f aca="false">IF($B27="","",IF($C27=0,"",IF(INDEX(Setup!$C$37:$C$49,$C27-36)="","",INDEX(Setup!$C$37:$C$49,$C27-36))))</f>
        <v/>
      </c>
      <c r="U27" s="21" t="n">
        <f aca="false">IF($B27="","",IF($C27=0,"",IF(INDEX(Setup!$F$37:$F$49,$C27-36)="","",INDEX(Setup!$F$37:$F$49,$C27-36))))</f>
        <v>10.36</v>
      </c>
      <c r="V27" s="21" t="n">
        <f aca="false">IF($B27="","",IF($C27=0,"",IF(INDEX(Setup!$E$37:$E$49,$C27-36)="","",INDEX(Setup!$E$37:$E$49,$C27-36))))</f>
        <v>71.09</v>
      </c>
      <c r="W27" s="16" t="n">
        <f aca="false">IF($O27="","",IF(OR(Fits!$C$5&lt;&gt;"Yes",$D27="Blank",$L27&lt;=Fits!$B$6),$O27,($L27*$O27-Fits!$B$6*Fits!$B$7)/($L27-Fits!$B$6)))</f>
        <v>-5.874</v>
      </c>
      <c r="X27" s="16" t="n">
        <f aca="false">IF($W27="","",$W27-Fits!$B$20*($L27-Fits!$B$16))</f>
        <v>-5.874</v>
      </c>
      <c r="Y27" s="22" t="n">
        <f aca="false">IF($W27="","",IF(OR(Fits!$B$38="Row",$BI27=""),$A27,$BI27))</f>
        <v>22</v>
      </c>
      <c r="Z27" s="16" t="n">
        <f aca="false">IF($X27="","",$X27-Fits!$B$39*($Y27-Fits!$B$40))</f>
        <v>-6.04764734993478</v>
      </c>
      <c r="AA27" s="23" t="n">
        <f aca="false">IF(OR($Z27="",Fits!$B$55&lt;2),"",Fits!$B$56*$Z27+Fits!$B$57)</f>
        <v>-5.18123201657994</v>
      </c>
      <c r="AB27" s="16" t="n">
        <f aca="false">IF($R27="","",IF(OR(Fits!$C$9&lt;&gt;"Yes",$D27="Blank",$P27&lt;=Fits!$B$10),$R27,($P27*$R27-Fits!$B$10*Fits!$B$11)/($P27-Fits!$B$10)))</f>
        <v>-9.538</v>
      </c>
      <c r="AC27" s="16" t="n">
        <f aca="false">IF($AB27="","",$AB27-Fits!$B$28*($P27-Fits!$B$24))</f>
        <v>-9.54306049902886</v>
      </c>
      <c r="AD27" s="22" t="n">
        <f aca="false">IF($AB27="","",IF(OR(Fits!$B$50="Row",$BI27=""),$A27,$BI27))</f>
        <v>22</v>
      </c>
      <c r="AE27" s="16" t="n">
        <f aca="false">IF($AC27="","",$AC27-Fits!$B$51*($AD27-Fits!$B$52))</f>
        <v>-9.5124879545544</v>
      </c>
      <c r="AF27" s="23" t="n">
        <f aca="false">IF(OR($AE27="",Fits!$B$62&lt;2),"",Fits!$B$63*$AE27+Fits!$B$64)</f>
        <v>-26.6393361841822</v>
      </c>
      <c r="AG27" s="21" t="n">
        <f aca="false">IF(OR($L27="",Fits!$B$69&lt;3),"",($L27-Fits!$B$71)/Fits!$B$70)</f>
        <v>41.79845984302</v>
      </c>
      <c r="AH27" s="21" t="n">
        <f aca="false">IF(OR($P27="",Fits!$B$75&lt;3),"",($P27-Fits!$B$77)/Fits!$B$76)</f>
        <v>293.21625375764</v>
      </c>
      <c r="AI27" s="23" t="n">
        <f aca="false">IF(OR($AG27="",$G27="",$G27=0),"",$AG27/($G27*1000)*100)</f>
        <v>10.3976268266219</v>
      </c>
      <c r="AJ27" s="23" t="n">
        <f aca="false">IF(OR($AH27="",$G27="",$G27=0),"",$AH27/($G27*1000)*100)</f>
        <v>72.9393666063782</v>
      </c>
      <c r="AK27" s="23" t="n">
        <f aca="false">IF(OR($AG27="",$AH27="",$AG27&lt;=0),"",($AH27/Setup!$B$52)/($AG27/Setup!$B$53))</f>
        <v>8.180761337314</v>
      </c>
      <c r="AL27" s="23" t="n">
        <f aca="false">IF(OR($AG27="",$AH27="",$AG27&lt;=0),"",$AH27/$AG27)</f>
        <v>7.01500138662657</v>
      </c>
      <c r="AM27" s="9" t="str">
        <f aca="false">IF($D27="Linearity",IF($L27="","",$L27),"")</f>
        <v/>
      </c>
      <c r="AN27" s="9" t="str">
        <f aca="false">IF($D27="Linearity",IF($W27="","",$W27),"")</f>
        <v/>
      </c>
      <c r="AO27" s="9" t="str">
        <f aca="false">IF($D27="Linearity",IF($P27="","",$P27),"")</f>
        <v/>
      </c>
      <c r="AP27" s="9" t="str">
        <f aca="false">IF($D27="Linearity",IF($AB27="","",$AB27),"")</f>
        <v/>
      </c>
      <c r="AQ27" s="9" t="n">
        <f aca="false">IF($D27="Drift",IF($A27&lt;IF(Setup!$B$14="",0,Setup!$B$14),"",$A27),"")</f>
        <v>22</v>
      </c>
      <c r="AR27" s="22" t="n">
        <f aca="false">IF($D27="Drift",IF($A27&lt;IF(Setup!$B$14="",0,Setup!$B$14),"",IF($BI27="","",$BI27)),"")</f>
        <v>24.8</v>
      </c>
      <c r="AS27" s="24" t="n">
        <f aca="false">IF($D27="Drift",IF($A27&lt;IF(Setup!$B$14="",0,Setup!$B$14),"",IF(OR($X27="",$BX27=1),"",$X27)),"")</f>
        <v>-5.874</v>
      </c>
      <c r="AT27" s="24" t="n">
        <f aca="false">IF($D27="Drift",IF($A27&lt;IF(Setup!$B$14="",0,Setup!$B$14),"",IF(OR($AC27="",$BY27=1),"",$AC27)),"")</f>
        <v>-9.54306049902886</v>
      </c>
      <c r="AU27" s="9" t="str">
        <f aca="false">IF($D27="Anchor",IF(OR($Z27="",$S27=""),"",$Z27),"")</f>
        <v/>
      </c>
      <c r="AV27" s="9" t="str">
        <f aca="false">IF($D27="Anchor",IF(OR($Z27="",$S27=""),"",$S27),"")</f>
        <v/>
      </c>
      <c r="AW27" s="9" t="str">
        <f aca="false">IF($D27="Anchor",IF(OR($AE27="",$T27=""),"",$AE27),"")</f>
        <v/>
      </c>
      <c r="AX27" s="9" t="str">
        <f aca="false">IF($D27="Anchor",IF(OR($AE27="",$T27=""),"",$T27),"")</f>
        <v/>
      </c>
      <c r="AY27" s="9" t="n">
        <f aca="false">IF(OR($D27="Blank",$D27="Exclude",$D27="Sample",$D27="",$G27="",$U27="",$L27=""),"",$G27*1000*$U27/100)</f>
        <v>41.6472</v>
      </c>
      <c r="AZ27" s="24" t="n">
        <f aca="false">IF($AY27="","",$L27)</f>
        <v>27.288</v>
      </c>
      <c r="BA27" s="9" t="n">
        <f aca="false">IF(OR($D27="Blank",$D27="Exclude",$D27="Sample",$D27="",$G27="",$V27="",$P27=""),"",$G27*1000*$V27/100)</f>
        <v>285.7818</v>
      </c>
      <c r="BB27" s="24" t="n">
        <f aca="false">IF($BA27="","",$P27)</f>
        <v>130.484</v>
      </c>
      <c r="BC27" s="9" t="str">
        <f aca="false">IF(AND($D27="Blank",$L27&lt;&gt;""),$O27,"")</f>
        <v/>
      </c>
      <c r="BD27" s="9" t="str">
        <f aca="false">IF($BC27="","",$L27)</f>
        <v/>
      </c>
      <c r="BE27" s="9" t="str">
        <f aca="false">IF(AND($D27="Blank",$P27&lt;&gt;""),$R27,"")</f>
        <v/>
      </c>
      <c r="BF27" s="9" t="str">
        <f aca="false">IF($BE27="","",$P27)</f>
        <v/>
      </c>
      <c r="BG27" s="25" t="n">
        <f aca="false">IF(AND($D27="Drift",$BX27&lt;&gt;1),IF($AA27="","",$AA27),"")</f>
        <v>-5.18123201657994</v>
      </c>
      <c r="BH27" s="25" t="n">
        <f aca="false">IF(AND($D27="Drift",$BY27&lt;&gt;1),IF($AF27="","",$AF27),"")</f>
        <v>-26.6393361841822</v>
      </c>
      <c r="BI27" s="20" t="n">
        <f aca="false">IF($B27="","",IFERROR(INDEX(Raw!$G$2:$G$1001,MATCH($A27&amp;"|N|"&amp;SUMPRODUCT(MAX((Raw!$A$2:$A$1001=$A27)*(Raw!$R$2:$R$1001="N")*(Raw!$I$2:$I$1001=1)*Raw!$D$2:$D$1001)),Raw!$S$2:$S$1001,0)),""))</f>
        <v>24.8</v>
      </c>
      <c r="BJ27" s="21" t="n">
        <f aca="false">IF(OR($BI27="",Fits!$B$85&lt;=0),"",($BI27-Fits!$B$83)/Fits!$B$85)</f>
        <v>0.153153153153153</v>
      </c>
      <c r="BK27" s="9" t="n">
        <f aca="false">IF($AS27="","",IF($A27&gt;=Fits!$B$86,"",$A27))</f>
        <v>22</v>
      </c>
      <c r="BL27" s="24" t="n">
        <f aca="false">IF($BK27="","",$X27)</f>
        <v>-5.874</v>
      </c>
      <c r="BM27" s="9" t="str">
        <f aca="false">IF($AS27="","",IF($A27&lt;Fits!$B$86,"",$A27))</f>
        <v/>
      </c>
      <c r="BN27" s="9" t="str">
        <f aca="false">IF($BM27="","",$X27)</f>
        <v/>
      </c>
      <c r="BO27" s="24" t="n">
        <f aca="false">IF(AND($D27="Drift",$BX27&lt;&gt;1),IF($O27="","",$O27),"")</f>
        <v>-5.874</v>
      </c>
      <c r="BP27" s="24" t="n">
        <f aca="false">IF(AND($D27="Drift",$BX27&lt;&gt;1),IF($W27="","",$W27),"")</f>
        <v>-5.874</v>
      </c>
      <c r="BQ27" s="24" t="n">
        <f aca="false">IF(AND($D27="Drift",$BX27&lt;&gt;1),IF($X27="","",$X27),"")</f>
        <v>-5.874</v>
      </c>
      <c r="BR27" s="24" t="n">
        <f aca="false">IF(AND($D27="Drift",$BX27&lt;&gt;1),IF($Z27="","",$Z27),"")</f>
        <v>-6.04764734993478</v>
      </c>
      <c r="BS27" s="9" t="n">
        <f aca="false">IF(OR($B27="",$H27=""),"",SUMPRODUCT(MIN((Raw!$A$2:$A$1001=$A27)*(Raw!$R$2:$R$1001="N")*(Raw!$I$2:$I$1001=0)*(Raw!$D$2:$D$1001&lt;$H27)*Raw!$D$2:$D$1001+(1-(Raw!$A$2:$A$1001=$A27)*(Raw!$R$2:$R$1001="N")*(Raw!$I$2:$I$1001=0)*(Raw!$D$2:$D$1001&lt;$H27))*9999)))</f>
        <v>1</v>
      </c>
      <c r="BT27" s="16" t="n">
        <f aca="false">IF(OR($BS27="",$BS27=9999,$BS27=0),"",IFERROR(INDEX(Raw!$N$2:$N$1001,MATCH($A27&amp;"|N|"&amp;$BS27,Raw!$S$2:$S$1001,0)),""))</f>
        <v>-1.244</v>
      </c>
      <c r="BU27" s="9" t="n">
        <f aca="false">IF($B27="","",SUMPRODUCT(MIN((Raw!$A$2:$A$1001=$A27)*(Raw!$R$2:$R$1001="C")*(Raw!$I$2:$I$1001=1)*Raw!$D$2:$D$1001+(1-(Raw!$A$2:$A$1001=$A27)*(Raw!$R$2:$R$1001="C")*(Raw!$I$2:$I$1001=1))*9999)))</f>
        <v>5</v>
      </c>
      <c r="BV27" s="9" t="n">
        <f aca="false">IF(OR($BU27="",$BU27=9999),"",SUMPRODUCT(MIN((Raw!$A$2:$A$1001=$A27)*(Raw!$R$2:$R$1001="C")*(Raw!$I$2:$I$1001=0)*(Raw!$D$2:$D$1001&gt;$BU27)*Raw!$D$2:$D$1001+(1-(Raw!$A$2:$A$1001=$A27)*(Raw!$R$2:$R$1001="C")*(Raw!$I$2:$I$1001=0)*(Raw!$D$2:$D$1001&gt;$BU27))*9999)))</f>
        <v>6</v>
      </c>
      <c r="BW27" s="16" t="n">
        <f aca="false">IF(OR($BV27="",$BV27=9999,$BV27=0),"",IFERROR(INDEX(Raw!$O$2:$O$1001,MATCH($A27&amp;"|C|"&amp;$BV27,Raw!$S$2:$S$1001,0)),""))</f>
        <v>-25.363</v>
      </c>
      <c r="BX27" s="9" t="n">
        <f aca="false">IF($B27="","",IF(ISNUMBER(SEARCH(","&amp;$A27&amp;",",","&amp;SUBSTITUTE(Setup!$B$16," ","")&amp;",")),1,0))</f>
        <v>0</v>
      </c>
      <c r="BY27" s="9" t="n">
        <f aca="false">IF($B27="","",IF(ISNUMBER(SEARCH(","&amp;$A27&amp;",",","&amp;SUBSTITUTE(Setup!$B$17," ","")&amp;",")),1,0))</f>
        <v>0</v>
      </c>
      <c r="BZ27" s="22" t="n">
        <f aca="false">IF($AS27="","",IF(Fits!$B$38="Row",$AQ27,IF($AR27="","",$AR27)))</f>
        <v>22</v>
      </c>
      <c r="CA27" s="22" t="n">
        <f aca="false">IF($AT27="","",IF(Fits!$B$50="Row",$AQ27,IF($AR27="","",$AR27)))</f>
        <v>22</v>
      </c>
      <c r="CB27" s="20" t="n">
        <f aca="false">IF(OR($D27&lt;&gt;"Drift",$X27="",$A27&lt;IF(Setup!$B$14="",0,Setup!$B$14),Fits!$B$107&lt;3,Fits!$B$110="",Fits!$B$109=0,IF(Fits!$B$38="Row",$AQ27,$AR27)=""),"",IF($BX27=1,IF(OR(Fits!$B$111="",Fits!$B$111=0),"",($X27-(IF(Fits!$B$38="Row",Fits!$B$32,Fits!$B$35)*IF(Fits!$B$38="Row",$AQ27,$AR27)+Fits!$B$110))/(Fits!$B$111*SQRT(1+(1/Fits!$B$107+(IF(Fits!$B$38="Row",$AQ27,$AR27)-Fits!$B$108)^2/Fits!$B$109)))),IF(OR(Fits!$B$107&lt;4,(1/Fits!$B$107+(IF(Fits!$B$38="Row",$AQ27,$AR27)-Fits!$B$108)^2/Fits!$B$109)&gt;=1),"",IF((Fits!$B$116-($X27-(IF(Fits!$B$38="Row",Fits!$B$32,Fits!$B$35)*IF(Fits!$B$38="Row",$AQ27,$AR27)+Fits!$B$110))^2/(1-(1/Fits!$B$107+(IF(Fits!$B$38="Row",$AQ27,$AR27)-Fits!$B$108)^2/Fits!$B$109)))&lt;=0,"",($X27-(IF(Fits!$B$38="Row",Fits!$B$32,Fits!$B$35)*IF(Fits!$B$38="Row",$AQ27,$AR27)+Fits!$B$110))/(SQRT((Fits!$B$116-($X27-(IF(Fits!$B$38="Row",Fits!$B$32,Fits!$B$35)*IF(Fits!$B$38="Row",$AQ27,$AR27)+Fits!$B$110))^2/(1-(1/Fits!$B$107+(IF(Fits!$B$38="Row",$AQ27,$AR27)-Fits!$B$108)^2/Fits!$B$109)))/(Fits!$B$107-3))*SQRT(1-(1/Fits!$B$107+(IF(Fits!$B$38="Row",$AQ27,$AR27)-Fits!$B$108)^2/Fits!$B$109)))))))</f>
        <v>0.395722278933145</v>
      </c>
      <c r="CC27" s="20" t="n">
        <f aca="false">IF(OR($D27&lt;&gt;"Drift",$AC27="",$A27&lt;IF(Setup!$B$14="",0,Setup!$B$14),Fits!$B$120&lt;3,Fits!$B$123="",Fits!$B$122=0,IF(Fits!$B$50="Row",$AQ27,$AR27)=""),"",IF($BY27=1,IF(OR(Fits!$B$124="",Fits!$B$124=0),"",($AC27-(IF(Fits!$B$50="Row",Fits!$B$44,Fits!$B$47)*IF(Fits!$B$50="Row",$AQ27,$AR27)+Fits!$B$123))/(Fits!$B$124*SQRT(1+(1/Fits!$B$120+(IF(Fits!$B$50="Row",$AQ27,$AR27)-Fits!$B$121)^2/Fits!$B$122)))),IF(OR(Fits!$B$120&lt;4,(1/Fits!$B$120+(IF(Fits!$B$50="Row",$AQ27,$AR27)-Fits!$B$121)^2/Fits!$B$122)&gt;=1),"",IF((Fits!$B$129-($AC27-(IF(Fits!$B$50="Row",Fits!$B$44,Fits!$B$47)*IF(Fits!$B$50="Row",$AQ27,$AR27)+Fits!$B$123))^2/(1-(1/Fits!$B$120+(IF(Fits!$B$50="Row",$AQ27,$AR27)-Fits!$B$121)^2/Fits!$B$122)))&lt;=0,"",($AC27-(IF(Fits!$B$50="Row",Fits!$B$44,Fits!$B$47)*IF(Fits!$B$50="Row",$AQ27,$AR27)+Fits!$B$123))/(SQRT((Fits!$B$129-($AC27-(IF(Fits!$B$50="Row",Fits!$B$44,Fits!$B$47)*IF(Fits!$B$50="Row",$AQ27,$AR27)+Fits!$B$123))^2/(1-(1/Fits!$B$120+(IF(Fits!$B$50="Row",$AQ27,$AR27)-Fits!$B$121)^2/Fits!$B$122)))/(Fits!$B$120-3))*SQRT(1-(1/Fits!$B$120+(IF(Fits!$B$50="Row",$AQ27,$AR27)-Fits!$B$121)^2/Fits!$B$122)))))))</f>
        <v>-0.783958311905137</v>
      </c>
      <c r="CD27" s="9" t="str">
        <f aca="false">IF($AU27="","",1)</f>
        <v/>
      </c>
      <c r="CE27" s="24" t="str">
        <f aca="false">IF($AU27="","",$AU27-Fits!$B$133)</f>
        <v/>
      </c>
      <c r="CF27" s="24" t="str">
        <f aca="false">IF($AU27="","",($AV27-(Fits!$B$56*$AU27+Fits!$B$57))-Fits!$B$56*($AU27-Fits!$B$133))</f>
        <v/>
      </c>
      <c r="CG27" s="25" t="str">
        <f aca="false">IF($AU27="","",$AU27^2)</f>
        <v/>
      </c>
      <c r="CH27" s="9" t="str">
        <f aca="false">IF($AW27="","",1)</f>
        <v/>
      </c>
      <c r="CI27" s="24" t="str">
        <f aca="false">IF($AW27="","",$AW27-Fits!$B$153)</f>
        <v/>
      </c>
      <c r="CJ27" s="24" t="str">
        <f aca="false">IF($AW27="","",($AX27-(Fits!$B$63*$AW27+Fits!$B$64))-Fits!$B$63*($AW27-Fits!$B$153))</f>
        <v/>
      </c>
      <c r="CK27" s="25" t="str">
        <f aca="false">IF($AW27="","",$AW27^2)</f>
        <v/>
      </c>
      <c r="CL27" s="26" t="n">
        <f aca="false">IF(OR($Z27="",Fits!$B$55&lt;3,Fits!$B$133="",Fits!$B$134="",Fits!$B$134=0,Fits!$B$136=""),"",SQRT((Fits!$B$136*Fits!$B$56)^2+SUMPRODUCT((Fits!$J$163:$J$175*(Fits!$B$163:$B$175/Fits!$B$55+Fits!$H$163:$H$175*($Z27-Fits!$B$133)/Fits!$B$134))^2)+SUMPRODUCT((Fits!$G$163:$G$175*(($Z27-Fits!$B$133)*Fits!$I$163:$I$175/Fits!$B$134-Fits!$B$163:$B$175*Fits!$B$56/Fits!$B$55))^2)))</f>
        <v>0.255598364381971</v>
      </c>
      <c r="CM27" s="26" t="n">
        <f aca="false">IF($CL27="","",Setup!$B$32*$CL27)</f>
        <v>0.511196728763943</v>
      </c>
      <c r="CN27" s="26" t="n">
        <f aca="false">IF(OR($AE27="",Fits!$B$62&lt;3,Fits!$B$153="",Fits!$B$154="",Fits!$B$154=0,Fits!$B$156=""),"",SQRT((Fits!$B$156*Fits!$B$63)^2+SUMPRODUCT((Fits!$J$183:$J$195*(Fits!$B$183:$B$195/Fits!$B$62+Fits!$H$183:$H$195*($AE27-Fits!$B$153)/Fits!$B$154))^2)+SUMPRODUCT((Fits!$G$183:$G$195*(($AE27-Fits!$B$153)*Fits!$I$183:$I$195/Fits!$B$154-Fits!$B$183:$B$195*Fits!$B$63/Fits!$B$62))^2)))</f>
        <v>0.0378595521770107</v>
      </c>
      <c r="CO27" s="26" t="n">
        <f aca="false">IF($CN27="","",Setup!$B$32*$CN27)</f>
        <v>0.0757191043540214</v>
      </c>
      <c r="CP27" s="9" t="n">
        <f aca="false">IF(OR(NOT(ISNUMBER($BJ27)),$EK27=1),$CP26,IF($BJ27&lt;=Setup!$B$26,$CP26+1,0))</f>
        <v>0</v>
      </c>
      <c r="CQ27" s="9" t="n">
        <f aca="false">IF($BT27="","",$A27)</f>
        <v>22</v>
      </c>
      <c r="CR27" s="9" t="n">
        <f aca="false">IF($BW27="","",$A27)</f>
        <v>22</v>
      </c>
      <c r="CS27" s="9" t="n">
        <f aca="false">IF($B27="","",IF(Setup!$A$37="",0,IF(ISNUMBER(SEARCH(Setup!$A$37,$B27)),37,0)))</f>
        <v>0</v>
      </c>
      <c r="CT27" s="9" t="n">
        <f aca="false">IF($B27="","",IF(Setup!$A$38="",0,IF(ISNUMBER(SEARCH(Setup!$A$38,$B27)),38,0)))</f>
        <v>0</v>
      </c>
      <c r="CU27" s="9" t="n">
        <f aca="false">IF($B27="","",IF(Setup!$A$39="",0,IF(ISNUMBER(SEARCH(Setup!$A$39,$B27)),39,0)))</f>
        <v>0</v>
      </c>
      <c r="CV27" s="9" t="n">
        <f aca="false">IF($B27="","",IF(Setup!$A$40="",0,IF(ISNUMBER(SEARCH(Setup!$A$40,$B27)),40,0)))</f>
        <v>0</v>
      </c>
      <c r="CW27" s="9" t="n">
        <f aca="false">IF($B27="","",IF(Setup!$A$41="",0,IF(ISNUMBER(SEARCH(Setup!$A$41,$B27)),41,0)))</f>
        <v>0</v>
      </c>
      <c r="CX27" s="9" t="n">
        <f aca="false">IF($B27="","",IF(Setup!$A$42="",0,IF(ISNUMBER(SEARCH(Setup!$A$42,$B27)),42,0)))</f>
        <v>0</v>
      </c>
      <c r="CY27" s="9" t="n">
        <f aca="false">IF($B27="","",IF(Setup!$A$43="",0,IF(ISNUMBER(SEARCH(Setup!$A$43,$B27)),43,0)))</f>
        <v>43</v>
      </c>
      <c r="CZ27" s="9" t="n">
        <f aca="false">IF($B27="","",IF(Setup!$A$44="",0,IF(ISNUMBER(SEARCH(Setup!$A$44,$B27)),44,0)))</f>
        <v>0</v>
      </c>
      <c r="DA27" s="9" t="n">
        <f aca="false">IF($B27="","",IF(Setup!$A$45="",0,IF(ISNUMBER(SEARCH(Setup!$A$45,$B27)),45,0)))</f>
        <v>0</v>
      </c>
      <c r="DB27" s="9" t="n">
        <f aca="false">IF($B27="","",IF(Setup!$A$46="",0,IF(ISNUMBER(SEARCH(Setup!$A$46,$B27)),46,0)))</f>
        <v>0</v>
      </c>
      <c r="DC27" s="9" t="n">
        <f aca="false">IF($B27="","",IF(Setup!$A$47="",0,IF(ISNUMBER(SEARCH(Setup!$A$47,$B27)),47,0)))</f>
        <v>0</v>
      </c>
      <c r="DD27" s="9" t="n">
        <f aca="false">IF($B27="","",IF(Setup!$A$48="",0,IF(ISNUMBER(SEARCH(Setup!$A$48,$B27)),48,0)))</f>
        <v>0</v>
      </c>
      <c r="DE27" s="9" t="n">
        <f aca="false">IF($B27="","",IF(Setup!$A$49="",0,IF(ISNUMBER(SEARCH(Setup!$A$49,$B27)),49,0)))</f>
        <v>0</v>
      </c>
      <c r="DF27" s="9" t="n">
        <f aca="false">IF($B27="",NA(),$A27)</f>
        <v>22</v>
      </c>
      <c r="DG27" s="22" t="n">
        <f aca="false">IF($BI27="",NA(),$BI27)</f>
        <v>24.8</v>
      </c>
      <c r="DH27" s="22" t="n">
        <f aca="false">IF($N27="",NA(),$N27)</f>
        <v>26.1</v>
      </c>
      <c r="DI27" s="22" t="n">
        <f aca="false">IF(AND($D27="Drift",$N27&lt;&gt;""),$N27,NA())</f>
        <v>26.1</v>
      </c>
      <c r="DJ27" s="22" t="n">
        <f aca="false">IF(AND($D27="Drift",$N27&lt;&gt;""),$N27,"")</f>
        <v>26.1</v>
      </c>
      <c r="DK27" s="9" t="n">
        <f aca="false">IF($DJ27="","",$A27)</f>
        <v>22</v>
      </c>
      <c r="DL27" s="9" t="e">
        <f aca="false">IF($AN27="",NA(),$AM27)</f>
        <v>#N/A</v>
      </c>
      <c r="DM27" s="9" t="e">
        <f aca="false">IF($AN27="",NA(),$AN27)</f>
        <v>#N/A</v>
      </c>
      <c r="DN27" s="9" t="e">
        <f aca="false">IF(AND($D27="Sample",$L27&lt;&gt;""),$L27,NA())</f>
        <v>#N/A</v>
      </c>
      <c r="DO27" s="9" t="e">
        <f aca="false">IF(AND($D27="Sample",$L27&lt;&gt;"",Fits!$B$98&lt;&gt;""),Fits!$B$98,NA())</f>
        <v>#N/A</v>
      </c>
      <c r="DP27" s="24" t="n">
        <f aca="false">IF($AS27="",NA(),$AS27)</f>
        <v>-5.874</v>
      </c>
      <c r="DQ27" s="9" t="e">
        <f aca="false">IF(AND($D27="Drift",$AS27="",$X27&lt;&gt;""),$X27,NA())</f>
        <v>#N/A</v>
      </c>
      <c r="DR27" s="24" t="n">
        <f aca="false">IF(AND($D27="Drift",$Z27&lt;&gt;""),$Z27,NA())</f>
        <v>-6.04764734993478</v>
      </c>
      <c r="DS27" s="9" t="e">
        <f aca="false">IF(AND(OR($D27="Sample",$D27="Check"),$AA27&lt;&gt;""),$AA27,NA())</f>
        <v>#N/A</v>
      </c>
      <c r="DT27" s="25" t="n">
        <f aca="false">IF(OR($B27="",Fits!$B$138=""),NA(),Fits!$B$138)</f>
        <v>1.76</v>
      </c>
      <c r="DU27" s="25" t="n">
        <f aca="false">IF(OR($B27="",Fits!$B$139=""),NA(),Fits!$B$139)</f>
        <v>20.68</v>
      </c>
      <c r="DV27" s="24" t="n">
        <f aca="false">IF($BT27="",NA(),$BT27)</f>
        <v>-1.244</v>
      </c>
      <c r="DW27" s="9" t="e">
        <f aca="false">IF($AP27="",NA(),$AO27)</f>
        <v>#N/A</v>
      </c>
      <c r="DX27" s="9" t="e">
        <f aca="false">IF($AP27="",NA(),$AP27)</f>
        <v>#N/A</v>
      </c>
      <c r="DY27" s="9" t="e">
        <f aca="false">IF(AND($D27="Sample",$P27&lt;&gt;""),$P27,NA())</f>
        <v>#N/A</v>
      </c>
      <c r="DZ27" s="9" t="e">
        <f aca="false">IF(AND($D27="Sample",$P27&lt;&gt;"",Fits!$B$105&lt;&gt;""),Fits!$B$105,NA())</f>
        <v>#N/A</v>
      </c>
      <c r="EA27" s="24" t="n">
        <f aca="false">IF($AT27="",NA(),$AT27)</f>
        <v>-9.54306049902886</v>
      </c>
      <c r="EB27" s="9" t="e">
        <f aca="false">IF(AND($D27="Drift",$AT27="",$AC27&lt;&gt;""),$AC27,NA())</f>
        <v>#N/A</v>
      </c>
      <c r="EC27" s="24" t="n">
        <f aca="false">IF(AND($D27="Drift",$AE27&lt;&gt;""),$AE27,NA())</f>
        <v>-9.5124879545544</v>
      </c>
      <c r="ED27" s="9" t="e">
        <f aca="false">IF(AND(OR($D27="Sample",$D27="Check"),$AF27&lt;&gt;""),$AF27,NA())</f>
        <v>#N/A</v>
      </c>
      <c r="EE27" s="25" t="n">
        <f aca="false">IF(OR($B27="",Fits!$B$158=""),NA(),Fits!$B$158)</f>
        <v>-40.81</v>
      </c>
      <c r="EF27" s="25" t="n">
        <f aca="false">IF(OR($B27="",Fits!$B$159=""),NA(),Fits!$B$159)</f>
        <v>-20.29</v>
      </c>
      <c r="EG27" s="24" t="n">
        <f aca="false">IF($BW27="",NA(),$BW27)</f>
        <v>-25.363</v>
      </c>
      <c r="EH27" s="9" t="e">
        <f aca="false">IF(AND($EN27=1,ISNUMBER($N27)),$N27,NA())</f>
        <v>#N/A</v>
      </c>
      <c r="EI27" s="9" t="n">
        <f aca="false">IF($B27="","",$A27)</f>
        <v>22</v>
      </c>
      <c r="EJ27" s="9" t="n">
        <f aca="false">IF(OR(AND(ISNUMBER($L27),Fits!$B$97&gt;0,$L27&gt;Fits!$B$97),AND(ISNUMBER($P27),Fits!$B$104&gt;0,$P27&gt;Fits!$B$104)),1,0)</f>
        <v>0</v>
      </c>
      <c r="EK27" s="9" t="n">
        <f aca="false">IF(OR($EJ26=1,$EJ25=1),1,0)</f>
        <v>0</v>
      </c>
      <c r="EL27" s="22" t="n">
        <f aca="false">IF(AND($EK27=0,ISNUMBER($N27)),$N27,$EL26)</f>
        <v>26.1</v>
      </c>
      <c r="EM27" s="9" t="str">
        <f aca="false">IF(AND($EK27=1,ISNUMBER($N27),ISNUMBER($EL27)),$N27-$EL27,"")</f>
        <v/>
      </c>
      <c r="EN27" s="9" t="n">
        <f aca="false">IF(Setup!$B$28="",0,IF(ISNUMBER($EM27),IF($EM27&gt;Setup!$B$28,1,0),0))</f>
        <v>0</v>
      </c>
      <c r="EO27" s="9" t="str">
        <f aca="false">IF($EN27=1,COUNTIF($EN$6:$EN27,1),"")</f>
        <v/>
      </c>
      <c r="EP27" s="9" t="n">
        <f aca="false">IF(AND($EJ26=1,OR($D27="Sample",$D27="Check")),1,0)</f>
        <v>0</v>
      </c>
      <c r="EQ27" s="9" t="str">
        <f aca="false">IF(ISNUMBER($BI27),IF(COUNT($BI$6:$BI27)&lt;=5,$BI27,""),"")</f>
        <v/>
      </c>
      <c r="ER27" s="9" t="str">
        <f aca="false">IF(OR(NOT(ISNUMBER($BJ27)),$EK27=1),$ER26,IF($BJ27&lt;=Setup!$B$26,IF($CP26=0,$A27,$ER26),""))</f>
        <v/>
      </c>
    </row>
    <row r="28" customFormat="false" ht="15" hidden="false" customHeight="false" outlineLevel="0" collapsed="false">
      <c r="A28" s="8" t="n">
        <v>23</v>
      </c>
      <c r="B28" s="8" t="str">
        <f aca="false">IFERROR(INDEX(Raw!$B$2:$B$1001,MATCH($A28,Raw!$A$2:$A$1001,0)),"")</f>
        <v>Random</v>
      </c>
      <c r="C28" s="9" t="n">
        <f aca="false">IF($B28="","",MAX($CS28:$DE28))</f>
        <v>0</v>
      </c>
      <c r="D28" s="8" t="str">
        <f aca="false">IF($B28="","",IF($C28=0,"Sample",INDEX(Setup!$B$37:$B$49,$C28-36)))</f>
        <v>Sample</v>
      </c>
      <c r="E28" s="16" t="str">
        <f aca="false">IF($B28="","",IFERROR(IF(INDEX(Raw!$E$2:$E$1001,MATCH($A28,Raw!$A$2:$A$1001,0))=0,"",INDEX(Raw!$E$2:$E$1001,MATCH($A28,Raw!$A$2:$A$1001,0))),""))</f>
        <v/>
      </c>
      <c r="F28" s="18"/>
      <c r="G28" s="16" t="str">
        <f aca="false">IF($B28="","",IF($F28&lt;&gt;"",$F28,IF($E28="","",$E28)))</f>
        <v/>
      </c>
      <c r="H28" s="9" t="n">
        <f aca="false">IF($B28="","",SUMPRODUCT(MAX((Raw!$A$2:$A$1001=$A28)*(Raw!$R$2:$R$1001="N")*Raw!$D$2:$D$1001)))</f>
        <v>3</v>
      </c>
      <c r="I28" s="9" t="str">
        <f aca="false">IF(OR($H28="",$H28=0),"",$A28&amp;"|N|"&amp;$H28)</f>
        <v>23|N|3</v>
      </c>
      <c r="J28" s="9" t="n">
        <f aca="false">IF($B28="","",SUMPRODUCT(MIN((Raw!$A$2:$A$1001=$A28)*(Raw!$R$2:$R$1001="C")*Raw!$D$2:$D$1001+(1-(Raw!$A$2:$A$1001=$A28)*(Raw!$R$2:$R$1001="C"))*9999)))</f>
        <v>4</v>
      </c>
      <c r="K28" s="9" t="str">
        <f aca="false">IF(OR($J28="",$J28=0,$J28=9999),"",$A28&amp;"|C|"&amp;$J28)</f>
        <v>23|C|4</v>
      </c>
      <c r="L28" s="16" t="n">
        <f aca="false">IF($I28="","",IF(INDEX(Raw!$I$2:$I$1001,MATCH($I28,Raw!$S$2:$S$1001,0))&lt;&gt;0,"",INDEX(Raw!$H$2:$H$1001,MATCH($I28,Raw!$S$2:$S$1001,0))))</f>
        <v>59.328</v>
      </c>
      <c r="M28" s="19" t="n">
        <f aca="false">IF($I28="","",IF(INDEX(Raw!$I$2:$I$1001,MATCH($I28,Raw!$S$2:$S$1001,0))&lt;&gt;0,"",INDEX(Raw!$F$2:$F$1001,MATCH($I28,Raw!$S$2:$S$1001,0))))</f>
        <v>3433</v>
      </c>
      <c r="N28" s="20" t="n">
        <f aca="false">IF($I28="","",IF(INDEX(Raw!$I$2:$I$1001,MATCH($I28,Raw!$S$2:$S$1001,0))&lt;&gt;0,"",INDEX(Raw!$G$2:$G$1001,MATCH($I28,Raw!$S$2:$S$1001,0))))</f>
        <v>26</v>
      </c>
      <c r="O28" s="16" t="n">
        <f aca="false">IF($I28="","",IF(INDEX(Raw!$I$2:$I$1001,MATCH($I28,Raw!$S$2:$S$1001,0))&lt;&gt;0,"",INDEX(Raw!$N$2:$N$1001,MATCH($I28,Raw!$S$2:$S$1001,0))))</f>
        <v>-3.251</v>
      </c>
      <c r="P28" s="16" t="n">
        <f aca="false">IF($K28="","",IF(INDEX(Raw!$I$2:$I$1001,MATCH($K28,Raw!$S$2:$S$1001,0))&lt;&gt;0,"",INDEX(Raw!$K$2:$K$1001,MATCH($K28,Raw!$S$2:$S$1001,0))))</f>
        <v>18.131</v>
      </c>
      <c r="Q28" s="19" t="n">
        <f aca="false">IF($K28="","",IF(INDEX(Raw!$I$2:$I$1001,MATCH($K28,Raw!$S$2:$S$1001,0))&lt;&gt;0,"",INDEX(Raw!$J$2:$J$1001,MATCH($K28,Raw!$S$2:$S$1001,0))))</f>
        <v>825</v>
      </c>
      <c r="R28" s="16" t="n">
        <f aca="false">IF($K28="","",IF(INDEX(Raw!$I$2:$I$1001,MATCH($K28,Raw!$S$2:$S$1001,0))&lt;&gt;0,"",INDEX(Raw!$O$2:$O$1001,MATCH($K28,Raw!$S$2:$S$1001,0))))</f>
        <v>-18.113</v>
      </c>
      <c r="S28" s="21" t="str">
        <f aca="false">IF($B28="","",IF($C28=0,"",IF(INDEX(Setup!$D$37:$D$49,$C28-36)="","",INDEX(Setup!$D$37:$D$49,$C28-36))))</f>
        <v/>
      </c>
      <c r="T28" s="21" t="str">
        <f aca="false">IF($B28="","",IF($C28=0,"",IF(INDEX(Setup!$C$37:$C$49,$C28-36)="","",INDEX(Setup!$C$37:$C$49,$C28-36))))</f>
        <v/>
      </c>
      <c r="U28" s="21" t="str">
        <f aca="false">IF($B28="","",IF($C28=0,"",IF(INDEX(Setup!$F$37:$F$49,$C28-36)="","",INDEX(Setup!$F$37:$F$49,$C28-36))))</f>
        <v/>
      </c>
      <c r="V28" s="21" t="str">
        <f aca="false">IF($B28="","",IF($C28=0,"",IF(INDEX(Setup!$E$37:$E$49,$C28-36)="","",INDEX(Setup!$E$37:$E$49,$C28-36))))</f>
        <v/>
      </c>
      <c r="W28" s="16" t="n">
        <f aca="false">IF($O28="","",IF(OR(Fits!$C$5&lt;&gt;"Yes",$D28="Blank",$L28&lt;=Fits!$B$6),$O28,($L28*$O28-Fits!$B$6*Fits!$B$7)/($L28-Fits!$B$6)))</f>
        <v>-3.251</v>
      </c>
      <c r="X28" s="16" t="n">
        <f aca="false">IF($W28="","",$W28-Fits!$B$20*($L28-Fits!$B$16))</f>
        <v>-3.251</v>
      </c>
      <c r="Y28" s="22" t="n">
        <f aca="false">IF($W28="","",IF(OR(Fits!$B$38="Row",$BI28=""),$A28,$BI28))</f>
        <v>23</v>
      </c>
      <c r="Z28" s="16" t="n">
        <f aca="false">IF($X28="","",$X28-Fits!$B$39*($Y28-Fits!$B$40))</f>
        <v>-3.40989299994032</v>
      </c>
      <c r="AA28" s="23" t="n">
        <f aca="false">IF(OR($Z28="",Fits!$B$55&lt;2),"",Fits!$B$56*$Z28+Fits!$B$57)</f>
        <v>-2.47331935416829</v>
      </c>
      <c r="AB28" s="16" t="n">
        <f aca="false">IF($R28="","",IF(OR(Fits!$C$9&lt;&gt;"Yes",$D28="Blank",$P28&lt;=Fits!$B$10),$R28,($P28*$R28-Fits!$B$10*Fits!$B$11)/($P28-Fits!$B$10)))</f>
        <v>-18.113</v>
      </c>
      <c r="AC28" s="16" t="n">
        <f aca="false">IF($AB28="","",$AB28-Fits!$B$28*($P28-Fits!$B$24))</f>
        <v>-17.9233807361837</v>
      </c>
      <c r="AD28" s="22" t="n">
        <f aca="false">IF($AB28="","",IF(OR(Fits!$B$50="Row",$BI28=""),$A28,$BI28))</f>
        <v>23</v>
      </c>
      <c r="AE28" s="16" t="n">
        <f aca="false">IF($AC28="","",$AC28-Fits!$B$51*($AD28-Fits!$B$52))</f>
        <v>-17.8954058588869</v>
      </c>
      <c r="AF28" s="23" t="n">
        <f aca="false">IF(OR($AE28="",Fits!$B$62&lt;2),"",Fits!$B$63*$AE28+Fits!$B$64)</f>
        <v>-35.1408773286832</v>
      </c>
      <c r="AG28" s="21" t="n">
        <f aca="false">IF(OR($L28="",Fits!$B$69&lt;3),"",($L28-Fits!$B$71)/Fits!$B$70)</f>
        <v>94.7256042977681</v>
      </c>
      <c r="AH28" s="21" t="n">
        <f aca="false">IF(OR($P28="",Fits!$B$75&lt;3),"",($P28-Fits!$B$77)/Fits!$B$76)</f>
        <v>37.3150237611853</v>
      </c>
      <c r="AI28" s="23" t="str">
        <f aca="false">IF(OR($AG28="",$G28="",$G28=0),"",$AG28/($G28*1000)*100)</f>
        <v/>
      </c>
      <c r="AJ28" s="23" t="str">
        <f aca="false">IF(OR($AH28="",$G28="",$G28=0),"",$AH28/($G28*1000)*100)</f>
        <v/>
      </c>
      <c r="AK28" s="23" t="n">
        <f aca="false">IF(OR($AG28="",$AH28="",$AG28&lt;=0),"",($AH28/Setup!$B$52)/($AG28/Setup!$B$53))</f>
        <v>0.459390806481545</v>
      </c>
      <c r="AL28" s="23" t="n">
        <f aca="false">IF(OR($AG28="",$AH28="",$AG28&lt;=0),"",$AH28/$AG28)</f>
        <v>0.393927534564849</v>
      </c>
      <c r="AM28" s="9" t="str">
        <f aca="false">IF($D28="Linearity",IF($L28="","",$L28),"")</f>
        <v/>
      </c>
      <c r="AN28" s="9" t="str">
        <f aca="false">IF($D28="Linearity",IF($W28="","",$W28),"")</f>
        <v/>
      </c>
      <c r="AO28" s="9" t="str">
        <f aca="false">IF($D28="Linearity",IF($P28="","",$P28),"")</f>
        <v/>
      </c>
      <c r="AP28" s="9" t="str">
        <f aca="false">IF($D28="Linearity",IF($AB28="","",$AB28),"")</f>
        <v/>
      </c>
      <c r="AQ28" s="9" t="str">
        <f aca="false">IF($D28="Drift",IF($A28&lt;IF(Setup!$B$14="",0,Setup!$B$14),"",$A28),"")</f>
        <v/>
      </c>
      <c r="AR28" s="9" t="str">
        <f aca="false">IF($D28="Drift",IF($A28&lt;IF(Setup!$B$14="",0,Setup!$B$14),"",IF($BI28="","",$BI28)),"")</f>
        <v/>
      </c>
      <c r="AS28" s="9" t="str">
        <f aca="false">IF($D28="Drift",IF($A28&lt;IF(Setup!$B$14="",0,Setup!$B$14),"",IF(OR($X28="",$BX28=1),"",$X28)),"")</f>
        <v/>
      </c>
      <c r="AT28" s="9" t="str">
        <f aca="false">IF($D28="Drift",IF($A28&lt;IF(Setup!$B$14="",0,Setup!$B$14),"",IF(OR($AC28="",$BY28=1),"",$AC28)),"")</f>
        <v/>
      </c>
      <c r="AU28" s="9" t="str">
        <f aca="false">IF($D28="Anchor",IF(OR($Z28="",$S28=""),"",$Z28),"")</f>
        <v/>
      </c>
      <c r="AV28" s="9" t="str">
        <f aca="false">IF($D28="Anchor",IF(OR($Z28="",$S28=""),"",$S28),"")</f>
        <v/>
      </c>
      <c r="AW28" s="9" t="str">
        <f aca="false">IF($D28="Anchor",IF(OR($AE28="",$T28=""),"",$AE28),"")</f>
        <v/>
      </c>
      <c r="AX28" s="9" t="str">
        <f aca="false">IF($D28="Anchor",IF(OR($AE28="",$T28=""),"",$T28),"")</f>
        <v/>
      </c>
      <c r="AY28" s="9" t="str">
        <f aca="false">IF(OR($D28="Blank",$D28="Exclude",$D28="Sample",$D28="",$G28="",$U28="",$L28=""),"",$G28*1000*$U28/100)</f>
        <v/>
      </c>
      <c r="AZ28" s="9" t="str">
        <f aca="false">IF($AY28="","",$L28)</f>
        <v/>
      </c>
      <c r="BA28" s="9" t="str">
        <f aca="false">IF(OR($D28="Blank",$D28="Exclude",$D28="Sample",$D28="",$G28="",$V28="",$P28=""),"",$G28*1000*$V28/100)</f>
        <v/>
      </c>
      <c r="BB28" s="9" t="str">
        <f aca="false">IF($BA28="","",$P28)</f>
        <v/>
      </c>
      <c r="BC28" s="9" t="str">
        <f aca="false">IF(AND($D28="Blank",$L28&lt;&gt;""),$O28,"")</f>
        <v/>
      </c>
      <c r="BD28" s="9" t="str">
        <f aca="false">IF($BC28="","",$L28)</f>
        <v/>
      </c>
      <c r="BE28" s="9" t="str">
        <f aca="false">IF(AND($D28="Blank",$P28&lt;&gt;""),$R28,"")</f>
        <v/>
      </c>
      <c r="BF28" s="9" t="str">
        <f aca="false">IF($BE28="","",$P28)</f>
        <v/>
      </c>
      <c r="BG28" s="9" t="str">
        <f aca="false">IF(AND($D28="Drift",$BX28&lt;&gt;1),IF($AA28="","",$AA28),"")</f>
        <v/>
      </c>
      <c r="BH28" s="9" t="str">
        <f aca="false">IF(AND($D28="Drift",$BY28&lt;&gt;1),IF($AF28="","",$AF28),"")</f>
        <v/>
      </c>
      <c r="BI28" s="20" t="n">
        <f aca="false">IF($B28="","",IFERROR(INDEX(Raw!$G$2:$G$1001,MATCH($A28&amp;"|N|"&amp;SUMPRODUCT(MAX((Raw!$A$2:$A$1001=$A28)*(Raw!$R$2:$R$1001="N")*(Raw!$I$2:$I$1001=1)*Raw!$D$2:$D$1001)),Raw!$S$2:$S$1001,0)),""))</f>
        <v>24.7</v>
      </c>
      <c r="BJ28" s="21" t="n">
        <f aca="false">IF(OR($BI28="",Fits!$B$85&lt;=0),"",($BI28-Fits!$B$83)/Fits!$B$85)</f>
        <v>0.144144144144144</v>
      </c>
      <c r="BK28" s="9" t="str">
        <f aca="false">IF($AS28="","",IF($A28&gt;=Fits!$B$86,"",$A28))</f>
        <v/>
      </c>
      <c r="BL28" s="9" t="str">
        <f aca="false">IF($BK28="","",$X28)</f>
        <v/>
      </c>
      <c r="BM28" s="9" t="str">
        <f aca="false">IF($AS28="","",IF($A28&lt;Fits!$B$86,"",$A28))</f>
        <v/>
      </c>
      <c r="BN28" s="9" t="str">
        <f aca="false">IF($BM28="","",$X28)</f>
        <v/>
      </c>
      <c r="BO28" s="9" t="str">
        <f aca="false">IF(AND($D28="Drift",$BX28&lt;&gt;1),IF($O28="","",$O28),"")</f>
        <v/>
      </c>
      <c r="BP28" s="9" t="str">
        <f aca="false">IF(AND($D28="Drift",$BX28&lt;&gt;1),IF($W28="","",$W28),"")</f>
        <v/>
      </c>
      <c r="BQ28" s="9" t="str">
        <f aca="false">IF(AND($D28="Drift",$BX28&lt;&gt;1),IF($X28="","",$X28),"")</f>
        <v/>
      </c>
      <c r="BR28" s="9" t="str">
        <f aca="false">IF(AND($D28="Drift",$BX28&lt;&gt;1),IF($Z28="","",$Z28),"")</f>
        <v/>
      </c>
      <c r="BS28" s="9" t="n">
        <f aca="false">IF(OR($B28="",$H28=""),"",SUMPRODUCT(MIN((Raw!$A$2:$A$1001=$A28)*(Raw!$R$2:$R$1001="N")*(Raw!$I$2:$I$1001=0)*(Raw!$D$2:$D$1001&lt;$H28)*Raw!$D$2:$D$1001+(1-(Raw!$A$2:$A$1001=$A28)*(Raw!$R$2:$R$1001="N")*(Raw!$I$2:$I$1001=0)*(Raw!$D$2:$D$1001&lt;$H28))*9999)))</f>
        <v>1</v>
      </c>
      <c r="BT28" s="16" t="n">
        <f aca="false">IF(OR($BS28="",$BS28=9999,$BS28=0),"",IFERROR(INDEX(Raw!$N$2:$N$1001,MATCH($A28&amp;"|N|"&amp;$BS28,Raw!$S$2:$S$1001,0)),""))</f>
        <v>-1.259</v>
      </c>
      <c r="BU28" s="9" t="n">
        <f aca="false">IF($B28="","",SUMPRODUCT(MIN((Raw!$A$2:$A$1001=$A28)*(Raw!$R$2:$R$1001="C")*(Raw!$I$2:$I$1001=1)*Raw!$D$2:$D$1001+(1-(Raw!$A$2:$A$1001=$A28)*(Raw!$R$2:$R$1001="C")*(Raw!$I$2:$I$1001=1))*9999)))</f>
        <v>5</v>
      </c>
      <c r="BV28" s="9" t="n">
        <f aca="false">IF(OR($BU28="",$BU28=9999),"",SUMPRODUCT(MIN((Raw!$A$2:$A$1001=$A28)*(Raw!$R$2:$R$1001="C")*(Raw!$I$2:$I$1001=0)*(Raw!$D$2:$D$1001&gt;$BU28)*Raw!$D$2:$D$1001+(1-(Raw!$A$2:$A$1001=$A28)*(Raw!$R$2:$R$1001="C")*(Raw!$I$2:$I$1001=0)*(Raw!$D$2:$D$1001&gt;$BU28))*9999)))</f>
        <v>6</v>
      </c>
      <c r="BW28" s="16" t="n">
        <f aca="false">IF(OR($BV28="",$BV28=9999,$BV28=0),"",IFERROR(INDEX(Raw!$O$2:$O$1001,MATCH($A28&amp;"|C|"&amp;$BV28,Raw!$S$2:$S$1001,0)),""))</f>
        <v>-25.458</v>
      </c>
      <c r="BX28" s="9" t="n">
        <f aca="false">IF($B28="","",IF(ISNUMBER(SEARCH(","&amp;$A28&amp;",",","&amp;SUBSTITUTE(Setup!$B$16," ","")&amp;",")),1,0))</f>
        <v>0</v>
      </c>
      <c r="BY28" s="9" t="n">
        <f aca="false">IF($B28="","",IF(ISNUMBER(SEARCH(","&amp;$A28&amp;",",","&amp;SUBSTITUTE(Setup!$B$17," ","")&amp;",")),1,0))</f>
        <v>0</v>
      </c>
      <c r="BZ28" s="22" t="str">
        <f aca="false">IF($AS28="","",IF(Fits!$B$38="Row",$AQ28,IF($AR28="","",$AR28)))</f>
        <v/>
      </c>
      <c r="CA28" s="22" t="str">
        <f aca="false">IF($AT28="","",IF(Fits!$B$50="Row",$AQ28,IF($AR28="","",$AR28)))</f>
        <v/>
      </c>
      <c r="CB28" s="20" t="str">
        <f aca="false">IF(OR($D28&lt;&gt;"Drift",$X28="",$A28&lt;IF(Setup!$B$14="",0,Setup!$B$14),Fits!$B$107&lt;3,Fits!$B$110="",Fits!$B$109=0,IF(Fits!$B$38="Row",$AQ28,$AR28)=""),"",IF($BX28=1,IF(OR(Fits!$B$111="",Fits!$B$111=0),"",($X28-(IF(Fits!$B$38="Row",Fits!$B$32,Fits!$B$35)*IF(Fits!$B$38="Row",$AQ28,$AR28)+Fits!$B$110))/(Fits!$B$111*SQRT(1+(1/Fits!$B$107+(IF(Fits!$B$38="Row",$AQ28,$AR28)-Fits!$B$108)^2/Fits!$B$109)))),IF(OR(Fits!$B$107&lt;4,(1/Fits!$B$107+(IF(Fits!$B$38="Row",$AQ28,$AR28)-Fits!$B$108)^2/Fits!$B$109)&gt;=1),"",IF((Fits!$B$116-($X28-(IF(Fits!$B$38="Row",Fits!$B$32,Fits!$B$35)*IF(Fits!$B$38="Row",$AQ28,$AR28)+Fits!$B$110))^2/(1-(1/Fits!$B$107+(IF(Fits!$B$38="Row",$AQ28,$AR28)-Fits!$B$108)^2/Fits!$B$109)))&lt;=0,"",($X28-(IF(Fits!$B$38="Row",Fits!$B$32,Fits!$B$35)*IF(Fits!$B$38="Row",$AQ28,$AR28)+Fits!$B$110))/(SQRT((Fits!$B$116-($X28-(IF(Fits!$B$38="Row",Fits!$B$32,Fits!$B$35)*IF(Fits!$B$38="Row",$AQ28,$AR28)+Fits!$B$110))^2/(1-(1/Fits!$B$107+(IF(Fits!$B$38="Row",$AQ28,$AR28)-Fits!$B$108)^2/Fits!$B$109)))/(Fits!$B$107-3))*SQRT(1-(1/Fits!$B$107+(IF(Fits!$B$38="Row",$AQ28,$AR28)-Fits!$B$108)^2/Fits!$B$109)))))))</f>
        <v/>
      </c>
      <c r="CC28" s="20" t="str">
        <f aca="false">IF(OR($D28&lt;&gt;"Drift",$AC28="",$A28&lt;IF(Setup!$B$14="",0,Setup!$B$14),Fits!$B$120&lt;3,Fits!$B$123="",Fits!$B$122=0,IF(Fits!$B$50="Row",$AQ28,$AR28)=""),"",IF($BY28=1,IF(OR(Fits!$B$124="",Fits!$B$124=0),"",($AC28-(IF(Fits!$B$50="Row",Fits!$B$44,Fits!$B$47)*IF(Fits!$B$50="Row",$AQ28,$AR28)+Fits!$B$123))/(Fits!$B$124*SQRT(1+(1/Fits!$B$120+(IF(Fits!$B$50="Row",$AQ28,$AR28)-Fits!$B$121)^2/Fits!$B$122)))),IF(OR(Fits!$B$120&lt;4,(1/Fits!$B$120+(IF(Fits!$B$50="Row",$AQ28,$AR28)-Fits!$B$121)^2/Fits!$B$122)&gt;=1),"",IF((Fits!$B$129-($AC28-(IF(Fits!$B$50="Row",Fits!$B$44,Fits!$B$47)*IF(Fits!$B$50="Row",$AQ28,$AR28)+Fits!$B$123))^2/(1-(1/Fits!$B$120+(IF(Fits!$B$50="Row",$AQ28,$AR28)-Fits!$B$121)^2/Fits!$B$122)))&lt;=0,"",($AC28-(IF(Fits!$B$50="Row",Fits!$B$44,Fits!$B$47)*IF(Fits!$B$50="Row",$AQ28,$AR28)+Fits!$B$123))/(SQRT((Fits!$B$129-($AC28-(IF(Fits!$B$50="Row",Fits!$B$44,Fits!$B$47)*IF(Fits!$B$50="Row",$AQ28,$AR28)+Fits!$B$123))^2/(1-(1/Fits!$B$120+(IF(Fits!$B$50="Row",$AQ28,$AR28)-Fits!$B$121)^2/Fits!$B$122)))/(Fits!$B$120-3))*SQRT(1-(1/Fits!$B$120+(IF(Fits!$B$50="Row",$AQ28,$AR28)-Fits!$B$121)^2/Fits!$B$122)))))))</f>
        <v/>
      </c>
      <c r="CD28" s="9" t="str">
        <f aca="false">IF($AU28="","",1)</f>
        <v/>
      </c>
      <c r="CE28" s="24" t="str">
        <f aca="false">IF($AU28="","",$AU28-Fits!$B$133)</f>
        <v/>
      </c>
      <c r="CF28" s="24" t="str">
        <f aca="false">IF($AU28="","",($AV28-(Fits!$B$56*$AU28+Fits!$B$57))-Fits!$B$56*($AU28-Fits!$B$133))</f>
        <v/>
      </c>
      <c r="CG28" s="25" t="str">
        <f aca="false">IF($AU28="","",$AU28^2)</f>
        <v/>
      </c>
      <c r="CH28" s="9" t="str">
        <f aca="false">IF($AW28="","",1)</f>
        <v/>
      </c>
      <c r="CI28" s="24" t="str">
        <f aca="false">IF($AW28="","",$AW28-Fits!$B$153)</f>
        <v/>
      </c>
      <c r="CJ28" s="24" t="str">
        <f aca="false">IF($AW28="","",($AX28-(Fits!$B$63*$AW28+Fits!$B$64))-Fits!$B$63*($AW28-Fits!$B$153))</f>
        <v/>
      </c>
      <c r="CK28" s="25" t="str">
        <f aca="false">IF($AW28="","",$AW28^2)</f>
        <v/>
      </c>
      <c r="CL28" s="26" t="n">
        <f aca="false">IF(OR($Z28="",Fits!$B$55&lt;3,Fits!$B$133="",Fits!$B$134="",Fits!$B$134=0,Fits!$B$136=""),"",SQRT((Fits!$B$136*Fits!$B$56)^2+SUMPRODUCT((Fits!$J$163:$J$175*(Fits!$B$163:$B$175/Fits!$B$55+Fits!$H$163:$H$175*($Z28-Fits!$B$133)/Fits!$B$134))^2)+SUMPRODUCT((Fits!$G$163:$G$175*(($Z28-Fits!$B$133)*Fits!$I$163:$I$175/Fits!$B$134-Fits!$B$163:$B$175*Fits!$B$56/Fits!$B$55))^2)))</f>
        <v>0.240432581599795</v>
      </c>
      <c r="CM28" s="26" t="n">
        <f aca="false">IF($CL28="","",Setup!$B$32*$CL28)</f>
        <v>0.480865163199589</v>
      </c>
      <c r="CN28" s="26" t="n">
        <f aca="false">IF(OR($AE28="",Fits!$B$62&lt;3,Fits!$B$153="",Fits!$B$154="",Fits!$B$154=0,Fits!$B$156=""),"",SQRT((Fits!$B$156*Fits!$B$63)^2+SUMPRODUCT((Fits!$J$183:$J$195*(Fits!$B$183:$B$195/Fits!$B$62+Fits!$H$183:$H$195*($AE28-Fits!$B$153)/Fits!$B$154))^2)+SUMPRODUCT((Fits!$G$183:$G$195*(($AE28-Fits!$B$153)*Fits!$I$183:$I$195/Fits!$B$154-Fits!$B$183:$B$195*Fits!$B$63/Fits!$B$62))^2)))</f>
        <v>0.0384891633720214</v>
      </c>
      <c r="CO28" s="26" t="n">
        <f aca="false">IF($CN28="","",Setup!$B$32*$CN28)</f>
        <v>0.0769783267440428</v>
      </c>
      <c r="CP28" s="9" t="n">
        <f aca="false">IF(OR(NOT(ISNUMBER($BJ28)),$EK28=1),$CP27,IF($BJ28&lt;=Setup!$B$26,$CP27+1,0))</f>
        <v>0</v>
      </c>
      <c r="CQ28" s="9" t="n">
        <f aca="false">IF($BT28="","",$A28)</f>
        <v>23</v>
      </c>
      <c r="CR28" s="9" t="n">
        <f aca="false">IF($BW28="","",$A28)</f>
        <v>23</v>
      </c>
      <c r="CS28" s="9" t="n">
        <f aca="false">IF($B28="","",IF(Setup!$A$37="",0,IF(ISNUMBER(SEARCH(Setup!$A$37,$B28)),37,0)))</f>
        <v>0</v>
      </c>
      <c r="CT28" s="9" t="n">
        <f aca="false">IF($B28="","",IF(Setup!$A$38="",0,IF(ISNUMBER(SEARCH(Setup!$A$38,$B28)),38,0)))</f>
        <v>0</v>
      </c>
      <c r="CU28" s="9" t="n">
        <f aca="false">IF($B28="","",IF(Setup!$A$39="",0,IF(ISNUMBER(SEARCH(Setup!$A$39,$B28)),39,0)))</f>
        <v>0</v>
      </c>
      <c r="CV28" s="9" t="n">
        <f aca="false">IF($B28="","",IF(Setup!$A$40="",0,IF(ISNUMBER(SEARCH(Setup!$A$40,$B28)),40,0)))</f>
        <v>0</v>
      </c>
      <c r="CW28" s="9" t="n">
        <f aca="false">IF($B28="","",IF(Setup!$A$41="",0,IF(ISNUMBER(SEARCH(Setup!$A$41,$B28)),41,0)))</f>
        <v>0</v>
      </c>
      <c r="CX28" s="9" t="n">
        <f aca="false">IF($B28="","",IF(Setup!$A$42="",0,IF(ISNUMBER(SEARCH(Setup!$A$42,$B28)),42,0)))</f>
        <v>0</v>
      </c>
      <c r="CY28" s="9" t="n">
        <f aca="false">IF($B28="","",IF(Setup!$A$43="",0,IF(ISNUMBER(SEARCH(Setup!$A$43,$B28)),43,0)))</f>
        <v>0</v>
      </c>
      <c r="CZ28" s="9" t="n">
        <f aca="false">IF($B28="","",IF(Setup!$A$44="",0,IF(ISNUMBER(SEARCH(Setup!$A$44,$B28)),44,0)))</f>
        <v>0</v>
      </c>
      <c r="DA28" s="9" t="n">
        <f aca="false">IF($B28="","",IF(Setup!$A$45="",0,IF(ISNUMBER(SEARCH(Setup!$A$45,$B28)),45,0)))</f>
        <v>0</v>
      </c>
      <c r="DB28" s="9" t="n">
        <f aca="false">IF($B28="","",IF(Setup!$A$46="",0,IF(ISNUMBER(SEARCH(Setup!$A$46,$B28)),46,0)))</f>
        <v>0</v>
      </c>
      <c r="DC28" s="9" t="n">
        <f aca="false">IF($B28="","",IF(Setup!$A$47="",0,IF(ISNUMBER(SEARCH(Setup!$A$47,$B28)),47,0)))</f>
        <v>0</v>
      </c>
      <c r="DD28" s="9" t="n">
        <f aca="false">IF($B28="","",IF(Setup!$A$48="",0,IF(ISNUMBER(SEARCH(Setup!$A$48,$B28)),48,0)))</f>
        <v>0</v>
      </c>
      <c r="DE28" s="9" t="n">
        <f aca="false">IF($B28="","",IF(Setup!$A$49="",0,IF(ISNUMBER(SEARCH(Setup!$A$49,$B28)),49,0)))</f>
        <v>0</v>
      </c>
      <c r="DF28" s="9" t="n">
        <f aca="false">IF($B28="",NA(),$A28)</f>
        <v>23</v>
      </c>
      <c r="DG28" s="22" t="n">
        <f aca="false">IF($BI28="",NA(),$BI28)</f>
        <v>24.7</v>
      </c>
      <c r="DH28" s="22" t="n">
        <f aca="false">IF($N28="",NA(),$N28)</f>
        <v>26</v>
      </c>
      <c r="DI28" s="9" t="e">
        <f aca="false">IF(AND($D28="Drift",$N28&lt;&gt;""),$N28,NA())</f>
        <v>#N/A</v>
      </c>
      <c r="DJ28" s="9" t="str">
        <f aca="false">IF(AND($D28="Drift",$N28&lt;&gt;""),$N28,"")</f>
        <v/>
      </c>
      <c r="DK28" s="9" t="str">
        <f aca="false">IF($DJ28="","",$A28)</f>
        <v/>
      </c>
      <c r="DL28" s="9" t="e">
        <f aca="false">IF($AN28="",NA(),$AM28)</f>
        <v>#N/A</v>
      </c>
      <c r="DM28" s="9" t="e">
        <f aca="false">IF($AN28="",NA(),$AN28)</f>
        <v>#N/A</v>
      </c>
      <c r="DN28" s="24" t="n">
        <f aca="false">IF(AND($D28="Sample",$L28&lt;&gt;""),$L28,NA())</f>
        <v>59.328</v>
      </c>
      <c r="DO28" s="24" t="n">
        <f aca="false">IF(AND($D28="Sample",$L28&lt;&gt;"",Fits!$B$98&lt;&gt;""),Fits!$B$98,NA())</f>
        <v>-6.0577</v>
      </c>
      <c r="DP28" s="9" t="e">
        <f aca="false">IF($AS28="",NA(),$AS28)</f>
        <v>#N/A</v>
      </c>
      <c r="DQ28" s="9" t="e">
        <f aca="false">IF(AND($D28="Drift",$AS28="",$X28&lt;&gt;""),$X28,NA())</f>
        <v>#N/A</v>
      </c>
      <c r="DR28" s="9" t="e">
        <f aca="false">IF(AND($D28="Drift",$Z28&lt;&gt;""),$Z28,NA())</f>
        <v>#N/A</v>
      </c>
      <c r="DS28" s="25" t="n">
        <f aca="false">IF(AND(OR($D28="Sample",$D28="Check"),$AA28&lt;&gt;""),$AA28,NA())</f>
        <v>-2.47331935416829</v>
      </c>
      <c r="DT28" s="25" t="n">
        <f aca="false">IF(OR($B28="",Fits!$B$138=""),NA(),Fits!$B$138)</f>
        <v>1.76</v>
      </c>
      <c r="DU28" s="25" t="n">
        <f aca="false">IF(OR($B28="",Fits!$B$139=""),NA(),Fits!$B$139)</f>
        <v>20.68</v>
      </c>
      <c r="DV28" s="24" t="n">
        <f aca="false">IF($BT28="",NA(),$BT28)</f>
        <v>-1.259</v>
      </c>
      <c r="DW28" s="9" t="e">
        <f aca="false">IF($AP28="",NA(),$AO28)</f>
        <v>#N/A</v>
      </c>
      <c r="DX28" s="9" t="e">
        <f aca="false">IF($AP28="",NA(),$AP28)</f>
        <v>#N/A</v>
      </c>
      <c r="DY28" s="24" t="n">
        <f aca="false">IF(AND($D28="Sample",$P28&lt;&gt;""),$P28,NA())</f>
        <v>18.131</v>
      </c>
      <c r="DZ28" s="24" t="n">
        <f aca="false">IF(AND($D28="Sample",$P28&lt;&gt;"",Fits!$B$105&lt;&gt;""),Fits!$B$105,NA())</f>
        <v>-9.717</v>
      </c>
      <c r="EA28" s="9" t="e">
        <f aca="false">IF($AT28="",NA(),$AT28)</f>
        <v>#N/A</v>
      </c>
      <c r="EB28" s="9" t="e">
        <f aca="false">IF(AND($D28="Drift",$AT28="",$AC28&lt;&gt;""),$AC28,NA())</f>
        <v>#N/A</v>
      </c>
      <c r="EC28" s="9" t="e">
        <f aca="false">IF(AND($D28="Drift",$AE28&lt;&gt;""),$AE28,NA())</f>
        <v>#N/A</v>
      </c>
      <c r="ED28" s="25" t="n">
        <f aca="false">IF(AND(OR($D28="Sample",$D28="Check"),$AF28&lt;&gt;""),$AF28,NA())</f>
        <v>-35.1408773286832</v>
      </c>
      <c r="EE28" s="25" t="n">
        <f aca="false">IF(OR($B28="",Fits!$B$158=""),NA(),Fits!$B$158)</f>
        <v>-40.81</v>
      </c>
      <c r="EF28" s="25" t="n">
        <f aca="false">IF(OR($B28="",Fits!$B$159=""),NA(),Fits!$B$159)</f>
        <v>-20.29</v>
      </c>
      <c r="EG28" s="24" t="n">
        <f aca="false">IF($BW28="",NA(),$BW28)</f>
        <v>-25.458</v>
      </c>
      <c r="EH28" s="9" t="e">
        <f aca="false">IF(AND($EN28=1,ISNUMBER($N28)),$N28,NA())</f>
        <v>#N/A</v>
      </c>
      <c r="EI28" s="9" t="n">
        <f aca="false">IF($B28="","",$A28)</f>
        <v>23</v>
      </c>
      <c r="EJ28" s="9" t="n">
        <f aca="false">IF(OR(AND(ISNUMBER($L28),Fits!$B$97&gt;0,$L28&gt;Fits!$B$97),AND(ISNUMBER($P28),Fits!$B$104&gt;0,$P28&gt;Fits!$B$104)),1,0)</f>
        <v>1</v>
      </c>
      <c r="EK28" s="9" t="n">
        <f aca="false">IF(OR($EJ27=1,$EJ26=1),1,0)</f>
        <v>0</v>
      </c>
      <c r="EL28" s="22" t="n">
        <f aca="false">IF(AND($EK28=0,ISNUMBER($N28)),$N28,$EL27)</f>
        <v>26</v>
      </c>
      <c r="EM28" s="9" t="str">
        <f aca="false">IF(AND($EK28=1,ISNUMBER($N28),ISNUMBER($EL28)),$N28-$EL28,"")</f>
        <v/>
      </c>
      <c r="EN28" s="9" t="n">
        <f aca="false">IF(Setup!$B$28="",0,IF(ISNUMBER($EM28),IF($EM28&gt;Setup!$B$28,1,0),0))</f>
        <v>0</v>
      </c>
      <c r="EO28" s="9" t="str">
        <f aca="false">IF($EN28=1,COUNTIF($EN$6:$EN28,1),"")</f>
        <v/>
      </c>
      <c r="EP28" s="9" t="n">
        <f aca="false">IF(AND($EJ27=1,OR($D28="Sample",$D28="Check")),1,0)</f>
        <v>0</v>
      </c>
      <c r="EQ28" s="9" t="str">
        <f aca="false">IF(ISNUMBER($BI28),IF(COUNT($BI$6:$BI28)&lt;=5,$BI28,""),"")</f>
        <v/>
      </c>
      <c r="ER28" s="9" t="str">
        <f aca="false">IF(OR(NOT(ISNUMBER($BJ28)),$EK28=1),$ER27,IF($BJ28&lt;=Setup!$B$26,IF($CP27=0,$A28,$ER27),""))</f>
        <v/>
      </c>
    </row>
    <row r="29" customFormat="false" ht="15" hidden="false" customHeight="false" outlineLevel="0" collapsed="false">
      <c r="A29" s="8" t="n">
        <v>24</v>
      </c>
      <c r="B29" s="8" t="str">
        <f aca="false">IFERROR(INDEX(Raw!$B$2:$B$1001,MATCH($A29,Raw!$A$2:$A$1001,0)),"")</f>
        <v>Random</v>
      </c>
      <c r="C29" s="9" t="n">
        <f aca="false">IF($B29="","",MAX($CS29:$DE29))</f>
        <v>0</v>
      </c>
      <c r="D29" s="8" t="str">
        <f aca="false">IF($B29="","",IF($C29=0,"Sample",INDEX(Setup!$B$37:$B$49,$C29-36)))</f>
        <v>Sample</v>
      </c>
      <c r="E29" s="16" t="str">
        <f aca="false">IF($B29="","",IFERROR(IF(INDEX(Raw!$E$2:$E$1001,MATCH($A29,Raw!$A$2:$A$1001,0))=0,"",INDEX(Raw!$E$2:$E$1001,MATCH($A29,Raw!$A$2:$A$1001,0))),""))</f>
        <v/>
      </c>
      <c r="F29" s="18"/>
      <c r="G29" s="16" t="str">
        <f aca="false">IF($B29="","",IF($F29&lt;&gt;"",$F29,IF($E29="","",$E29)))</f>
        <v/>
      </c>
      <c r="H29" s="9" t="n">
        <f aca="false">IF($B29="","",SUMPRODUCT(MAX((Raw!$A$2:$A$1001=$A29)*(Raw!$R$2:$R$1001="N")*Raw!$D$2:$D$1001)))</f>
        <v>3</v>
      </c>
      <c r="I29" s="9" t="str">
        <f aca="false">IF(OR($H29="",$H29=0),"",$A29&amp;"|N|"&amp;$H29)</f>
        <v>24|N|3</v>
      </c>
      <c r="J29" s="9" t="n">
        <f aca="false">IF($B29="","",SUMPRODUCT(MIN((Raw!$A$2:$A$1001=$A29)*(Raw!$R$2:$R$1001="C")*Raw!$D$2:$D$1001+(1-(Raw!$A$2:$A$1001=$A29)*(Raw!$R$2:$R$1001="C"))*9999)))</f>
        <v>4</v>
      </c>
      <c r="K29" s="9" t="str">
        <f aca="false">IF(OR($J29="",$J29=0,$J29=9999),"",$A29&amp;"|C|"&amp;$J29)</f>
        <v>24|C|4</v>
      </c>
      <c r="L29" s="16" t="n">
        <f aca="false">IF($I29="","",IF(INDEX(Raw!$I$2:$I$1001,MATCH($I29,Raw!$S$2:$S$1001,0))&lt;&gt;0,"",INDEX(Raw!$H$2:$H$1001,MATCH($I29,Raw!$S$2:$S$1001,0))))</f>
        <v>25.453</v>
      </c>
      <c r="M29" s="19" t="n">
        <f aca="false">IF($I29="","",IF(INDEX(Raw!$I$2:$I$1001,MATCH($I29,Raw!$S$2:$S$1001,0))&lt;&gt;0,"",INDEX(Raw!$F$2:$F$1001,MATCH($I29,Raw!$S$2:$S$1001,0))))</f>
        <v>1482</v>
      </c>
      <c r="N29" s="20" t="n">
        <f aca="false">IF($I29="","",IF(INDEX(Raw!$I$2:$I$1001,MATCH($I29,Raw!$S$2:$S$1001,0))&lt;&gt;0,"",INDEX(Raw!$G$2:$G$1001,MATCH($I29,Raw!$S$2:$S$1001,0))))</f>
        <v>25.7</v>
      </c>
      <c r="O29" s="16" t="n">
        <f aca="false">IF($I29="","",IF(INDEX(Raw!$I$2:$I$1001,MATCH($I29,Raw!$S$2:$S$1001,0))&lt;&gt;0,"",INDEX(Raw!$N$2:$N$1001,MATCH($I29,Raw!$S$2:$S$1001,0))))</f>
        <v>-6.042</v>
      </c>
      <c r="P29" s="16" t="n">
        <f aca="false">IF($K29="","",IF(INDEX(Raw!$I$2:$I$1001,MATCH($K29,Raw!$S$2:$S$1001,0))&lt;&gt;0,"",INDEX(Raw!$K$2:$K$1001,MATCH($K29,Raw!$S$2:$S$1001,0))))</f>
        <v>122.649</v>
      </c>
      <c r="Q29" s="19" t="n">
        <f aca="false">IF($K29="","",IF(INDEX(Raw!$I$2:$I$1001,MATCH($K29,Raw!$S$2:$S$1001,0))&lt;&gt;0,"",INDEX(Raw!$J$2:$J$1001,MATCH($K29,Raw!$S$2:$S$1001,0))))</f>
        <v>5413</v>
      </c>
      <c r="R29" s="16" t="n">
        <f aca="false">IF($K29="","",IF(INDEX(Raw!$I$2:$I$1001,MATCH($K29,Raw!$S$2:$S$1001,0))&lt;&gt;0,"",INDEX(Raw!$O$2:$O$1001,MATCH($K29,Raw!$S$2:$S$1001,0))))</f>
        <v>-9.519</v>
      </c>
      <c r="S29" s="21" t="str">
        <f aca="false">IF($B29="","",IF($C29=0,"",IF(INDEX(Setup!$D$37:$D$49,$C29-36)="","",INDEX(Setup!$D$37:$D$49,$C29-36))))</f>
        <v/>
      </c>
      <c r="T29" s="21" t="str">
        <f aca="false">IF($B29="","",IF($C29=0,"",IF(INDEX(Setup!$C$37:$C$49,$C29-36)="","",INDEX(Setup!$C$37:$C$49,$C29-36))))</f>
        <v/>
      </c>
      <c r="U29" s="21" t="str">
        <f aca="false">IF($B29="","",IF($C29=0,"",IF(INDEX(Setup!$F$37:$F$49,$C29-36)="","",INDEX(Setup!$F$37:$F$49,$C29-36))))</f>
        <v/>
      </c>
      <c r="V29" s="21" t="str">
        <f aca="false">IF($B29="","",IF($C29=0,"",IF(INDEX(Setup!$E$37:$E$49,$C29-36)="","",INDEX(Setup!$E$37:$E$49,$C29-36))))</f>
        <v/>
      </c>
      <c r="W29" s="16" t="n">
        <f aca="false">IF($O29="","",IF(OR(Fits!$C$5&lt;&gt;"Yes",$D29="Blank",$L29&lt;=Fits!$B$6),$O29,($L29*$O29-Fits!$B$6*Fits!$B$7)/($L29-Fits!$B$6)))</f>
        <v>-6.042</v>
      </c>
      <c r="X29" s="16" t="n">
        <f aca="false">IF($W29="","",$W29-Fits!$B$20*($L29-Fits!$B$16))</f>
        <v>-6.042</v>
      </c>
      <c r="Y29" s="22" t="n">
        <f aca="false">IF($W29="","",IF(OR(Fits!$B$38="Row",$BI29=""),$A29,$BI29))</f>
        <v>24</v>
      </c>
      <c r="Z29" s="16" t="n">
        <f aca="false">IF($X29="","",$X29-Fits!$B$39*($Y29-Fits!$B$40))</f>
        <v>-6.18613864994587</v>
      </c>
      <c r="AA29" s="23" t="n">
        <f aca="false">IF(OR($Z29="",Fits!$B$55&lt;2),"",Fits!$B$56*$Z29+Fits!$B$57)</f>
        <v>-5.3234068726027</v>
      </c>
      <c r="AB29" s="16" t="n">
        <f aca="false">IF($R29="","",IF(OR(Fits!$C$9&lt;&gt;"Yes",$D29="Blank",$P29&lt;=Fits!$B$10),$R29,($P29*$R29-Fits!$B$10*Fits!$B$11)/($P29-Fits!$B$10)))</f>
        <v>-9.519</v>
      </c>
      <c r="AC29" s="16" t="n">
        <f aca="false">IF($AB29="","",$AB29-Fits!$B$28*($P29-Fits!$B$24))</f>
        <v>-9.5104843956592</v>
      </c>
      <c r="AD29" s="22" t="n">
        <f aca="false">IF($AB29="","",IF(OR(Fits!$B$50="Row",$BI29=""),$A29,$BI29))</f>
        <v>24</v>
      </c>
      <c r="AE29" s="16" t="n">
        <f aca="false">IF($AC29="","",$AC29-Fits!$B$51*($AD29-Fits!$B$52))</f>
        <v>-9.48510718553988</v>
      </c>
      <c r="AF29" s="23" t="n">
        <f aca="false">IF(OR($AE29="",Fits!$B$62&lt;2),"",Fits!$B$63*$AE29+Fits!$B$64)</f>
        <v>-26.6115679611122</v>
      </c>
      <c r="AG29" s="21" t="n">
        <f aca="false">IF(OR($L29="",Fits!$B$69&lt;3),"",($L29-Fits!$B$71)/Fits!$B$70)</f>
        <v>38.7672079680367</v>
      </c>
      <c r="AH29" s="21" t="n">
        <f aca="false">IF(OR($P29="",Fits!$B$75&lt;3),"",($P29-Fits!$B$77)/Fits!$B$76)</f>
        <v>275.370836750331</v>
      </c>
      <c r="AI29" s="23" t="str">
        <f aca="false">IF(OR($AG29="",$G29="",$G29=0),"",$AG29/($G29*1000)*100)</f>
        <v/>
      </c>
      <c r="AJ29" s="23" t="str">
        <f aca="false">IF(OR($AH29="",$G29="",$G29=0),"",$AH29/($G29*1000)*100)</f>
        <v/>
      </c>
      <c r="AK29" s="23" t="n">
        <f aca="false">IF(OR($AG29="",$AH29="",$AG29&lt;=0),"",($AH29/Setup!$B$52)/($AG29/Setup!$B$53))</f>
        <v>8.28360500563898</v>
      </c>
      <c r="AL29" s="23" t="n">
        <f aca="false">IF(OR($AG29="",$AH29="",$AG29&lt;=0),"",$AH29/$AG29)</f>
        <v>7.10318981385949</v>
      </c>
      <c r="AM29" s="9" t="str">
        <f aca="false">IF($D29="Linearity",IF($L29="","",$L29),"")</f>
        <v/>
      </c>
      <c r="AN29" s="9" t="str">
        <f aca="false">IF($D29="Linearity",IF($W29="","",$W29),"")</f>
        <v/>
      </c>
      <c r="AO29" s="9" t="str">
        <f aca="false">IF($D29="Linearity",IF($P29="","",$P29),"")</f>
        <v/>
      </c>
      <c r="AP29" s="9" t="str">
        <f aca="false">IF($D29="Linearity",IF($AB29="","",$AB29),"")</f>
        <v/>
      </c>
      <c r="AQ29" s="9" t="str">
        <f aca="false">IF($D29="Drift",IF($A29&lt;IF(Setup!$B$14="",0,Setup!$B$14),"",$A29),"")</f>
        <v/>
      </c>
      <c r="AR29" s="9" t="str">
        <f aca="false">IF($D29="Drift",IF($A29&lt;IF(Setup!$B$14="",0,Setup!$B$14),"",IF($BI29="","",$BI29)),"")</f>
        <v/>
      </c>
      <c r="AS29" s="9" t="str">
        <f aca="false">IF($D29="Drift",IF($A29&lt;IF(Setup!$B$14="",0,Setup!$B$14),"",IF(OR($X29="",$BX29=1),"",$X29)),"")</f>
        <v/>
      </c>
      <c r="AT29" s="9" t="str">
        <f aca="false">IF($D29="Drift",IF($A29&lt;IF(Setup!$B$14="",0,Setup!$B$14),"",IF(OR($AC29="",$BY29=1),"",$AC29)),"")</f>
        <v/>
      </c>
      <c r="AU29" s="9" t="str">
        <f aca="false">IF($D29="Anchor",IF(OR($Z29="",$S29=""),"",$Z29),"")</f>
        <v/>
      </c>
      <c r="AV29" s="9" t="str">
        <f aca="false">IF($D29="Anchor",IF(OR($Z29="",$S29=""),"",$S29),"")</f>
        <v/>
      </c>
      <c r="AW29" s="9" t="str">
        <f aca="false">IF($D29="Anchor",IF(OR($AE29="",$T29=""),"",$AE29),"")</f>
        <v/>
      </c>
      <c r="AX29" s="9" t="str">
        <f aca="false">IF($D29="Anchor",IF(OR($AE29="",$T29=""),"",$T29),"")</f>
        <v/>
      </c>
      <c r="AY29" s="9" t="str">
        <f aca="false">IF(OR($D29="Blank",$D29="Exclude",$D29="Sample",$D29="",$G29="",$U29="",$L29=""),"",$G29*1000*$U29/100)</f>
        <v/>
      </c>
      <c r="AZ29" s="9" t="str">
        <f aca="false">IF($AY29="","",$L29)</f>
        <v/>
      </c>
      <c r="BA29" s="9" t="str">
        <f aca="false">IF(OR($D29="Blank",$D29="Exclude",$D29="Sample",$D29="",$G29="",$V29="",$P29=""),"",$G29*1000*$V29/100)</f>
        <v/>
      </c>
      <c r="BB29" s="9" t="str">
        <f aca="false">IF($BA29="","",$P29)</f>
        <v/>
      </c>
      <c r="BC29" s="9" t="str">
        <f aca="false">IF(AND($D29="Blank",$L29&lt;&gt;""),$O29,"")</f>
        <v/>
      </c>
      <c r="BD29" s="9" t="str">
        <f aca="false">IF($BC29="","",$L29)</f>
        <v/>
      </c>
      <c r="BE29" s="9" t="str">
        <f aca="false">IF(AND($D29="Blank",$P29&lt;&gt;""),$R29,"")</f>
        <v/>
      </c>
      <c r="BF29" s="9" t="str">
        <f aca="false">IF($BE29="","",$P29)</f>
        <v/>
      </c>
      <c r="BG29" s="9" t="str">
        <f aca="false">IF(AND($D29="Drift",$BX29&lt;&gt;1),IF($AA29="","",$AA29),"")</f>
        <v/>
      </c>
      <c r="BH29" s="9" t="str">
        <f aca="false">IF(AND($D29="Drift",$BY29&lt;&gt;1),IF($AF29="","",$AF29),"")</f>
        <v/>
      </c>
      <c r="BI29" s="20" t="n">
        <f aca="false">IF($B29="","",IFERROR(INDEX(Raw!$G$2:$G$1001,MATCH($A29&amp;"|N|"&amp;SUMPRODUCT(MAX((Raw!$A$2:$A$1001=$A29)*(Raw!$R$2:$R$1001="N")*(Raw!$I$2:$I$1001=1)*Raw!$D$2:$D$1001)),Raw!$S$2:$S$1001,0)),""))</f>
        <v>24.4</v>
      </c>
      <c r="BJ29" s="21" t="n">
        <f aca="false">IF(OR($BI29="",Fits!$B$85&lt;=0),"",($BI29-Fits!$B$83)/Fits!$B$85)</f>
        <v>0.117117117117117</v>
      </c>
      <c r="BK29" s="9" t="str">
        <f aca="false">IF($AS29="","",IF($A29&gt;=Fits!$B$86,"",$A29))</f>
        <v/>
      </c>
      <c r="BL29" s="9" t="str">
        <f aca="false">IF($BK29="","",$X29)</f>
        <v/>
      </c>
      <c r="BM29" s="9" t="str">
        <f aca="false">IF($AS29="","",IF($A29&lt;Fits!$B$86,"",$A29))</f>
        <v/>
      </c>
      <c r="BN29" s="9" t="str">
        <f aca="false">IF($BM29="","",$X29)</f>
        <v/>
      </c>
      <c r="BO29" s="9" t="str">
        <f aca="false">IF(AND($D29="Drift",$BX29&lt;&gt;1),IF($O29="","",$O29),"")</f>
        <v/>
      </c>
      <c r="BP29" s="9" t="str">
        <f aca="false">IF(AND($D29="Drift",$BX29&lt;&gt;1),IF($W29="","",$W29),"")</f>
        <v/>
      </c>
      <c r="BQ29" s="9" t="str">
        <f aca="false">IF(AND($D29="Drift",$BX29&lt;&gt;1),IF($X29="","",$X29),"")</f>
        <v/>
      </c>
      <c r="BR29" s="9" t="str">
        <f aca="false">IF(AND($D29="Drift",$BX29&lt;&gt;1),IF($Z29="","",$Z29),"")</f>
        <v/>
      </c>
      <c r="BS29" s="9" t="n">
        <f aca="false">IF(OR($B29="",$H29=""),"",SUMPRODUCT(MIN((Raw!$A$2:$A$1001=$A29)*(Raw!$R$2:$R$1001="N")*(Raw!$I$2:$I$1001=0)*(Raw!$D$2:$D$1001&lt;$H29)*Raw!$D$2:$D$1001+(1-(Raw!$A$2:$A$1001=$A29)*(Raw!$R$2:$R$1001="N")*(Raw!$I$2:$I$1001=0)*(Raw!$D$2:$D$1001&lt;$H29))*9999)))</f>
        <v>1</v>
      </c>
      <c r="BT29" s="16" t="n">
        <f aca="false">IF(OR($BS29="",$BS29=9999,$BS29=0),"",IFERROR(INDEX(Raw!$N$2:$N$1001,MATCH($A29&amp;"|N|"&amp;$BS29,Raw!$S$2:$S$1001,0)),""))</f>
        <v>-1.356</v>
      </c>
      <c r="BU29" s="9" t="n">
        <f aca="false">IF($B29="","",SUMPRODUCT(MIN((Raw!$A$2:$A$1001=$A29)*(Raw!$R$2:$R$1001="C")*(Raw!$I$2:$I$1001=1)*Raw!$D$2:$D$1001+(1-(Raw!$A$2:$A$1001=$A29)*(Raw!$R$2:$R$1001="C")*(Raw!$I$2:$I$1001=1))*9999)))</f>
        <v>5</v>
      </c>
      <c r="BV29" s="9" t="n">
        <f aca="false">IF(OR($BU29="",$BU29=9999),"",SUMPRODUCT(MIN((Raw!$A$2:$A$1001=$A29)*(Raw!$R$2:$R$1001="C")*(Raw!$I$2:$I$1001=0)*(Raw!$D$2:$D$1001&gt;$BU29)*Raw!$D$2:$D$1001+(1-(Raw!$A$2:$A$1001=$A29)*(Raw!$R$2:$R$1001="C")*(Raw!$I$2:$I$1001=0)*(Raw!$D$2:$D$1001&gt;$BU29))*9999)))</f>
        <v>6</v>
      </c>
      <c r="BW29" s="16" t="n">
        <f aca="false">IF(OR($BV29="",$BV29=9999,$BV29=0),"",IFERROR(INDEX(Raw!$O$2:$O$1001,MATCH($A29&amp;"|C|"&amp;$BV29,Raw!$S$2:$S$1001,0)),""))</f>
        <v>-25.366</v>
      </c>
      <c r="BX29" s="9" t="n">
        <f aca="false">IF($B29="","",IF(ISNUMBER(SEARCH(","&amp;$A29&amp;",",","&amp;SUBSTITUTE(Setup!$B$16," ","")&amp;",")),1,0))</f>
        <v>0</v>
      </c>
      <c r="BY29" s="9" t="n">
        <f aca="false">IF($B29="","",IF(ISNUMBER(SEARCH(","&amp;$A29&amp;",",","&amp;SUBSTITUTE(Setup!$B$17," ","")&amp;",")),1,0))</f>
        <v>0</v>
      </c>
      <c r="BZ29" s="22" t="str">
        <f aca="false">IF($AS29="","",IF(Fits!$B$38="Row",$AQ29,IF($AR29="","",$AR29)))</f>
        <v/>
      </c>
      <c r="CA29" s="22" t="str">
        <f aca="false">IF($AT29="","",IF(Fits!$B$50="Row",$AQ29,IF($AR29="","",$AR29)))</f>
        <v/>
      </c>
      <c r="CB29" s="20" t="str">
        <f aca="false">IF(OR($D29&lt;&gt;"Drift",$X29="",$A29&lt;IF(Setup!$B$14="",0,Setup!$B$14),Fits!$B$107&lt;3,Fits!$B$110="",Fits!$B$109=0,IF(Fits!$B$38="Row",$AQ29,$AR29)=""),"",IF($BX29=1,IF(OR(Fits!$B$111="",Fits!$B$111=0),"",($X29-(IF(Fits!$B$38="Row",Fits!$B$32,Fits!$B$35)*IF(Fits!$B$38="Row",$AQ29,$AR29)+Fits!$B$110))/(Fits!$B$111*SQRT(1+(1/Fits!$B$107+(IF(Fits!$B$38="Row",$AQ29,$AR29)-Fits!$B$108)^2/Fits!$B$109)))),IF(OR(Fits!$B$107&lt;4,(1/Fits!$B$107+(IF(Fits!$B$38="Row",$AQ29,$AR29)-Fits!$B$108)^2/Fits!$B$109)&gt;=1),"",IF((Fits!$B$116-($X29-(IF(Fits!$B$38="Row",Fits!$B$32,Fits!$B$35)*IF(Fits!$B$38="Row",$AQ29,$AR29)+Fits!$B$110))^2/(1-(1/Fits!$B$107+(IF(Fits!$B$38="Row",$AQ29,$AR29)-Fits!$B$108)^2/Fits!$B$109)))&lt;=0,"",($X29-(IF(Fits!$B$38="Row",Fits!$B$32,Fits!$B$35)*IF(Fits!$B$38="Row",$AQ29,$AR29)+Fits!$B$110))/(SQRT((Fits!$B$116-($X29-(IF(Fits!$B$38="Row",Fits!$B$32,Fits!$B$35)*IF(Fits!$B$38="Row",$AQ29,$AR29)+Fits!$B$110))^2/(1-(1/Fits!$B$107+(IF(Fits!$B$38="Row",$AQ29,$AR29)-Fits!$B$108)^2/Fits!$B$109)))/(Fits!$B$107-3))*SQRT(1-(1/Fits!$B$107+(IF(Fits!$B$38="Row",$AQ29,$AR29)-Fits!$B$108)^2/Fits!$B$109)))))))</f>
        <v/>
      </c>
      <c r="CC29" s="20" t="str">
        <f aca="false">IF(OR($D29&lt;&gt;"Drift",$AC29="",$A29&lt;IF(Setup!$B$14="",0,Setup!$B$14),Fits!$B$120&lt;3,Fits!$B$123="",Fits!$B$122=0,IF(Fits!$B$50="Row",$AQ29,$AR29)=""),"",IF($BY29=1,IF(OR(Fits!$B$124="",Fits!$B$124=0),"",($AC29-(IF(Fits!$B$50="Row",Fits!$B$44,Fits!$B$47)*IF(Fits!$B$50="Row",$AQ29,$AR29)+Fits!$B$123))/(Fits!$B$124*SQRT(1+(1/Fits!$B$120+(IF(Fits!$B$50="Row",$AQ29,$AR29)-Fits!$B$121)^2/Fits!$B$122)))),IF(OR(Fits!$B$120&lt;4,(1/Fits!$B$120+(IF(Fits!$B$50="Row",$AQ29,$AR29)-Fits!$B$121)^2/Fits!$B$122)&gt;=1),"",IF((Fits!$B$129-($AC29-(IF(Fits!$B$50="Row",Fits!$B$44,Fits!$B$47)*IF(Fits!$B$50="Row",$AQ29,$AR29)+Fits!$B$123))^2/(1-(1/Fits!$B$120+(IF(Fits!$B$50="Row",$AQ29,$AR29)-Fits!$B$121)^2/Fits!$B$122)))&lt;=0,"",($AC29-(IF(Fits!$B$50="Row",Fits!$B$44,Fits!$B$47)*IF(Fits!$B$50="Row",$AQ29,$AR29)+Fits!$B$123))/(SQRT((Fits!$B$129-($AC29-(IF(Fits!$B$50="Row",Fits!$B$44,Fits!$B$47)*IF(Fits!$B$50="Row",$AQ29,$AR29)+Fits!$B$123))^2/(1-(1/Fits!$B$120+(IF(Fits!$B$50="Row",$AQ29,$AR29)-Fits!$B$121)^2/Fits!$B$122)))/(Fits!$B$120-3))*SQRT(1-(1/Fits!$B$120+(IF(Fits!$B$50="Row",$AQ29,$AR29)-Fits!$B$121)^2/Fits!$B$122)))))))</f>
        <v/>
      </c>
      <c r="CD29" s="9" t="str">
        <f aca="false">IF($AU29="","",1)</f>
        <v/>
      </c>
      <c r="CE29" s="24" t="str">
        <f aca="false">IF($AU29="","",$AU29-Fits!$B$133)</f>
        <v/>
      </c>
      <c r="CF29" s="24" t="str">
        <f aca="false">IF($AU29="","",($AV29-(Fits!$B$56*$AU29+Fits!$B$57))-Fits!$B$56*($AU29-Fits!$B$133))</f>
        <v/>
      </c>
      <c r="CG29" s="25" t="str">
        <f aca="false">IF($AU29="","",$AU29^2)</f>
        <v/>
      </c>
      <c r="CH29" s="9" t="str">
        <f aca="false">IF($AW29="","",1)</f>
        <v/>
      </c>
      <c r="CI29" s="24" t="str">
        <f aca="false">IF($AW29="","",$AW29-Fits!$B$153)</f>
        <v/>
      </c>
      <c r="CJ29" s="24" t="str">
        <f aca="false">IF($AW29="","",($AX29-(Fits!$B$63*$AW29+Fits!$B$64))-Fits!$B$63*($AW29-Fits!$B$153))</f>
        <v/>
      </c>
      <c r="CK29" s="25" t="str">
        <f aca="false">IF($AW29="","",$AW29^2)</f>
        <v/>
      </c>
      <c r="CL29" s="26" t="n">
        <f aca="false">IF(OR($Z29="",Fits!$B$55&lt;3,Fits!$B$133="",Fits!$B$134="",Fits!$B$134=0,Fits!$B$136=""),"",SQRT((Fits!$B$136*Fits!$B$56)^2+SUMPRODUCT((Fits!$J$163:$J$175*(Fits!$B$163:$B$175/Fits!$B$55+Fits!$H$163:$H$175*($Z29-Fits!$B$133)/Fits!$B$134))^2)+SUMPRODUCT((Fits!$G$163:$G$175*(($Z29-Fits!$B$133)*Fits!$I$163:$I$175/Fits!$B$134-Fits!$B$163:$B$175*Fits!$B$56/Fits!$B$55))^2)))</f>
        <v>0.256429909427861</v>
      </c>
      <c r="CM29" s="26" t="n">
        <f aca="false">IF($CL29="","",Setup!$B$32*$CL29)</f>
        <v>0.512859818855722</v>
      </c>
      <c r="CN29" s="26" t="n">
        <f aca="false">IF(OR($AE29="",Fits!$B$62&lt;3,Fits!$B$153="",Fits!$B$154="",Fits!$B$154=0,Fits!$B$156=""),"",SQRT((Fits!$B$156*Fits!$B$63)^2+SUMPRODUCT((Fits!$J$183:$J$195*(Fits!$B$183:$B$195/Fits!$B$62+Fits!$H$183:$H$195*($AE29-Fits!$B$153)/Fits!$B$154))^2)+SUMPRODUCT((Fits!$G$183:$G$195*(($AE29-Fits!$B$153)*Fits!$I$183:$I$195/Fits!$B$154-Fits!$B$183:$B$195*Fits!$B$63/Fits!$B$62))^2)))</f>
        <v>0.037883393080029</v>
      </c>
      <c r="CO29" s="26" t="n">
        <f aca="false">IF($CN29="","",Setup!$B$32*$CN29)</f>
        <v>0.075766786160058</v>
      </c>
      <c r="CP29" s="9" t="n">
        <f aca="false">IF(OR(NOT(ISNUMBER($BJ29)),$EK29=1),$CP28,IF($BJ29&lt;=Setup!$B$26,$CP28+1,0))</f>
        <v>0</v>
      </c>
      <c r="CQ29" s="9" t="n">
        <f aca="false">IF($BT29="","",$A29)</f>
        <v>24</v>
      </c>
      <c r="CR29" s="9" t="n">
        <f aca="false">IF($BW29="","",$A29)</f>
        <v>24</v>
      </c>
      <c r="CS29" s="9" t="n">
        <f aca="false">IF($B29="","",IF(Setup!$A$37="",0,IF(ISNUMBER(SEARCH(Setup!$A$37,$B29)),37,0)))</f>
        <v>0</v>
      </c>
      <c r="CT29" s="9" t="n">
        <f aca="false">IF($B29="","",IF(Setup!$A$38="",0,IF(ISNUMBER(SEARCH(Setup!$A$38,$B29)),38,0)))</f>
        <v>0</v>
      </c>
      <c r="CU29" s="9" t="n">
        <f aca="false">IF($B29="","",IF(Setup!$A$39="",0,IF(ISNUMBER(SEARCH(Setup!$A$39,$B29)),39,0)))</f>
        <v>0</v>
      </c>
      <c r="CV29" s="9" t="n">
        <f aca="false">IF($B29="","",IF(Setup!$A$40="",0,IF(ISNUMBER(SEARCH(Setup!$A$40,$B29)),40,0)))</f>
        <v>0</v>
      </c>
      <c r="CW29" s="9" t="n">
        <f aca="false">IF($B29="","",IF(Setup!$A$41="",0,IF(ISNUMBER(SEARCH(Setup!$A$41,$B29)),41,0)))</f>
        <v>0</v>
      </c>
      <c r="CX29" s="9" t="n">
        <f aca="false">IF($B29="","",IF(Setup!$A$42="",0,IF(ISNUMBER(SEARCH(Setup!$A$42,$B29)),42,0)))</f>
        <v>0</v>
      </c>
      <c r="CY29" s="9" t="n">
        <f aca="false">IF($B29="","",IF(Setup!$A$43="",0,IF(ISNUMBER(SEARCH(Setup!$A$43,$B29)),43,0)))</f>
        <v>0</v>
      </c>
      <c r="CZ29" s="9" t="n">
        <f aca="false">IF($B29="","",IF(Setup!$A$44="",0,IF(ISNUMBER(SEARCH(Setup!$A$44,$B29)),44,0)))</f>
        <v>0</v>
      </c>
      <c r="DA29" s="9" t="n">
        <f aca="false">IF($B29="","",IF(Setup!$A$45="",0,IF(ISNUMBER(SEARCH(Setup!$A$45,$B29)),45,0)))</f>
        <v>0</v>
      </c>
      <c r="DB29" s="9" t="n">
        <f aca="false">IF($B29="","",IF(Setup!$A$46="",0,IF(ISNUMBER(SEARCH(Setup!$A$46,$B29)),46,0)))</f>
        <v>0</v>
      </c>
      <c r="DC29" s="9" t="n">
        <f aca="false">IF($B29="","",IF(Setup!$A$47="",0,IF(ISNUMBER(SEARCH(Setup!$A$47,$B29)),47,0)))</f>
        <v>0</v>
      </c>
      <c r="DD29" s="9" t="n">
        <f aca="false">IF($B29="","",IF(Setup!$A$48="",0,IF(ISNUMBER(SEARCH(Setup!$A$48,$B29)),48,0)))</f>
        <v>0</v>
      </c>
      <c r="DE29" s="9" t="n">
        <f aca="false">IF($B29="","",IF(Setup!$A$49="",0,IF(ISNUMBER(SEARCH(Setup!$A$49,$B29)),49,0)))</f>
        <v>0</v>
      </c>
      <c r="DF29" s="9" t="n">
        <f aca="false">IF($B29="",NA(),$A29)</f>
        <v>24</v>
      </c>
      <c r="DG29" s="22" t="n">
        <f aca="false">IF($BI29="",NA(),$BI29)</f>
        <v>24.4</v>
      </c>
      <c r="DH29" s="22" t="n">
        <f aca="false">IF($N29="",NA(),$N29)</f>
        <v>25.7</v>
      </c>
      <c r="DI29" s="9" t="e">
        <f aca="false">IF(AND($D29="Drift",$N29&lt;&gt;""),$N29,NA())</f>
        <v>#N/A</v>
      </c>
      <c r="DJ29" s="9" t="str">
        <f aca="false">IF(AND($D29="Drift",$N29&lt;&gt;""),$N29,"")</f>
        <v/>
      </c>
      <c r="DK29" s="9" t="str">
        <f aca="false">IF($DJ29="","",$A29)</f>
        <v/>
      </c>
      <c r="DL29" s="9" t="e">
        <f aca="false">IF($AN29="",NA(),$AM29)</f>
        <v>#N/A</v>
      </c>
      <c r="DM29" s="9" t="e">
        <f aca="false">IF($AN29="",NA(),$AN29)</f>
        <v>#N/A</v>
      </c>
      <c r="DN29" s="24" t="n">
        <f aca="false">IF(AND($D29="Sample",$L29&lt;&gt;""),$L29,NA())</f>
        <v>25.453</v>
      </c>
      <c r="DO29" s="24" t="n">
        <f aca="false">IF(AND($D29="Sample",$L29&lt;&gt;"",Fits!$B$98&lt;&gt;""),Fits!$B$98,NA())</f>
        <v>-6.0577</v>
      </c>
      <c r="DP29" s="9" t="e">
        <f aca="false">IF($AS29="",NA(),$AS29)</f>
        <v>#N/A</v>
      </c>
      <c r="DQ29" s="9" t="e">
        <f aca="false">IF(AND($D29="Drift",$AS29="",$X29&lt;&gt;""),$X29,NA())</f>
        <v>#N/A</v>
      </c>
      <c r="DR29" s="9" t="e">
        <f aca="false">IF(AND($D29="Drift",$Z29&lt;&gt;""),$Z29,NA())</f>
        <v>#N/A</v>
      </c>
      <c r="DS29" s="25" t="n">
        <f aca="false">IF(AND(OR($D29="Sample",$D29="Check"),$AA29&lt;&gt;""),$AA29,NA())</f>
        <v>-5.3234068726027</v>
      </c>
      <c r="DT29" s="25" t="n">
        <f aca="false">IF(OR($B29="",Fits!$B$138=""),NA(),Fits!$B$138)</f>
        <v>1.76</v>
      </c>
      <c r="DU29" s="25" t="n">
        <f aca="false">IF(OR($B29="",Fits!$B$139=""),NA(),Fits!$B$139)</f>
        <v>20.68</v>
      </c>
      <c r="DV29" s="24" t="n">
        <f aca="false">IF($BT29="",NA(),$BT29)</f>
        <v>-1.356</v>
      </c>
      <c r="DW29" s="9" t="e">
        <f aca="false">IF($AP29="",NA(),$AO29)</f>
        <v>#N/A</v>
      </c>
      <c r="DX29" s="9" t="e">
        <f aca="false">IF($AP29="",NA(),$AP29)</f>
        <v>#N/A</v>
      </c>
      <c r="DY29" s="24" t="n">
        <f aca="false">IF(AND($D29="Sample",$P29&lt;&gt;""),$P29,NA())</f>
        <v>122.649</v>
      </c>
      <c r="DZ29" s="24" t="n">
        <f aca="false">IF(AND($D29="Sample",$P29&lt;&gt;"",Fits!$B$105&lt;&gt;""),Fits!$B$105,NA())</f>
        <v>-9.717</v>
      </c>
      <c r="EA29" s="9" t="e">
        <f aca="false">IF($AT29="",NA(),$AT29)</f>
        <v>#N/A</v>
      </c>
      <c r="EB29" s="9" t="e">
        <f aca="false">IF(AND($D29="Drift",$AT29="",$AC29&lt;&gt;""),$AC29,NA())</f>
        <v>#N/A</v>
      </c>
      <c r="EC29" s="9" t="e">
        <f aca="false">IF(AND($D29="Drift",$AE29&lt;&gt;""),$AE29,NA())</f>
        <v>#N/A</v>
      </c>
      <c r="ED29" s="25" t="n">
        <f aca="false">IF(AND(OR($D29="Sample",$D29="Check"),$AF29&lt;&gt;""),$AF29,NA())</f>
        <v>-26.6115679611122</v>
      </c>
      <c r="EE29" s="25" t="n">
        <f aca="false">IF(OR($B29="",Fits!$B$158=""),NA(),Fits!$B$158)</f>
        <v>-40.81</v>
      </c>
      <c r="EF29" s="25" t="n">
        <f aca="false">IF(OR($B29="",Fits!$B$159=""),NA(),Fits!$B$159)</f>
        <v>-20.29</v>
      </c>
      <c r="EG29" s="24" t="n">
        <f aca="false">IF($BW29="",NA(),$BW29)</f>
        <v>-25.366</v>
      </c>
      <c r="EH29" s="9" t="e">
        <f aca="false">IF(AND($EN29=1,ISNUMBER($N29)),$N29,NA())</f>
        <v>#N/A</v>
      </c>
      <c r="EI29" s="9" t="n">
        <f aca="false">IF($B29="","",$A29)</f>
        <v>24</v>
      </c>
      <c r="EJ29" s="9" t="n">
        <f aca="false">IF(OR(AND(ISNUMBER($L29),Fits!$B$97&gt;0,$L29&gt;Fits!$B$97),AND(ISNUMBER($P29),Fits!$B$104&gt;0,$P29&gt;Fits!$B$104)),1,0)</f>
        <v>0</v>
      </c>
      <c r="EK29" s="9" t="n">
        <f aca="false">IF(OR($EJ28=1,$EJ27=1),1,0)</f>
        <v>1</v>
      </c>
      <c r="EL29" s="22" t="n">
        <f aca="false">IF(AND($EK29=0,ISNUMBER($N29)),$N29,$EL28)</f>
        <v>26</v>
      </c>
      <c r="EM29" s="9" t="n">
        <f aca="false">IF(AND($EK29=1,ISNUMBER($N29),ISNUMBER($EL29)),$N29-$EL29,"")</f>
        <v>-0.300000000000001</v>
      </c>
      <c r="EN29" s="9" t="n">
        <f aca="false">IF(Setup!$B$28="",0,IF(ISNUMBER($EM29),IF($EM29&gt;Setup!$B$28,1,0),0))</f>
        <v>0</v>
      </c>
      <c r="EO29" s="9" t="str">
        <f aca="false">IF($EN29=1,COUNTIF($EN$6:$EN29,1),"")</f>
        <v/>
      </c>
      <c r="EP29" s="9" t="n">
        <f aca="false">IF(AND($EJ28=1,OR($D29="Sample",$D29="Check")),1,0)</f>
        <v>1</v>
      </c>
      <c r="EQ29" s="9" t="str">
        <f aca="false">IF(ISNUMBER($BI29),IF(COUNT($BI$6:$BI29)&lt;=5,$BI29,""),"")</f>
        <v/>
      </c>
      <c r="ER29" s="9" t="str">
        <f aca="false">IF(OR(NOT(ISNUMBER($BJ29)),$EK29=1),$ER28,IF($BJ29&lt;=Setup!$B$26,IF($CP28=0,$A29,$ER28),""))</f>
        <v/>
      </c>
    </row>
    <row r="30" customFormat="false" ht="15" hidden="false" customHeight="false" outlineLevel="0" collapsed="false">
      <c r="A30" s="8" t="n">
        <v>25</v>
      </c>
      <c r="B30" s="8" t="str">
        <f aca="false">IFERROR(INDEX(Raw!$B$2:$B$1001,MATCH($A30,Raw!$A$2:$A$1001,0)),"")</f>
        <v>Random</v>
      </c>
      <c r="C30" s="9" t="n">
        <f aca="false">IF($B30="","",MAX($CS30:$DE30))</f>
        <v>0</v>
      </c>
      <c r="D30" s="8" t="str">
        <f aca="false">IF($B30="","",IF($C30=0,"Sample",INDEX(Setup!$B$37:$B$49,$C30-36)))</f>
        <v>Sample</v>
      </c>
      <c r="E30" s="16" t="str">
        <f aca="false">IF($B30="","",IFERROR(IF(INDEX(Raw!$E$2:$E$1001,MATCH($A30,Raw!$A$2:$A$1001,0))=0,"",INDEX(Raw!$E$2:$E$1001,MATCH($A30,Raw!$A$2:$A$1001,0))),""))</f>
        <v/>
      </c>
      <c r="F30" s="18"/>
      <c r="G30" s="16" t="str">
        <f aca="false">IF($B30="","",IF($F30&lt;&gt;"",$F30,IF($E30="","",$E30)))</f>
        <v/>
      </c>
      <c r="H30" s="9" t="n">
        <f aca="false">IF($B30="","",SUMPRODUCT(MAX((Raw!$A$2:$A$1001=$A30)*(Raw!$R$2:$R$1001="N")*Raw!$D$2:$D$1001)))</f>
        <v>3</v>
      </c>
      <c r="I30" s="9" t="str">
        <f aca="false">IF(OR($H30="",$H30=0),"",$A30&amp;"|N|"&amp;$H30)</f>
        <v>25|N|3</v>
      </c>
      <c r="J30" s="9" t="n">
        <f aca="false">IF($B30="","",SUMPRODUCT(MIN((Raw!$A$2:$A$1001=$A30)*(Raw!$R$2:$R$1001="C")*Raw!$D$2:$D$1001+(1-(Raw!$A$2:$A$1001=$A30)*(Raw!$R$2:$R$1001="C"))*9999)))</f>
        <v>4</v>
      </c>
      <c r="K30" s="9" t="str">
        <f aca="false">IF(OR($J30="",$J30=0,$J30=9999),"",$A30&amp;"|C|"&amp;$J30)</f>
        <v>25|C|4</v>
      </c>
      <c r="L30" s="16" t="n">
        <f aca="false">IF($I30="","",IF(INDEX(Raw!$I$2:$I$1001,MATCH($I30,Raw!$S$2:$S$1001,0))&lt;&gt;0,"",INDEX(Raw!$H$2:$H$1001,MATCH($I30,Raw!$S$2:$S$1001,0))))</f>
        <v>47.866</v>
      </c>
      <c r="M30" s="19" t="n">
        <f aca="false">IF($I30="","",IF(INDEX(Raw!$I$2:$I$1001,MATCH($I30,Raw!$S$2:$S$1001,0))&lt;&gt;0,"",INDEX(Raw!$F$2:$F$1001,MATCH($I30,Raw!$S$2:$S$1001,0))))</f>
        <v>2784</v>
      </c>
      <c r="N30" s="20" t="n">
        <f aca="false">IF($I30="","",IF(INDEX(Raw!$I$2:$I$1001,MATCH($I30,Raw!$S$2:$S$1001,0))&lt;&gt;0,"",INDEX(Raw!$G$2:$G$1001,MATCH($I30,Raw!$S$2:$S$1001,0))))</f>
        <v>25.6</v>
      </c>
      <c r="O30" s="16" t="n">
        <f aca="false">IF($I30="","",IF(INDEX(Raw!$I$2:$I$1001,MATCH($I30,Raw!$S$2:$S$1001,0))&lt;&gt;0,"",INDEX(Raw!$N$2:$N$1001,MATCH($I30,Raw!$S$2:$S$1001,0))))</f>
        <v>39.073</v>
      </c>
      <c r="P30" s="16" t="n">
        <f aca="false">IF($K30="","",IF(INDEX(Raw!$I$2:$I$1001,MATCH($K30,Raw!$S$2:$S$1001,0))&lt;&gt;0,"",INDEX(Raw!$K$2:$K$1001,MATCH($K30,Raw!$S$2:$S$1001,0))))</f>
        <v>58.45</v>
      </c>
      <c r="Q30" s="19" t="n">
        <f aca="false">IF($K30="","",IF(INDEX(Raw!$I$2:$I$1001,MATCH($K30,Raw!$S$2:$S$1001,0))&lt;&gt;0,"",INDEX(Raw!$J$2:$J$1001,MATCH($K30,Raw!$S$2:$S$1001,0))))</f>
        <v>2628</v>
      </c>
      <c r="R30" s="16" t="n">
        <f aca="false">IF($K30="","",IF(INDEX(Raw!$I$2:$I$1001,MATCH($K30,Raw!$S$2:$S$1001,0))&lt;&gt;0,"",INDEX(Raw!$O$2:$O$1001,MATCH($K30,Raw!$S$2:$S$1001,0))))</f>
        <v>15.888</v>
      </c>
      <c r="S30" s="21" t="str">
        <f aca="false">IF($B30="","",IF($C30=0,"",IF(INDEX(Setup!$D$37:$D$49,$C30-36)="","",INDEX(Setup!$D$37:$D$49,$C30-36))))</f>
        <v/>
      </c>
      <c r="T30" s="21" t="str">
        <f aca="false">IF($B30="","",IF($C30=0,"",IF(INDEX(Setup!$C$37:$C$49,$C30-36)="","",INDEX(Setup!$C$37:$C$49,$C30-36))))</f>
        <v/>
      </c>
      <c r="U30" s="21" t="str">
        <f aca="false">IF($B30="","",IF($C30=0,"",IF(INDEX(Setup!$F$37:$F$49,$C30-36)="","",INDEX(Setup!$F$37:$F$49,$C30-36))))</f>
        <v/>
      </c>
      <c r="V30" s="21" t="str">
        <f aca="false">IF($B30="","",IF($C30=0,"",IF(INDEX(Setup!$E$37:$E$49,$C30-36)="","",INDEX(Setup!$E$37:$E$49,$C30-36))))</f>
        <v/>
      </c>
      <c r="W30" s="16" t="n">
        <f aca="false">IF($O30="","",IF(OR(Fits!$C$5&lt;&gt;"Yes",$D30="Blank",$L30&lt;=Fits!$B$6),$O30,($L30*$O30-Fits!$B$6*Fits!$B$7)/($L30-Fits!$B$6)))</f>
        <v>39.073</v>
      </c>
      <c r="X30" s="16" t="n">
        <f aca="false">IF($W30="","",$W30-Fits!$B$20*($L30-Fits!$B$16))</f>
        <v>39.073</v>
      </c>
      <c r="Y30" s="22" t="n">
        <f aca="false">IF($W30="","",IF(OR(Fits!$B$38="Row",$BI30=""),$A30,$BI30))</f>
        <v>25</v>
      </c>
      <c r="Z30" s="16" t="n">
        <f aca="false">IF($X30="","",$X30-Fits!$B$39*($Y30-Fits!$B$40))</f>
        <v>38.9436157000486</v>
      </c>
      <c r="AA30" s="23" t="n">
        <f aca="false">IF(OR($Z30="",Fits!$B$55&lt;2),"",Fits!$B$56*$Z30+Fits!$B$57)</f>
        <v>41.0066970872805</v>
      </c>
      <c r="AB30" s="16" t="n">
        <f aca="false">IF($R30="","",IF(OR(Fits!$C$9&lt;&gt;"Yes",$D30="Blank",$P30&lt;=Fits!$B$10),$R30,($P30*$R30-Fits!$B$10*Fits!$B$11)/($P30-Fits!$B$10)))</f>
        <v>15.888</v>
      </c>
      <c r="AC30" s="16" t="n">
        <f aca="false">IF($AB30="","",$AB30-Fits!$B$28*($P30-Fits!$B$24))</f>
        <v>16.0077564799284</v>
      </c>
      <c r="AD30" s="22" t="n">
        <f aca="false">IF($AB30="","",IF(OR(Fits!$B$50="Row",$BI30=""),$A30,$BI30))</f>
        <v>25</v>
      </c>
      <c r="AE30" s="16" t="n">
        <f aca="false">IF($AC30="","",$AC30-Fits!$B$51*($AD30-Fits!$B$52))</f>
        <v>16.0305360228702</v>
      </c>
      <c r="AF30" s="23" t="n">
        <f aca="false">IF(OR($AE30="",Fits!$B$62&lt;2),"",Fits!$B$63*$AE30+Fits!$B$64)</f>
        <v>-0.734863329113406</v>
      </c>
      <c r="AG30" s="21" t="n">
        <f aca="false">IF(OR($L30="",Fits!$B$69&lt;3),"",($L30-Fits!$B$71)/Fits!$B$70)</f>
        <v>75.7914304606794</v>
      </c>
      <c r="AH30" s="21" t="n">
        <f aca="false">IF(OR($P30="",Fits!$B$75&lt;3),"",($P30-Fits!$B$77)/Fits!$B$76)</f>
        <v>129.147744669635</v>
      </c>
      <c r="AI30" s="23" t="str">
        <f aca="false">IF(OR($AG30="",$G30="",$G30=0),"",$AG30/($G30*1000)*100)</f>
        <v/>
      </c>
      <c r="AJ30" s="23" t="str">
        <f aca="false">IF(OR($AH30="",$G30="",$G30=0),"",$AH30/($G30*1000)*100)</f>
        <v/>
      </c>
      <c r="AK30" s="23" t="n">
        <f aca="false">IF(OR($AG30="",$AH30="",$AG30&lt;=0),"",($AH30/Setup!$B$52)/($AG30/Setup!$B$53))</f>
        <v>1.98715930294373</v>
      </c>
      <c r="AL30" s="23" t="n">
        <f aca="false">IF(OR($AG30="",$AH30="",$AG30&lt;=0),"",$AH30/$AG30)</f>
        <v>1.70398874760171</v>
      </c>
      <c r="AM30" s="9" t="str">
        <f aca="false">IF($D30="Linearity",IF($L30="","",$L30),"")</f>
        <v/>
      </c>
      <c r="AN30" s="9" t="str">
        <f aca="false">IF($D30="Linearity",IF($W30="","",$W30),"")</f>
        <v/>
      </c>
      <c r="AO30" s="9" t="str">
        <f aca="false">IF($D30="Linearity",IF($P30="","",$P30),"")</f>
        <v/>
      </c>
      <c r="AP30" s="9" t="str">
        <f aca="false">IF($D30="Linearity",IF($AB30="","",$AB30),"")</f>
        <v/>
      </c>
      <c r="AQ30" s="9" t="str">
        <f aca="false">IF($D30="Drift",IF($A30&lt;IF(Setup!$B$14="",0,Setup!$B$14),"",$A30),"")</f>
        <v/>
      </c>
      <c r="AR30" s="9" t="str">
        <f aca="false">IF($D30="Drift",IF($A30&lt;IF(Setup!$B$14="",0,Setup!$B$14),"",IF($BI30="","",$BI30)),"")</f>
        <v/>
      </c>
      <c r="AS30" s="9" t="str">
        <f aca="false">IF($D30="Drift",IF($A30&lt;IF(Setup!$B$14="",0,Setup!$B$14),"",IF(OR($X30="",$BX30=1),"",$X30)),"")</f>
        <v/>
      </c>
      <c r="AT30" s="9" t="str">
        <f aca="false">IF($D30="Drift",IF($A30&lt;IF(Setup!$B$14="",0,Setup!$B$14),"",IF(OR($AC30="",$BY30=1),"",$AC30)),"")</f>
        <v/>
      </c>
      <c r="AU30" s="9" t="str">
        <f aca="false">IF($D30="Anchor",IF(OR($Z30="",$S30=""),"",$Z30),"")</f>
        <v/>
      </c>
      <c r="AV30" s="9" t="str">
        <f aca="false">IF($D30="Anchor",IF(OR($Z30="",$S30=""),"",$S30),"")</f>
        <v/>
      </c>
      <c r="AW30" s="9" t="str">
        <f aca="false">IF($D30="Anchor",IF(OR($AE30="",$T30=""),"",$AE30),"")</f>
        <v/>
      </c>
      <c r="AX30" s="9" t="str">
        <f aca="false">IF($D30="Anchor",IF(OR($AE30="",$T30=""),"",$T30),"")</f>
        <v/>
      </c>
      <c r="AY30" s="9" t="str">
        <f aca="false">IF(OR($D30="Blank",$D30="Exclude",$D30="Sample",$D30="",$G30="",$U30="",$L30=""),"",$G30*1000*$U30/100)</f>
        <v/>
      </c>
      <c r="AZ30" s="9" t="str">
        <f aca="false">IF($AY30="","",$L30)</f>
        <v/>
      </c>
      <c r="BA30" s="9" t="str">
        <f aca="false">IF(OR($D30="Blank",$D30="Exclude",$D30="Sample",$D30="",$G30="",$V30="",$P30=""),"",$G30*1000*$V30/100)</f>
        <v/>
      </c>
      <c r="BB30" s="9" t="str">
        <f aca="false">IF($BA30="","",$P30)</f>
        <v/>
      </c>
      <c r="BC30" s="9" t="str">
        <f aca="false">IF(AND($D30="Blank",$L30&lt;&gt;""),$O30,"")</f>
        <v/>
      </c>
      <c r="BD30" s="9" t="str">
        <f aca="false">IF($BC30="","",$L30)</f>
        <v/>
      </c>
      <c r="BE30" s="9" t="str">
        <f aca="false">IF(AND($D30="Blank",$P30&lt;&gt;""),$R30,"")</f>
        <v/>
      </c>
      <c r="BF30" s="9" t="str">
        <f aca="false">IF($BE30="","",$P30)</f>
        <v/>
      </c>
      <c r="BG30" s="9" t="str">
        <f aca="false">IF(AND($D30="Drift",$BX30&lt;&gt;1),IF($AA30="","",$AA30),"")</f>
        <v/>
      </c>
      <c r="BH30" s="9" t="str">
        <f aca="false">IF(AND($D30="Drift",$BY30&lt;&gt;1),IF($AF30="","",$AF30),"")</f>
        <v/>
      </c>
      <c r="BI30" s="20" t="n">
        <f aca="false">IF($B30="","",IFERROR(INDEX(Raw!$G$2:$G$1001,MATCH($A30&amp;"|N|"&amp;SUMPRODUCT(MAX((Raw!$A$2:$A$1001=$A30)*(Raw!$R$2:$R$1001="N")*(Raw!$I$2:$I$1001=1)*Raw!$D$2:$D$1001)),Raw!$S$2:$S$1001,0)),""))</f>
        <v>24.4</v>
      </c>
      <c r="BJ30" s="21" t="n">
        <f aca="false">IF(OR($BI30="",Fits!$B$85&lt;=0),"",($BI30-Fits!$B$83)/Fits!$B$85)</f>
        <v>0.117117117117117</v>
      </c>
      <c r="BK30" s="9" t="str">
        <f aca="false">IF($AS30="","",IF($A30&gt;=Fits!$B$86,"",$A30))</f>
        <v/>
      </c>
      <c r="BL30" s="9" t="str">
        <f aca="false">IF($BK30="","",$X30)</f>
        <v/>
      </c>
      <c r="BM30" s="9" t="str">
        <f aca="false">IF($AS30="","",IF($A30&lt;Fits!$B$86,"",$A30))</f>
        <v/>
      </c>
      <c r="BN30" s="9" t="str">
        <f aca="false">IF($BM30="","",$X30)</f>
        <v/>
      </c>
      <c r="BO30" s="9" t="str">
        <f aca="false">IF(AND($D30="Drift",$BX30&lt;&gt;1),IF($O30="","",$O30),"")</f>
        <v/>
      </c>
      <c r="BP30" s="9" t="str">
        <f aca="false">IF(AND($D30="Drift",$BX30&lt;&gt;1),IF($W30="","",$W30),"")</f>
        <v/>
      </c>
      <c r="BQ30" s="9" t="str">
        <f aca="false">IF(AND($D30="Drift",$BX30&lt;&gt;1),IF($X30="","",$X30),"")</f>
        <v/>
      </c>
      <c r="BR30" s="9" t="str">
        <f aca="false">IF(AND($D30="Drift",$BX30&lt;&gt;1),IF($Z30="","",$Z30),"")</f>
        <v/>
      </c>
      <c r="BS30" s="9" t="n">
        <f aca="false">IF(OR($B30="",$H30=""),"",SUMPRODUCT(MIN((Raw!$A$2:$A$1001=$A30)*(Raw!$R$2:$R$1001="N")*(Raw!$I$2:$I$1001=0)*(Raw!$D$2:$D$1001&lt;$H30)*Raw!$D$2:$D$1001+(1-(Raw!$A$2:$A$1001=$A30)*(Raw!$R$2:$R$1001="N")*(Raw!$I$2:$I$1001=0)*(Raw!$D$2:$D$1001&lt;$H30))*9999)))</f>
        <v>1</v>
      </c>
      <c r="BT30" s="16" t="n">
        <f aca="false">IF(OR($BS30="",$BS30=9999,$BS30=0),"",IFERROR(INDEX(Raw!$N$2:$N$1001,MATCH($A30&amp;"|N|"&amp;$BS30,Raw!$S$2:$S$1001,0)),""))</f>
        <v>-1.184</v>
      </c>
      <c r="BU30" s="9" t="n">
        <f aca="false">IF($B30="","",SUMPRODUCT(MIN((Raw!$A$2:$A$1001=$A30)*(Raw!$R$2:$R$1001="C")*(Raw!$I$2:$I$1001=1)*Raw!$D$2:$D$1001+(1-(Raw!$A$2:$A$1001=$A30)*(Raw!$R$2:$R$1001="C")*(Raw!$I$2:$I$1001=1))*9999)))</f>
        <v>5</v>
      </c>
      <c r="BV30" s="9" t="n">
        <f aca="false">IF(OR($BU30="",$BU30=9999),"",SUMPRODUCT(MIN((Raw!$A$2:$A$1001=$A30)*(Raw!$R$2:$R$1001="C")*(Raw!$I$2:$I$1001=0)*(Raw!$D$2:$D$1001&gt;$BU30)*Raw!$D$2:$D$1001+(1-(Raw!$A$2:$A$1001=$A30)*(Raw!$R$2:$R$1001="C")*(Raw!$I$2:$I$1001=0)*(Raw!$D$2:$D$1001&gt;$BU30))*9999)))</f>
        <v>6</v>
      </c>
      <c r="BW30" s="16" t="n">
        <f aca="false">IF(OR($BV30="",$BV30=9999,$BV30=0),"",IFERROR(INDEX(Raw!$O$2:$O$1001,MATCH($A30&amp;"|C|"&amp;$BV30,Raw!$S$2:$S$1001,0)),""))</f>
        <v>-25.384</v>
      </c>
      <c r="BX30" s="9" t="n">
        <f aca="false">IF($B30="","",IF(ISNUMBER(SEARCH(","&amp;$A30&amp;",",","&amp;SUBSTITUTE(Setup!$B$16," ","")&amp;",")),1,0))</f>
        <v>0</v>
      </c>
      <c r="BY30" s="9" t="n">
        <f aca="false">IF($B30="","",IF(ISNUMBER(SEARCH(","&amp;$A30&amp;",",","&amp;SUBSTITUTE(Setup!$B$17," ","")&amp;",")),1,0))</f>
        <v>0</v>
      </c>
      <c r="BZ30" s="22" t="str">
        <f aca="false">IF($AS30="","",IF(Fits!$B$38="Row",$AQ30,IF($AR30="","",$AR30)))</f>
        <v/>
      </c>
      <c r="CA30" s="22" t="str">
        <f aca="false">IF($AT30="","",IF(Fits!$B$50="Row",$AQ30,IF($AR30="","",$AR30)))</f>
        <v/>
      </c>
      <c r="CB30" s="20" t="str">
        <f aca="false">IF(OR($D30&lt;&gt;"Drift",$X30="",$A30&lt;IF(Setup!$B$14="",0,Setup!$B$14),Fits!$B$107&lt;3,Fits!$B$110="",Fits!$B$109=0,IF(Fits!$B$38="Row",$AQ30,$AR30)=""),"",IF($BX30=1,IF(OR(Fits!$B$111="",Fits!$B$111=0),"",($X30-(IF(Fits!$B$38="Row",Fits!$B$32,Fits!$B$35)*IF(Fits!$B$38="Row",$AQ30,$AR30)+Fits!$B$110))/(Fits!$B$111*SQRT(1+(1/Fits!$B$107+(IF(Fits!$B$38="Row",$AQ30,$AR30)-Fits!$B$108)^2/Fits!$B$109)))),IF(OR(Fits!$B$107&lt;4,(1/Fits!$B$107+(IF(Fits!$B$38="Row",$AQ30,$AR30)-Fits!$B$108)^2/Fits!$B$109)&gt;=1),"",IF((Fits!$B$116-($X30-(IF(Fits!$B$38="Row",Fits!$B$32,Fits!$B$35)*IF(Fits!$B$38="Row",$AQ30,$AR30)+Fits!$B$110))^2/(1-(1/Fits!$B$107+(IF(Fits!$B$38="Row",$AQ30,$AR30)-Fits!$B$108)^2/Fits!$B$109)))&lt;=0,"",($X30-(IF(Fits!$B$38="Row",Fits!$B$32,Fits!$B$35)*IF(Fits!$B$38="Row",$AQ30,$AR30)+Fits!$B$110))/(SQRT((Fits!$B$116-($X30-(IF(Fits!$B$38="Row",Fits!$B$32,Fits!$B$35)*IF(Fits!$B$38="Row",$AQ30,$AR30)+Fits!$B$110))^2/(1-(1/Fits!$B$107+(IF(Fits!$B$38="Row",$AQ30,$AR30)-Fits!$B$108)^2/Fits!$B$109)))/(Fits!$B$107-3))*SQRT(1-(1/Fits!$B$107+(IF(Fits!$B$38="Row",$AQ30,$AR30)-Fits!$B$108)^2/Fits!$B$109)))))))</f>
        <v/>
      </c>
      <c r="CC30" s="20" t="str">
        <f aca="false">IF(OR($D30&lt;&gt;"Drift",$AC30="",$A30&lt;IF(Setup!$B$14="",0,Setup!$B$14),Fits!$B$120&lt;3,Fits!$B$123="",Fits!$B$122=0,IF(Fits!$B$50="Row",$AQ30,$AR30)=""),"",IF($BY30=1,IF(OR(Fits!$B$124="",Fits!$B$124=0),"",($AC30-(IF(Fits!$B$50="Row",Fits!$B$44,Fits!$B$47)*IF(Fits!$B$50="Row",$AQ30,$AR30)+Fits!$B$123))/(Fits!$B$124*SQRT(1+(1/Fits!$B$120+(IF(Fits!$B$50="Row",$AQ30,$AR30)-Fits!$B$121)^2/Fits!$B$122)))),IF(OR(Fits!$B$120&lt;4,(1/Fits!$B$120+(IF(Fits!$B$50="Row",$AQ30,$AR30)-Fits!$B$121)^2/Fits!$B$122)&gt;=1),"",IF((Fits!$B$129-($AC30-(IF(Fits!$B$50="Row",Fits!$B$44,Fits!$B$47)*IF(Fits!$B$50="Row",$AQ30,$AR30)+Fits!$B$123))^2/(1-(1/Fits!$B$120+(IF(Fits!$B$50="Row",$AQ30,$AR30)-Fits!$B$121)^2/Fits!$B$122)))&lt;=0,"",($AC30-(IF(Fits!$B$50="Row",Fits!$B$44,Fits!$B$47)*IF(Fits!$B$50="Row",$AQ30,$AR30)+Fits!$B$123))/(SQRT((Fits!$B$129-($AC30-(IF(Fits!$B$50="Row",Fits!$B$44,Fits!$B$47)*IF(Fits!$B$50="Row",$AQ30,$AR30)+Fits!$B$123))^2/(1-(1/Fits!$B$120+(IF(Fits!$B$50="Row",$AQ30,$AR30)-Fits!$B$121)^2/Fits!$B$122)))/(Fits!$B$120-3))*SQRT(1-(1/Fits!$B$120+(IF(Fits!$B$50="Row",$AQ30,$AR30)-Fits!$B$121)^2/Fits!$B$122)))))))</f>
        <v/>
      </c>
      <c r="CD30" s="9" t="str">
        <f aca="false">IF($AU30="","",1)</f>
        <v/>
      </c>
      <c r="CE30" s="24" t="str">
        <f aca="false">IF($AU30="","",$AU30-Fits!$B$133)</f>
        <v/>
      </c>
      <c r="CF30" s="24" t="str">
        <f aca="false">IF($AU30="","",($AV30-(Fits!$B$56*$AU30+Fits!$B$57))-Fits!$B$56*($AU30-Fits!$B$133))</f>
        <v/>
      </c>
      <c r="CG30" s="25" t="str">
        <f aca="false">IF($AU30="","",$AU30^2)</f>
        <v/>
      </c>
      <c r="CH30" s="9" t="str">
        <f aca="false">IF($AW30="","",1)</f>
        <v/>
      </c>
      <c r="CI30" s="24" t="str">
        <f aca="false">IF($AW30="","",$AW30-Fits!$B$153)</f>
        <v/>
      </c>
      <c r="CJ30" s="24" t="str">
        <f aca="false">IF($AW30="","",($AX30-(Fits!$B$63*$AW30+Fits!$B$64))-Fits!$B$63*($AW30-Fits!$B$153))</f>
        <v/>
      </c>
      <c r="CK30" s="25" t="str">
        <f aca="false">IF($AW30="","",$AW30^2)</f>
        <v/>
      </c>
      <c r="CL30" s="26" t="n">
        <f aca="false">IF(OR($Z30="",Fits!$B$55&lt;3,Fits!$B$133="",Fits!$B$134="",Fits!$B$134=0,Fits!$B$136=""),"",SQRT((Fits!$B$136*Fits!$B$56)^2+SUMPRODUCT((Fits!$J$163:$J$175*(Fits!$B$163:$B$175/Fits!$B$55+Fits!$H$163:$H$175*($Z30-Fits!$B$133)/Fits!$B$134))^2)+SUMPRODUCT((Fits!$G$163:$G$175*(($Z30-Fits!$B$133)*Fits!$I$163:$I$175/Fits!$B$134-Fits!$B$163:$B$175*Fits!$B$56/Fits!$B$55))^2)))</f>
        <v>0.29949736117604</v>
      </c>
      <c r="CM30" s="26" t="n">
        <f aca="false">IF($CL30="","",Setup!$B$32*$CL30)</f>
        <v>0.598994722352079</v>
      </c>
      <c r="CN30" s="26" t="n">
        <f aca="false">IF(OR($AE30="",Fits!$B$62&lt;3,Fits!$B$153="",Fits!$B$154="",Fits!$B$154=0,Fits!$B$156=""),"",SQRT((Fits!$B$156*Fits!$B$63)^2+SUMPRODUCT((Fits!$J$183:$J$195*(Fits!$B$183:$B$195/Fits!$B$62+Fits!$H$183:$H$195*($AE30-Fits!$B$153)/Fits!$B$154))^2)+SUMPRODUCT((Fits!$G$183:$G$195*(($AE30-Fits!$B$153)*Fits!$I$183:$I$195/Fits!$B$154-Fits!$B$183:$B$195*Fits!$B$63/Fits!$B$62))^2)))</f>
        <v>0.0931293233731991</v>
      </c>
      <c r="CO30" s="26" t="n">
        <f aca="false">IF($CN30="","",Setup!$B$32*$CN30)</f>
        <v>0.186258646746398</v>
      </c>
      <c r="CP30" s="9" t="n">
        <f aca="false">IF(OR(NOT(ISNUMBER($BJ30)),$EK30=1),$CP29,IF($BJ30&lt;=Setup!$B$26,$CP29+1,0))</f>
        <v>0</v>
      </c>
      <c r="CQ30" s="9" t="n">
        <f aca="false">IF($BT30="","",$A30)</f>
        <v>25</v>
      </c>
      <c r="CR30" s="9" t="n">
        <f aca="false">IF($BW30="","",$A30)</f>
        <v>25</v>
      </c>
      <c r="CS30" s="9" t="n">
        <f aca="false">IF($B30="","",IF(Setup!$A$37="",0,IF(ISNUMBER(SEARCH(Setup!$A$37,$B30)),37,0)))</f>
        <v>0</v>
      </c>
      <c r="CT30" s="9" t="n">
        <f aca="false">IF($B30="","",IF(Setup!$A$38="",0,IF(ISNUMBER(SEARCH(Setup!$A$38,$B30)),38,0)))</f>
        <v>0</v>
      </c>
      <c r="CU30" s="9" t="n">
        <f aca="false">IF($B30="","",IF(Setup!$A$39="",0,IF(ISNUMBER(SEARCH(Setup!$A$39,$B30)),39,0)))</f>
        <v>0</v>
      </c>
      <c r="CV30" s="9" t="n">
        <f aca="false">IF($B30="","",IF(Setup!$A$40="",0,IF(ISNUMBER(SEARCH(Setup!$A$40,$B30)),40,0)))</f>
        <v>0</v>
      </c>
      <c r="CW30" s="9" t="n">
        <f aca="false">IF($B30="","",IF(Setup!$A$41="",0,IF(ISNUMBER(SEARCH(Setup!$A$41,$B30)),41,0)))</f>
        <v>0</v>
      </c>
      <c r="CX30" s="9" t="n">
        <f aca="false">IF($B30="","",IF(Setup!$A$42="",0,IF(ISNUMBER(SEARCH(Setup!$A$42,$B30)),42,0)))</f>
        <v>0</v>
      </c>
      <c r="CY30" s="9" t="n">
        <f aca="false">IF($B30="","",IF(Setup!$A$43="",0,IF(ISNUMBER(SEARCH(Setup!$A$43,$B30)),43,0)))</f>
        <v>0</v>
      </c>
      <c r="CZ30" s="9" t="n">
        <f aca="false">IF($B30="","",IF(Setup!$A$44="",0,IF(ISNUMBER(SEARCH(Setup!$A$44,$B30)),44,0)))</f>
        <v>0</v>
      </c>
      <c r="DA30" s="9" t="n">
        <f aca="false">IF($B30="","",IF(Setup!$A$45="",0,IF(ISNUMBER(SEARCH(Setup!$A$45,$B30)),45,0)))</f>
        <v>0</v>
      </c>
      <c r="DB30" s="9" t="n">
        <f aca="false">IF($B30="","",IF(Setup!$A$46="",0,IF(ISNUMBER(SEARCH(Setup!$A$46,$B30)),46,0)))</f>
        <v>0</v>
      </c>
      <c r="DC30" s="9" t="n">
        <f aca="false">IF($B30="","",IF(Setup!$A$47="",0,IF(ISNUMBER(SEARCH(Setup!$A$47,$B30)),47,0)))</f>
        <v>0</v>
      </c>
      <c r="DD30" s="9" t="n">
        <f aca="false">IF($B30="","",IF(Setup!$A$48="",0,IF(ISNUMBER(SEARCH(Setup!$A$48,$B30)),48,0)))</f>
        <v>0</v>
      </c>
      <c r="DE30" s="9" t="n">
        <f aca="false">IF($B30="","",IF(Setup!$A$49="",0,IF(ISNUMBER(SEARCH(Setup!$A$49,$B30)),49,0)))</f>
        <v>0</v>
      </c>
      <c r="DF30" s="9" t="n">
        <f aca="false">IF($B30="",NA(),$A30)</f>
        <v>25</v>
      </c>
      <c r="DG30" s="22" t="n">
        <f aca="false">IF($BI30="",NA(),$BI30)</f>
        <v>24.4</v>
      </c>
      <c r="DH30" s="22" t="n">
        <f aca="false">IF($N30="",NA(),$N30)</f>
        <v>25.6</v>
      </c>
      <c r="DI30" s="9" t="e">
        <f aca="false">IF(AND($D30="Drift",$N30&lt;&gt;""),$N30,NA())</f>
        <v>#N/A</v>
      </c>
      <c r="DJ30" s="9" t="str">
        <f aca="false">IF(AND($D30="Drift",$N30&lt;&gt;""),$N30,"")</f>
        <v/>
      </c>
      <c r="DK30" s="9" t="str">
        <f aca="false">IF($DJ30="","",$A30)</f>
        <v/>
      </c>
      <c r="DL30" s="9" t="e">
        <f aca="false">IF($AN30="",NA(),$AM30)</f>
        <v>#N/A</v>
      </c>
      <c r="DM30" s="9" t="e">
        <f aca="false">IF($AN30="",NA(),$AN30)</f>
        <v>#N/A</v>
      </c>
      <c r="DN30" s="24" t="n">
        <f aca="false">IF(AND($D30="Sample",$L30&lt;&gt;""),$L30,NA())</f>
        <v>47.866</v>
      </c>
      <c r="DO30" s="24" t="n">
        <f aca="false">IF(AND($D30="Sample",$L30&lt;&gt;"",Fits!$B$98&lt;&gt;""),Fits!$B$98,NA())</f>
        <v>-6.0577</v>
      </c>
      <c r="DP30" s="9" t="e">
        <f aca="false">IF($AS30="",NA(),$AS30)</f>
        <v>#N/A</v>
      </c>
      <c r="DQ30" s="9" t="e">
        <f aca="false">IF(AND($D30="Drift",$AS30="",$X30&lt;&gt;""),$X30,NA())</f>
        <v>#N/A</v>
      </c>
      <c r="DR30" s="9" t="e">
        <f aca="false">IF(AND($D30="Drift",$Z30&lt;&gt;""),$Z30,NA())</f>
        <v>#N/A</v>
      </c>
      <c r="DS30" s="25" t="n">
        <f aca="false">IF(AND(OR($D30="Sample",$D30="Check"),$AA30&lt;&gt;""),$AA30,NA())</f>
        <v>41.0066970872805</v>
      </c>
      <c r="DT30" s="25" t="n">
        <f aca="false">IF(OR($B30="",Fits!$B$138=""),NA(),Fits!$B$138)</f>
        <v>1.76</v>
      </c>
      <c r="DU30" s="25" t="n">
        <f aca="false">IF(OR($B30="",Fits!$B$139=""),NA(),Fits!$B$139)</f>
        <v>20.68</v>
      </c>
      <c r="DV30" s="24" t="n">
        <f aca="false">IF($BT30="",NA(),$BT30)</f>
        <v>-1.184</v>
      </c>
      <c r="DW30" s="9" t="e">
        <f aca="false">IF($AP30="",NA(),$AO30)</f>
        <v>#N/A</v>
      </c>
      <c r="DX30" s="9" t="e">
        <f aca="false">IF($AP30="",NA(),$AP30)</f>
        <v>#N/A</v>
      </c>
      <c r="DY30" s="24" t="n">
        <f aca="false">IF(AND($D30="Sample",$P30&lt;&gt;""),$P30,NA())</f>
        <v>58.45</v>
      </c>
      <c r="DZ30" s="24" t="n">
        <f aca="false">IF(AND($D30="Sample",$P30&lt;&gt;"",Fits!$B$105&lt;&gt;""),Fits!$B$105,NA())</f>
        <v>-9.717</v>
      </c>
      <c r="EA30" s="9" t="e">
        <f aca="false">IF($AT30="",NA(),$AT30)</f>
        <v>#N/A</v>
      </c>
      <c r="EB30" s="9" t="e">
        <f aca="false">IF(AND($D30="Drift",$AT30="",$AC30&lt;&gt;""),$AC30,NA())</f>
        <v>#N/A</v>
      </c>
      <c r="EC30" s="9" t="e">
        <f aca="false">IF(AND($D30="Drift",$AE30&lt;&gt;""),$AE30,NA())</f>
        <v>#N/A</v>
      </c>
      <c r="ED30" s="25" t="n">
        <f aca="false">IF(AND(OR($D30="Sample",$D30="Check"),$AF30&lt;&gt;""),$AF30,NA())</f>
        <v>-0.734863329113406</v>
      </c>
      <c r="EE30" s="25" t="n">
        <f aca="false">IF(OR($B30="",Fits!$B$158=""),NA(),Fits!$B$158)</f>
        <v>-40.81</v>
      </c>
      <c r="EF30" s="25" t="n">
        <f aca="false">IF(OR($B30="",Fits!$B$159=""),NA(),Fits!$B$159)</f>
        <v>-20.29</v>
      </c>
      <c r="EG30" s="24" t="n">
        <f aca="false">IF($BW30="",NA(),$BW30)</f>
        <v>-25.384</v>
      </c>
      <c r="EH30" s="9" t="e">
        <f aca="false">IF(AND($EN30=1,ISNUMBER($N30)),$N30,NA())</f>
        <v>#N/A</v>
      </c>
      <c r="EI30" s="9" t="n">
        <f aca="false">IF($B30="","",$A30)</f>
        <v>25</v>
      </c>
      <c r="EJ30" s="9" t="n">
        <f aca="false">IF(OR(AND(ISNUMBER($L30),Fits!$B$97&gt;0,$L30&gt;Fits!$B$97),AND(ISNUMBER($P30),Fits!$B$104&gt;0,$P30&gt;Fits!$B$104)),1,0)</f>
        <v>0</v>
      </c>
      <c r="EK30" s="9" t="n">
        <f aca="false">IF(OR($EJ29=1,$EJ28=1),1,0)</f>
        <v>1</v>
      </c>
      <c r="EL30" s="22" t="n">
        <f aca="false">IF(AND($EK30=0,ISNUMBER($N30)),$N30,$EL29)</f>
        <v>26</v>
      </c>
      <c r="EM30" s="9" t="n">
        <f aca="false">IF(AND($EK30=1,ISNUMBER($N30),ISNUMBER($EL30)),$N30-$EL30,"")</f>
        <v>-0.399999999999999</v>
      </c>
      <c r="EN30" s="9" t="n">
        <f aca="false">IF(Setup!$B$28="",0,IF(ISNUMBER($EM30),IF($EM30&gt;Setup!$B$28,1,0),0))</f>
        <v>0</v>
      </c>
      <c r="EO30" s="9" t="str">
        <f aca="false">IF($EN30=1,COUNTIF($EN$6:$EN30,1),"")</f>
        <v/>
      </c>
      <c r="EP30" s="9" t="n">
        <f aca="false">IF(AND($EJ29=1,OR($D30="Sample",$D30="Check")),1,0)</f>
        <v>0</v>
      </c>
      <c r="EQ30" s="9" t="str">
        <f aca="false">IF(ISNUMBER($BI30),IF(COUNT($BI$6:$BI30)&lt;=5,$BI30,""),"")</f>
        <v/>
      </c>
      <c r="ER30" s="9" t="str">
        <f aca="false">IF(OR(NOT(ISNUMBER($BJ30)),$EK30=1),$ER29,IF($BJ30&lt;=Setup!$B$26,IF($CP29=0,$A30,$ER29),""))</f>
        <v/>
      </c>
    </row>
    <row r="31" customFormat="false" ht="15" hidden="false" customHeight="false" outlineLevel="0" collapsed="false">
      <c r="A31" s="8" t="n">
        <v>26</v>
      </c>
      <c r="B31" s="8" t="str">
        <f aca="false">IFERROR(INDEX(Raw!$B$2:$B$1001,MATCH($A31,Raw!$A$2:$A$1001,0)),"")</f>
        <v>Ace Drift5</v>
      </c>
      <c r="C31" s="9" t="n">
        <f aca="false">IF($B31="","",MAX($CS31:$DE31))</f>
        <v>43</v>
      </c>
      <c r="D31" s="8" t="str">
        <f aca="false">IF($B31="","",IF($C31=0,"Sample",INDEX(Setup!$B$37:$B$49,$C31-36)))</f>
        <v>Drift</v>
      </c>
      <c r="E31" s="16" t="n">
        <f aca="false">IF($B31="","",IFERROR(IF(INDEX(Raw!$E$2:$E$1001,MATCH($A31,Raw!$A$2:$A$1001,0))=0,"",INDEX(Raw!$E$2:$E$1001,MATCH($A31,Raw!$A$2:$A$1001,0))),""))</f>
        <v>0.4</v>
      </c>
      <c r="F31" s="18"/>
      <c r="G31" s="16" t="n">
        <f aca="false">IF($B31="","",IF($F31&lt;&gt;"",$F31,IF($E31="","",$E31)))</f>
        <v>0.4</v>
      </c>
      <c r="H31" s="9" t="n">
        <f aca="false">IF($B31="","",SUMPRODUCT(MAX((Raw!$A$2:$A$1001=$A31)*(Raw!$R$2:$R$1001="N")*Raw!$D$2:$D$1001)))</f>
        <v>3</v>
      </c>
      <c r="I31" s="9" t="str">
        <f aca="false">IF(OR($H31="",$H31=0),"",$A31&amp;"|N|"&amp;$H31)</f>
        <v>26|N|3</v>
      </c>
      <c r="J31" s="9" t="n">
        <f aca="false">IF($B31="","",SUMPRODUCT(MIN((Raw!$A$2:$A$1001=$A31)*(Raw!$R$2:$R$1001="C")*Raw!$D$2:$D$1001+(1-(Raw!$A$2:$A$1001=$A31)*(Raw!$R$2:$R$1001="C"))*9999)))</f>
        <v>4</v>
      </c>
      <c r="K31" s="9" t="str">
        <f aca="false">IF(OR($J31="",$J31=0,$J31=9999),"",$A31&amp;"|C|"&amp;$J31)</f>
        <v>26|C|4</v>
      </c>
      <c r="L31" s="16" t="n">
        <f aca="false">IF($I31="","",IF(INDEX(Raw!$I$2:$I$1001,MATCH($I31,Raw!$S$2:$S$1001,0))&lt;&gt;0,"",INDEX(Raw!$H$2:$H$1001,MATCH($I31,Raw!$S$2:$S$1001,0))))</f>
        <v>27.189</v>
      </c>
      <c r="M31" s="19" t="n">
        <f aca="false">IF($I31="","",IF(INDEX(Raw!$I$2:$I$1001,MATCH($I31,Raw!$S$2:$S$1001,0))&lt;&gt;0,"",INDEX(Raw!$F$2:$F$1001,MATCH($I31,Raw!$S$2:$S$1001,0))))</f>
        <v>1588</v>
      </c>
      <c r="N31" s="20" t="n">
        <f aca="false">IF($I31="","",IF(INDEX(Raw!$I$2:$I$1001,MATCH($I31,Raw!$S$2:$S$1001,0))&lt;&gt;0,"",INDEX(Raw!$G$2:$G$1001,MATCH($I31,Raw!$S$2:$S$1001,0))))</f>
        <v>25.5</v>
      </c>
      <c r="O31" s="16" t="n">
        <f aca="false">IF($I31="","",IF(INDEX(Raw!$I$2:$I$1001,MATCH($I31,Raw!$S$2:$S$1001,0))&lt;&gt;0,"",INDEX(Raw!$N$2:$N$1001,MATCH($I31,Raw!$S$2:$S$1001,0))))</f>
        <v>-6.094</v>
      </c>
      <c r="P31" s="16" t="n">
        <f aca="false">IF($K31="","",IF(INDEX(Raw!$I$2:$I$1001,MATCH($K31,Raw!$S$2:$S$1001,0))&lt;&gt;0,"",INDEX(Raw!$K$2:$K$1001,MATCH($K31,Raw!$S$2:$S$1001,0))))</f>
        <v>130.395</v>
      </c>
      <c r="Q31" s="19" t="n">
        <f aca="false">IF($K31="","",IF(INDEX(Raw!$I$2:$I$1001,MATCH($K31,Raw!$S$2:$S$1001,0))&lt;&gt;0,"",INDEX(Raw!$J$2:$J$1001,MATCH($K31,Raw!$S$2:$S$1001,0))))</f>
        <v>5756</v>
      </c>
      <c r="R31" s="16" t="n">
        <f aca="false">IF($K31="","",IF(INDEX(Raw!$I$2:$I$1001,MATCH($K31,Raw!$S$2:$S$1001,0))&lt;&gt;0,"",INDEX(Raw!$O$2:$O$1001,MATCH($K31,Raw!$S$2:$S$1001,0))))</f>
        <v>-9.431</v>
      </c>
      <c r="S31" s="21" t="str">
        <f aca="false">IF($B31="","",IF($C31=0,"",IF(INDEX(Setup!$D$37:$D$49,$C31-36)="","",INDEX(Setup!$D$37:$D$49,$C31-36))))</f>
        <v/>
      </c>
      <c r="T31" s="21" t="str">
        <f aca="false">IF($B31="","",IF($C31=0,"",IF(INDEX(Setup!$C$37:$C$49,$C31-36)="","",INDEX(Setup!$C$37:$C$49,$C31-36))))</f>
        <v/>
      </c>
      <c r="U31" s="21" t="n">
        <f aca="false">IF($B31="","",IF($C31=0,"",IF(INDEX(Setup!$F$37:$F$49,$C31-36)="","",INDEX(Setup!$F$37:$F$49,$C31-36))))</f>
        <v>10.36</v>
      </c>
      <c r="V31" s="21" t="n">
        <f aca="false">IF($B31="","",IF($C31=0,"",IF(INDEX(Setup!$E$37:$E$49,$C31-36)="","",INDEX(Setup!$E$37:$E$49,$C31-36))))</f>
        <v>71.09</v>
      </c>
      <c r="W31" s="16" t="n">
        <f aca="false">IF($O31="","",IF(OR(Fits!$C$5&lt;&gt;"Yes",$D31="Blank",$L31&lt;=Fits!$B$6),$O31,($L31*$O31-Fits!$B$6*Fits!$B$7)/($L31-Fits!$B$6)))</f>
        <v>-6.094</v>
      </c>
      <c r="X31" s="16" t="n">
        <f aca="false">IF($W31="","",$W31-Fits!$B$20*($L31-Fits!$B$16))</f>
        <v>-6.094</v>
      </c>
      <c r="Y31" s="22" t="n">
        <f aca="false">IF($W31="","",IF(OR(Fits!$B$38="Row",$BI31=""),$A31,$BI31))</f>
        <v>26</v>
      </c>
      <c r="Z31" s="16" t="n">
        <f aca="false">IF($X31="","",$X31-Fits!$B$39*($Y31-Fits!$B$40))</f>
        <v>-6.20862994995695</v>
      </c>
      <c r="AA31" s="23" t="n">
        <f aca="false">IF(OR($Z31="",Fits!$B$55&lt;2),"",Fits!$B$56*$Z31+Fits!$B$57)</f>
        <v>-5.34649639043223</v>
      </c>
      <c r="AB31" s="16" t="n">
        <f aca="false">IF($R31="","",IF(OR(Fits!$C$9&lt;&gt;"Yes",$D31="Blank",$P31&lt;=Fits!$B$10),$R31,($P31*$R31-Fits!$B$10*Fits!$B$11)/($P31-Fits!$B$10)))</f>
        <v>-9.431</v>
      </c>
      <c r="AC31" s="16" t="n">
        <f aca="false">IF($AB31="","",$AB31-Fits!$B$28*($P31-Fits!$B$24))</f>
        <v>-9.43590628419798</v>
      </c>
      <c r="AD31" s="22" t="n">
        <f aca="false">IF($AB31="","",IF(OR(Fits!$B$50="Row",$BI31=""),$A31,$BI31))</f>
        <v>26</v>
      </c>
      <c r="AE31" s="16" t="n">
        <f aca="false">IF($AC31="","",$AC31-Fits!$B$51*($AD31-Fits!$B$52))</f>
        <v>-9.4157244084338</v>
      </c>
      <c r="AF31" s="23" t="n">
        <f aca="false">IF(OR($AE31="",Fits!$B$62&lt;2),"",Fits!$B$63*$AE31+Fits!$B$64)</f>
        <v>-26.5412033767254</v>
      </c>
      <c r="AG31" s="21" t="n">
        <f aca="false">IF(OR($L31="",Fits!$B$69&lt;3),"",($L31-Fits!$B$71)/Fits!$B$70)</f>
        <v>41.634920913525</v>
      </c>
      <c r="AH31" s="21" t="n">
        <f aca="false">IF(OR($P31="",Fits!$B$75&lt;3),"",($P31-Fits!$B$77)/Fits!$B$76)</f>
        <v>293.013542575298</v>
      </c>
      <c r="AI31" s="23" t="n">
        <f aca="false">IF(OR($AG31="",$G31="",$G31=0),"",$AG31/($G31*1000)*100)</f>
        <v>10.4087302283812</v>
      </c>
      <c r="AJ31" s="23" t="n">
        <f aca="false">IF(OR($AH31="",$G31="",$G31=0),"",$AH31/($G31*1000)*100)</f>
        <v>73.2533856438245</v>
      </c>
      <c r="AK31" s="23" t="n">
        <f aca="false">IF(OR($AG31="",$AH31="",$AG31&lt;=0),"",($AH31/Setup!$B$52)/($AG31/Setup!$B$53))</f>
        <v>8.20721689428165</v>
      </c>
      <c r="AL31" s="23" t="n">
        <f aca="false">IF(OR($AG31="",$AH31="",$AG31&lt;=0),"",$AH31/$AG31)</f>
        <v>7.03768702200449</v>
      </c>
      <c r="AM31" s="9" t="str">
        <f aca="false">IF($D31="Linearity",IF($L31="","",$L31),"")</f>
        <v/>
      </c>
      <c r="AN31" s="9" t="str">
        <f aca="false">IF($D31="Linearity",IF($W31="","",$W31),"")</f>
        <v/>
      </c>
      <c r="AO31" s="9" t="str">
        <f aca="false">IF($D31="Linearity",IF($P31="","",$P31),"")</f>
        <v/>
      </c>
      <c r="AP31" s="9" t="str">
        <f aca="false">IF($D31="Linearity",IF($AB31="","",$AB31),"")</f>
        <v/>
      </c>
      <c r="AQ31" s="9" t="n">
        <f aca="false">IF($D31="Drift",IF($A31&lt;IF(Setup!$B$14="",0,Setup!$B$14),"",$A31),"")</f>
        <v>26</v>
      </c>
      <c r="AR31" s="22" t="n">
        <f aca="false">IF($D31="Drift",IF($A31&lt;IF(Setup!$B$14="",0,Setup!$B$14),"",IF($BI31="","",$BI31)),"")</f>
        <v>24.3</v>
      </c>
      <c r="AS31" s="24" t="n">
        <f aca="false">IF($D31="Drift",IF($A31&lt;IF(Setup!$B$14="",0,Setup!$B$14),"",IF(OR($X31="",$BX31=1),"",$X31)),"")</f>
        <v>-6.094</v>
      </c>
      <c r="AT31" s="24" t="n">
        <f aca="false">IF($D31="Drift",IF($A31&lt;IF(Setup!$B$14="",0,Setup!$B$14),"",IF(OR($AC31="",$BY31=1),"",$AC31)),"")</f>
        <v>-9.43590628419798</v>
      </c>
      <c r="AU31" s="9" t="str">
        <f aca="false">IF($D31="Anchor",IF(OR($Z31="",$S31=""),"",$Z31),"")</f>
        <v/>
      </c>
      <c r="AV31" s="9" t="str">
        <f aca="false">IF($D31="Anchor",IF(OR($Z31="",$S31=""),"",$S31),"")</f>
        <v/>
      </c>
      <c r="AW31" s="9" t="str">
        <f aca="false">IF($D31="Anchor",IF(OR($AE31="",$T31=""),"",$AE31),"")</f>
        <v/>
      </c>
      <c r="AX31" s="9" t="str">
        <f aca="false">IF($D31="Anchor",IF(OR($AE31="",$T31=""),"",$T31),"")</f>
        <v/>
      </c>
      <c r="AY31" s="9" t="n">
        <f aca="false">IF(OR($D31="Blank",$D31="Exclude",$D31="Sample",$D31="",$G31="",$U31="",$L31=""),"",$G31*1000*$U31/100)</f>
        <v>41.44</v>
      </c>
      <c r="AZ31" s="24" t="n">
        <f aca="false">IF($AY31="","",$L31)</f>
        <v>27.189</v>
      </c>
      <c r="BA31" s="9" t="n">
        <f aca="false">IF(OR($D31="Blank",$D31="Exclude",$D31="Sample",$D31="",$G31="",$V31="",$P31=""),"",$G31*1000*$V31/100)</f>
        <v>284.36</v>
      </c>
      <c r="BB31" s="24" t="n">
        <f aca="false">IF($BA31="","",$P31)</f>
        <v>130.395</v>
      </c>
      <c r="BC31" s="9" t="str">
        <f aca="false">IF(AND($D31="Blank",$L31&lt;&gt;""),$O31,"")</f>
        <v/>
      </c>
      <c r="BD31" s="9" t="str">
        <f aca="false">IF($BC31="","",$L31)</f>
        <v/>
      </c>
      <c r="BE31" s="9" t="str">
        <f aca="false">IF(AND($D31="Blank",$P31&lt;&gt;""),$R31,"")</f>
        <v/>
      </c>
      <c r="BF31" s="9" t="str">
        <f aca="false">IF($BE31="","",$P31)</f>
        <v/>
      </c>
      <c r="BG31" s="25" t="n">
        <f aca="false">IF(AND($D31="Drift",$BX31&lt;&gt;1),IF($AA31="","",$AA31),"")</f>
        <v>-5.34649639043223</v>
      </c>
      <c r="BH31" s="25" t="n">
        <f aca="false">IF(AND($D31="Drift",$BY31&lt;&gt;1),IF($AF31="","",$AF31),"")</f>
        <v>-26.5412033767254</v>
      </c>
      <c r="BI31" s="20" t="n">
        <f aca="false">IF($B31="","",IFERROR(INDEX(Raw!$G$2:$G$1001,MATCH($A31&amp;"|N|"&amp;SUMPRODUCT(MAX((Raw!$A$2:$A$1001=$A31)*(Raw!$R$2:$R$1001="N")*(Raw!$I$2:$I$1001=1)*Raw!$D$2:$D$1001)),Raw!$S$2:$S$1001,0)),""))</f>
        <v>24.3</v>
      </c>
      <c r="BJ31" s="21" t="n">
        <f aca="false">IF(OR($BI31="",Fits!$B$85&lt;=0),"",($BI31-Fits!$B$83)/Fits!$B$85)</f>
        <v>0.108108108108108</v>
      </c>
      <c r="BK31" s="9" t="n">
        <f aca="false">IF($AS31="","",IF($A31&gt;=Fits!$B$86,"",$A31))</f>
        <v>26</v>
      </c>
      <c r="BL31" s="24" t="n">
        <f aca="false">IF($BK31="","",$X31)</f>
        <v>-6.094</v>
      </c>
      <c r="BM31" s="9" t="str">
        <f aca="false">IF($AS31="","",IF($A31&lt;Fits!$B$86,"",$A31))</f>
        <v/>
      </c>
      <c r="BN31" s="9" t="str">
        <f aca="false">IF($BM31="","",$X31)</f>
        <v/>
      </c>
      <c r="BO31" s="24" t="n">
        <f aca="false">IF(AND($D31="Drift",$BX31&lt;&gt;1),IF($O31="","",$O31),"")</f>
        <v>-6.094</v>
      </c>
      <c r="BP31" s="24" t="n">
        <f aca="false">IF(AND($D31="Drift",$BX31&lt;&gt;1),IF($W31="","",$W31),"")</f>
        <v>-6.094</v>
      </c>
      <c r="BQ31" s="24" t="n">
        <f aca="false">IF(AND($D31="Drift",$BX31&lt;&gt;1),IF($X31="","",$X31),"")</f>
        <v>-6.094</v>
      </c>
      <c r="BR31" s="24" t="n">
        <f aca="false">IF(AND($D31="Drift",$BX31&lt;&gt;1),IF($Z31="","",$Z31),"")</f>
        <v>-6.20862994995695</v>
      </c>
      <c r="BS31" s="9" t="n">
        <f aca="false">IF(OR($B31="",$H31=""),"",SUMPRODUCT(MIN((Raw!$A$2:$A$1001=$A31)*(Raw!$R$2:$R$1001="N")*(Raw!$I$2:$I$1001=0)*(Raw!$D$2:$D$1001&lt;$H31)*Raw!$D$2:$D$1001+(1-(Raw!$A$2:$A$1001=$A31)*(Raw!$R$2:$R$1001="N")*(Raw!$I$2:$I$1001=0)*(Raw!$D$2:$D$1001&lt;$H31))*9999)))</f>
        <v>1</v>
      </c>
      <c r="BT31" s="16" t="n">
        <f aca="false">IF(OR($BS31="",$BS31=9999,$BS31=0),"",IFERROR(INDEX(Raw!$N$2:$N$1001,MATCH($A31&amp;"|N|"&amp;$BS31,Raw!$S$2:$S$1001,0)),""))</f>
        <v>-1.344</v>
      </c>
      <c r="BU31" s="9" t="n">
        <f aca="false">IF($B31="","",SUMPRODUCT(MIN((Raw!$A$2:$A$1001=$A31)*(Raw!$R$2:$R$1001="C")*(Raw!$I$2:$I$1001=1)*Raw!$D$2:$D$1001+(1-(Raw!$A$2:$A$1001=$A31)*(Raw!$R$2:$R$1001="C")*(Raw!$I$2:$I$1001=1))*9999)))</f>
        <v>5</v>
      </c>
      <c r="BV31" s="9" t="n">
        <f aca="false">IF(OR($BU31="",$BU31=9999),"",SUMPRODUCT(MIN((Raw!$A$2:$A$1001=$A31)*(Raw!$R$2:$R$1001="C")*(Raw!$I$2:$I$1001=0)*(Raw!$D$2:$D$1001&gt;$BU31)*Raw!$D$2:$D$1001+(1-(Raw!$A$2:$A$1001=$A31)*(Raw!$R$2:$R$1001="C")*(Raw!$I$2:$I$1001=0)*(Raw!$D$2:$D$1001&gt;$BU31))*9999)))</f>
        <v>6</v>
      </c>
      <c r="BW31" s="16" t="n">
        <f aca="false">IF(OR($BV31="",$BV31=9999,$BV31=0),"",IFERROR(INDEX(Raw!$O$2:$O$1001,MATCH($A31&amp;"|C|"&amp;$BV31,Raw!$S$2:$S$1001,0)),""))</f>
        <v>-25.317</v>
      </c>
      <c r="BX31" s="9" t="n">
        <f aca="false">IF($B31="","",IF(ISNUMBER(SEARCH(","&amp;$A31&amp;",",","&amp;SUBSTITUTE(Setup!$B$16," ","")&amp;",")),1,0))</f>
        <v>0</v>
      </c>
      <c r="BY31" s="9" t="n">
        <f aca="false">IF($B31="","",IF(ISNUMBER(SEARCH(","&amp;$A31&amp;",",","&amp;SUBSTITUTE(Setup!$B$17," ","")&amp;",")),1,0))</f>
        <v>0</v>
      </c>
      <c r="BZ31" s="22" t="n">
        <f aca="false">IF($AS31="","",IF(Fits!$B$38="Row",$AQ31,IF($AR31="","",$AR31)))</f>
        <v>26</v>
      </c>
      <c r="CA31" s="22" t="n">
        <f aca="false">IF($AT31="","",IF(Fits!$B$50="Row",$AQ31,IF($AR31="","",$AR31)))</f>
        <v>26</v>
      </c>
      <c r="CB31" s="20" t="n">
        <f aca="false">IF(OR($D31&lt;&gt;"Drift",$X31="",$A31&lt;IF(Setup!$B$14="",0,Setup!$B$14),Fits!$B$107&lt;3,Fits!$B$110="",Fits!$B$109=0,IF(Fits!$B$38="Row",$AQ31,$AR31)=""),"",IF($BX31=1,IF(OR(Fits!$B$111="",Fits!$B$111=0),"",($X31-(IF(Fits!$B$38="Row",Fits!$B$32,Fits!$B$35)*IF(Fits!$B$38="Row",$AQ31,$AR31)+Fits!$B$110))/(Fits!$B$111*SQRT(1+(1/Fits!$B$107+(IF(Fits!$B$38="Row",$AQ31,$AR31)-Fits!$B$108)^2/Fits!$B$109)))),IF(OR(Fits!$B$107&lt;4,(1/Fits!$B$107+(IF(Fits!$B$38="Row",$AQ31,$AR31)-Fits!$B$108)^2/Fits!$B$109)&gt;=1),"",IF((Fits!$B$116-($X31-(IF(Fits!$B$38="Row",Fits!$B$32,Fits!$B$35)*IF(Fits!$B$38="Row",$AQ31,$AR31)+Fits!$B$110))^2/(1-(1/Fits!$B$107+(IF(Fits!$B$38="Row",$AQ31,$AR31)-Fits!$B$108)^2/Fits!$B$109)))&lt;=0,"",($X31-(IF(Fits!$B$38="Row",Fits!$B$32,Fits!$B$35)*IF(Fits!$B$38="Row",$AQ31,$AR31)+Fits!$B$110))/(SQRT((Fits!$B$116-($X31-(IF(Fits!$B$38="Row",Fits!$B$32,Fits!$B$35)*IF(Fits!$B$38="Row",$AQ31,$AR31)+Fits!$B$110))^2/(1-(1/Fits!$B$107+(IF(Fits!$B$38="Row",$AQ31,$AR31)-Fits!$B$108)^2/Fits!$B$109)))/(Fits!$B$107-3))*SQRT(1-(1/Fits!$B$107+(IF(Fits!$B$38="Row",$AQ31,$AR31)-Fits!$B$108)^2/Fits!$B$109)))))))</f>
        <v>-0.768727035377359</v>
      </c>
      <c r="CC31" s="20" t="n">
        <f aca="false">IF(OR($D31&lt;&gt;"Drift",$AC31="",$A31&lt;IF(Setup!$B$14="",0,Setup!$B$14),Fits!$B$120&lt;3,Fits!$B$123="",Fits!$B$122=0,IF(Fits!$B$50="Row",$AQ31,$AR31)=""),"",IF($BY31=1,IF(OR(Fits!$B$124="",Fits!$B$124=0),"",($AC31-(IF(Fits!$B$50="Row",Fits!$B$44,Fits!$B$47)*IF(Fits!$B$50="Row",$AQ31,$AR31)+Fits!$B$123))/(Fits!$B$124*SQRT(1+(1/Fits!$B$120+(IF(Fits!$B$50="Row",$AQ31,$AR31)-Fits!$B$121)^2/Fits!$B$122)))),IF(OR(Fits!$B$120&lt;4,(1/Fits!$B$120+(IF(Fits!$B$50="Row",$AQ31,$AR31)-Fits!$B$121)^2/Fits!$B$122)&gt;=1),"",IF((Fits!$B$129-($AC31-(IF(Fits!$B$50="Row",Fits!$B$44,Fits!$B$47)*IF(Fits!$B$50="Row",$AQ31,$AR31)+Fits!$B$123))^2/(1-(1/Fits!$B$120+(IF(Fits!$B$50="Row",$AQ31,$AR31)-Fits!$B$121)^2/Fits!$B$122)))&lt;=0,"",($AC31-(IF(Fits!$B$50="Row",Fits!$B$44,Fits!$B$47)*IF(Fits!$B$50="Row",$AQ31,$AR31)+Fits!$B$123))/(SQRT((Fits!$B$129-($AC31-(IF(Fits!$B$50="Row",Fits!$B$44,Fits!$B$47)*IF(Fits!$B$50="Row",$AQ31,$AR31)+Fits!$B$123))^2/(1-(1/Fits!$B$120+(IF(Fits!$B$50="Row",$AQ31,$AR31)-Fits!$B$121)^2/Fits!$B$122)))/(Fits!$B$120-3))*SQRT(1-(1/Fits!$B$120+(IF(Fits!$B$50="Row",$AQ31,$AR31)-Fits!$B$121)^2/Fits!$B$122)))))))</f>
        <v>1.57969729135135</v>
      </c>
      <c r="CD31" s="9" t="str">
        <f aca="false">IF($AU31="","",1)</f>
        <v/>
      </c>
      <c r="CE31" s="24" t="str">
        <f aca="false">IF($AU31="","",$AU31-Fits!$B$133)</f>
        <v/>
      </c>
      <c r="CF31" s="24" t="str">
        <f aca="false">IF($AU31="","",($AV31-(Fits!$B$56*$AU31+Fits!$B$57))-Fits!$B$56*($AU31-Fits!$B$133))</f>
        <v/>
      </c>
      <c r="CG31" s="25" t="str">
        <f aca="false">IF($AU31="","",$AU31^2)</f>
        <v/>
      </c>
      <c r="CH31" s="9" t="str">
        <f aca="false">IF($AW31="","",1)</f>
        <v/>
      </c>
      <c r="CI31" s="24" t="str">
        <f aca="false">IF($AW31="","",$AW31-Fits!$B$153)</f>
        <v/>
      </c>
      <c r="CJ31" s="24" t="str">
        <f aca="false">IF($AW31="","",($AX31-(Fits!$B$63*$AW31+Fits!$B$64))-Fits!$B$63*($AW31-Fits!$B$153))</f>
        <v/>
      </c>
      <c r="CK31" s="25" t="str">
        <f aca="false">IF($AW31="","",$AW31^2)</f>
        <v/>
      </c>
      <c r="CL31" s="26" t="n">
        <f aca="false">IF(OR($Z31="",Fits!$B$55&lt;3,Fits!$B$133="",Fits!$B$134="",Fits!$B$134=0,Fits!$B$136=""),"",SQRT((Fits!$B$136*Fits!$B$56)^2+SUMPRODUCT((Fits!$J$163:$J$175*(Fits!$B$163:$B$175/Fits!$B$55+Fits!$H$163:$H$175*($Z31-Fits!$B$133)/Fits!$B$134))^2)+SUMPRODUCT((Fits!$G$163:$G$175*(($Z31-Fits!$B$133)*Fits!$I$163:$I$175/Fits!$B$134-Fits!$B$163:$B$175*Fits!$B$56/Fits!$B$55))^2)))</f>
        <v>0.25656526520417</v>
      </c>
      <c r="CM31" s="26" t="n">
        <f aca="false">IF($CL31="","",Setup!$B$32*$CL31)</f>
        <v>0.51313053040834</v>
      </c>
      <c r="CN31" s="26" t="n">
        <f aca="false">IF(OR($AE31="",Fits!$B$62&lt;3,Fits!$B$153="",Fits!$B$154="",Fits!$B$154=0,Fits!$B$156=""),"",SQRT((Fits!$B$156*Fits!$B$63)^2+SUMPRODUCT((Fits!$J$183:$J$195*(Fits!$B$183:$B$195/Fits!$B$62+Fits!$H$183:$H$195*($AE31-Fits!$B$153)/Fits!$B$154))^2)+SUMPRODUCT((Fits!$G$183:$G$195*(($AE31-Fits!$B$153)*Fits!$I$183:$I$195/Fits!$B$154-Fits!$B$183:$B$195*Fits!$B$63/Fits!$B$62))^2)))</f>
        <v>0.0379444928351632</v>
      </c>
      <c r="CO31" s="26" t="n">
        <f aca="false">IF($CN31="","",Setup!$B$32*$CN31)</f>
        <v>0.0758889856703265</v>
      </c>
      <c r="CP31" s="9" t="n">
        <f aca="false">IF(OR(NOT(ISNUMBER($BJ31)),$EK31=1),$CP30,IF($BJ31&lt;=Setup!$B$26,$CP30+1,0))</f>
        <v>0</v>
      </c>
      <c r="CQ31" s="9" t="n">
        <f aca="false">IF($BT31="","",$A31)</f>
        <v>26</v>
      </c>
      <c r="CR31" s="9" t="n">
        <f aca="false">IF($BW31="","",$A31)</f>
        <v>26</v>
      </c>
      <c r="CS31" s="9" t="n">
        <f aca="false">IF($B31="","",IF(Setup!$A$37="",0,IF(ISNUMBER(SEARCH(Setup!$A$37,$B31)),37,0)))</f>
        <v>0</v>
      </c>
      <c r="CT31" s="9" t="n">
        <f aca="false">IF($B31="","",IF(Setup!$A$38="",0,IF(ISNUMBER(SEARCH(Setup!$A$38,$B31)),38,0)))</f>
        <v>0</v>
      </c>
      <c r="CU31" s="9" t="n">
        <f aca="false">IF($B31="","",IF(Setup!$A$39="",0,IF(ISNUMBER(SEARCH(Setup!$A$39,$B31)),39,0)))</f>
        <v>0</v>
      </c>
      <c r="CV31" s="9" t="n">
        <f aca="false">IF($B31="","",IF(Setup!$A$40="",0,IF(ISNUMBER(SEARCH(Setup!$A$40,$B31)),40,0)))</f>
        <v>0</v>
      </c>
      <c r="CW31" s="9" t="n">
        <f aca="false">IF($B31="","",IF(Setup!$A$41="",0,IF(ISNUMBER(SEARCH(Setup!$A$41,$B31)),41,0)))</f>
        <v>0</v>
      </c>
      <c r="CX31" s="9" t="n">
        <f aca="false">IF($B31="","",IF(Setup!$A$42="",0,IF(ISNUMBER(SEARCH(Setup!$A$42,$B31)),42,0)))</f>
        <v>0</v>
      </c>
      <c r="CY31" s="9" t="n">
        <f aca="false">IF($B31="","",IF(Setup!$A$43="",0,IF(ISNUMBER(SEARCH(Setup!$A$43,$B31)),43,0)))</f>
        <v>43</v>
      </c>
      <c r="CZ31" s="9" t="n">
        <f aca="false">IF($B31="","",IF(Setup!$A$44="",0,IF(ISNUMBER(SEARCH(Setup!$A$44,$B31)),44,0)))</f>
        <v>0</v>
      </c>
      <c r="DA31" s="9" t="n">
        <f aca="false">IF($B31="","",IF(Setup!$A$45="",0,IF(ISNUMBER(SEARCH(Setup!$A$45,$B31)),45,0)))</f>
        <v>0</v>
      </c>
      <c r="DB31" s="9" t="n">
        <f aca="false">IF($B31="","",IF(Setup!$A$46="",0,IF(ISNUMBER(SEARCH(Setup!$A$46,$B31)),46,0)))</f>
        <v>0</v>
      </c>
      <c r="DC31" s="9" t="n">
        <f aca="false">IF($B31="","",IF(Setup!$A$47="",0,IF(ISNUMBER(SEARCH(Setup!$A$47,$B31)),47,0)))</f>
        <v>0</v>
      </c>
      <c r="DD31" s="9" t="n">
        <f aca="false">IF($B31="","",IF(Setup!$A$48="",0,IF(ISNUMBER(SEARCH(Setup!$A$48,$B31)),48,0)))</f>
        <v>0</v>
      </c>
      <c r="DE31" s="9" t="n">
        <f aca="false">IF($B31="","",IF(Setup!$A$49="",0,IF(ISNUMBER(SEARCH(Setup!$A$49,$B31)),49,0)))</f>
        <v>0</v>
      </c>
      <c r="DF31" s="9" t="n">
        <f aca="false">IF($B31="",NA(),$A31)</f>
        <v>26</v>
      </c>
      <c r="DG31" s="22" t="n">
        <f aca="false">IF($BI31="",NA(),$BI31)</f>
        <v>24.3</v>
      </c>
      <c r="DH31" s="22" t="n">
        <f aca="false">IF($N31="",NA(),$N31)</f>
        <v>25.5</v>
      </c>
      <c r="DI31" s="22" t="n">
        <f aca="false">IF(AND($D31="Drift",$N31&lt;&gt;""),$N31,NA())</f>
        <v>25.5</v>
      </c>
      <c r="DJ31" s="22" t="n">
        <f aca="false">IF(AND($D31="Drift",$N31&lt;&gt;""),$N31,"")</f>
        <v>25.5</v>
      </c>
      <c r="DK31" s="9" t="n">
        <f aca="false">IF($DJ31="","",$A31)</f>
        <v>26</v>
      </c>
      <c r="DL31" s="9" t="e">
        <f aca="false">IF($AN31="",NA(),$AM31)</f>
        <v>#N/A</v>
      </c>
      <c r="DM31" s="9" t="e">
        <f aca="false">IF($AN31="",NA(),$AN31)</f>
        <v>#N/A</v>
      </c>
      <c r="DN31" s="9" t="e">
        <f aca="false">IF(AND($D31="Sample",$L31&lt;&gt;""),$L31,NA())</f>
        <v>#N/A</v>
      </c>
      <c r="DO31" s="9" t="e">
        <f aca="false">IF(AND($D31="Sample",$L31&lt;&gt;"",Fits!$B$98&lt;&gt;""),Fits!$B$98,NA())</f>
        <v>#N/A</v>
      </c>
      <c r="DP31" s="24" t="n">
        <f aca="false">IF($AS31="",NA(),$AS31)</f>
        <v>-6.094</v>
      </c>
      <c r="DQ31" s="9" t="e">
        <f aca="false">IF(AND($D31="Drift",$AS31="",$X31&lt;&gt;""),$X31,NA())</f>
        <v>#N/A</v>
      </c>
      <c r="DR31" s="24" t="n">
        <f aca="false">IF(AND($D31="Drift",$Z31&lt;&gt;""),$Z31,NA())</f>
        <v>-6.20862994995695</v>
      </c>
      <c r="DS31" s="9" t="e">
        <f aca="false">IF(AND(OR($D31="Sample",$D31="Check"),$AA31&lt;&gt;""),$AA31,NA())</f>
        <v>#N/A</v>
      </c>
      <c r="DT31" s="25" t="n">
        <f aca="false">IF(OR($B31="",Fits!$B$138=""),NA(),Fits!$B$138)</f>
        <v>1.76</v>
      </c>
      <c r="DU31" s="25" t="n">
        <f aca="false">IF(OR($B31="",Fits!$B$139=""),NA(),Fits!$B$139)</f>
        <v>20.68</v>
      </c>
      <c r="DV31" s="24" t="n">
        <f aca="false">IF($BT31="",NA(),$BT31)</f>
        <v>-1.344</v>
      </c>
      <c r="DW31" s="9" t="e">
        <f aca="false">IF($AP31="",NA(),$AO31)</f>
        <v>#N/A</v>
      </c>
      <c r="DX31" s="9" t="e">
        <f aca="false">IF($AP31="",NA(),$AP31)</f>
        <v>#N/A</v>
      </c>
      <c r="DY31" s="9" t="e">
        <f aca="false">IF(AND($D31="Sample",$P31&lt;&gt;""),$P31,NA())</f>
        <v>#N/A</v>
      </c>
      <c r="DZ31" s="9" t="e">
        <f aca="false">IF(AND($D31="Sample",$P31&lt;&gt;"",Fits!$B$105&lt;&gt;""),Fits!$B$105,NA())</f>
        <v>#N/A</v>
      </c>
      <c r="EA31" s="24" t="n">
        <f aca="false">IF($AT31="",NA(),$AT31)</f>
        <v>-9.43590628419798</v>
      </c>
      <c r="EB31" s="9" t="e">
        <f aca="false">IF(AND($D31="Drift",$AT31="",$AC31&lt;&gt;""),$AC31,NA())</f>
        <v>#N/A</v>
      </c>
      <c r="EC31" s="24" t="n">
        <f aca="false">IF(AND($D31="Drift",$AE31&lt;&gt;""),$AE31,NA())</f>
        <v>-9.4157244084338</v>
      </c>
      <c r="ED31" s="9" t="e">
        <f aca="false">IF(AND(OR($D31="Sample",$D31="Check"),$AF31&lt;&gt;""),$AF31,NA())</f>
        <v>#N/A</v>
      </c>
      <c r="EE31" s="25" t="n">
        <f aca="false">IF(OR($B31="",Fits!$B$158=""),NA(),Fits!$B$158)</f>
        <v>-40.81</v>
      </c>
      <c r="EF31" s="25" t="n">
        <f aca="false">IF(OR($B31="",Fits!$B$159=""),NA(),Fits!$B$159)</f>
        <v>-20.29</v>
      </c>
      <c r="EG31" s="24" t="n">
        <f aca="false">IF($BW31="",NA(),$BW31)</f>
        <v>-25.317</v>
      </c>
      <c r="EH31" s="9" t="e">
        <f aca="false">IF(AND($EN31=1,ISNUMBER($N31)),$N31,NA())</f>
        <v>#N/A</v>
      </c>
      <c r="EI31" s="9" t="n">
        <f aca="false">IF($B31="","",$A31)</f>
        <v>26</v>
      </c>
      <c r="EJ31" s="9" t="n">
        <f aca="false">IF(OR(AND(ISNUMBER($L31),Fits!$B$97&gt;0,$L31&gt;Fits!$B$97),AND(ISNUMBER($P31),Fits!$B$104&gt;0,$P31&gt;Fits!$B$104)),1,0)</f>
        <v>0</v>
      </c>
      <c r="EK31" s="9" t="n">
        <f aca="false">IF(OR($EJ30=1,$EJ29=1),1,0)</f>
        <v>0</v>
      </c>
      <c r="EL31" s="22" t="n">
        <f aca="false">IF(AND($EK31=0,ISNUMBER($N31)),$N31,$EL30)</f>
        <v>25.5</v>
      </c>
      <c r="EM31" s="9" t="str">
        <f aca="false">IF(AND($EK31=1,ISNUMBER($N31),ISNUMBER($EL31)),$N31-$EL31,"")</f>
        <v/>
      </c>
      <c r="EN31" s="9" t="n">
        <f aca="false">IF(Setup!$B$28="",0,IF(ISNUMBER($EM31),IF($EM31&gt;Setup!$B$28,1,0),0))</f>
        <v>0</v>
      </c>
      <c r="EO31" s="9" t="str">
        <f aca="false">IF($EN31=1,COUNTIF($EN$6:$EN31,1),"")</f>
        <v/>
      </c>
      <c r="EP31" s="9" t="n">
        <f aca="false">IF(AND($EJ30=1,OR($D31="Sample",$D31="Check")),1,0)</f>
        <v>0</v>
      </c>
      <c r="EQ31" s="9" t="str">
        <f aca="false">IF(ISNUMBER($BI31),IF(COUNT($BI$6:$BI31)&lt;=5,$BI31,""),"")</f>
        <v/>
      </c>
      <c r="ER31" s="9" t="str">
        <f aca="false">IF(OR(NOT(ISNUMBER($BJ31)),$EK31=1),$ER30,IF($BJ31&lt;=Setup!$B$26,IF($CP30=0,$A31,$ER30),""))</f>
        <v/>
      </c>
    </row>
    <row r="32" customFormat="false" ht="15" hidden="false" customHeight="false" outlineLevel="0" collapsed="false">
      <c r="A32" s="8" t="n">
        <v>27</v>
      </c>
      <c r="B32" s="8" t="str">
        <f aca="false">IFERROR(INDEX(Raw!$B$2:$B$1001,MATCH($A32,Raw!$A$2:$A$1001,0)),"")</f>
        <v>Random</v>
      </c>
      <c r="C32" s="9" t="n">
        <f aca="false">IF($B32="","",MAX($CS32:$DE32))</f>
        <v>0</v>
      </c>
      <c r="D32" s="8" t="str">
        <f aca="false">IF($B32="","",IF($C32=0,"Sample",INDEX(Setup!$B$37:$B$49,$C32-36)))</f>
        <v>Sample</v>
      </c>
      <c r="E32" s="16" t="str">
        <f aca="false">IF($B32="","",IFERROR(IF(INDEX(Raw!$E$2:$E$1001,MATCH($A32,Raw!$A$2:$A$1001,0))=0,"",INDEX(Raw!$E$2:$E$1001,MATCH($A32,Raw!$A$2:$A$1001,0))),""))</f>
        <v/>
      </c>
      <c r="F32" s="18"/>
      <c r="G32" s="16" t="str">
        <f aca="false">IF($B32="","",IF($F32&lt;&gt;"",$F32,IF($E32="","",$E32)))</f>
        <v/>
      </c>
      <c r="H32" s="9" t="n">
        <f aca="false">IF($B32="","",SUMPRODUCT(MAX((Raw!$A$2:$A$1001=$A32)*(Raw!$R$2:$R$1001="N")*Raw!$D$2:$D$1001)))</f>
        <v>3</v>
      </c>
      <c r="I32" s="9" t="str">
        <f aca="false">IF(OR($H32="",$H32=0),"",$A32&amp;"|N|"&amp;$H32)</f>
        <v>27|N|3</v>
      </c>
      <c r="J32" s="9" t="n">
        <f aca="false">IF($B32="","",SUMPRODUCT(MIN((Raw!$A$2:$A$1001=$A32)*(Raw!$R$2:$R$1001="C")*Raw!$D$2:$D$1001+(1-(Raw!$A$2:$A$1001=$A32)*(Raw!$R$2:$R$1001="C"))*9999)))</f>
        <v>4</v>
      </c>
      <c r="K32" s="9" t="str">
        <f aca="false">IF(OR($J32="",$J32=0,$J32=9999),"",$A32&amp;"|C|"&amp;$J32)</f>
        <v>27|C|4</v>
      </c>
      <c r="L32" s="16" t="n">
        <f aca="false">IF($I32="","",IF(INDEX(Raw!$I$2:$I$1001,MATCH($I32,Raw!$S$2:$S$1001,0))&lt;&gt;0,"",INDEX(Raw!$H$2:$H$1001,MATCH($I32,Raw!$S$2:$S$1001,0))))</f>
        <v>47.171</v>
      </c>
      <c r="M32" s="19" t="n">
        <f aca="false">IF($I32="","",IF(INDEX(Raw!$I$2:$I$1001,MATCH($I32,Raw!$S$2:$S$1001,0))&lt;&gt;0,"",INDEX(Raw!$F$2:$F$1001,MATCH($I32,Raw!$S$2:$S$1001,0))))</f>
        <v>2747</v>
      </c>
      <c r="N32" s="20" t="n">
        <f aca="false">IF($I32="","",IF(INDEX(Raw!$I$2:$I$1001,MATCH($I32,Raw!$S$2:$S$1001,0))&lt;&gt;0,"",INDEX(Raw!$G$2:$G$1001,MATCH($I32,Raw!$S$2:$S$1001,0))))</f>
        <v>25.4</v>
      </c>
      <c r="O32" s="16" t="n">
        <f aca="false">IF($I32="","",IF(INDEX(Raw!$I$2:$I$1001,MATCH($I32,Raw!$S$2:$S$1001,0))&lt;&gt;0,"",INDEX(Raw!$N$2:$N$1001,MATCH($I32,Raw!$S$2:$S$1001,0))))</f>
        <v>0.793</v>
      </c>
      <c r="P32" s="16" t="n">
        <f aca="false">IF($K32="","",IF(INDEX(Raw!$I$2:$I$1001,MATCH($K32,Raw!$S$2:$S$1001,0))&lt;&gt;0,"",INDEX(Raw!$K$2:$K$1001,MATCH($K32,Raw!$S$2:$S$1001,0))))</f>
        <v>57.484</v>
      </c>
      <c r="Q32" s="19" t="n">
        <f aca="false">IF($K32="","",IF(INDEX(Raw!$I$2:$I$1001,MATCH($K32,Raw!$S$2:$S$1001,0))&lt;&gt;0,"",INDEX(Raw!$J$2:$J$1001,MATCH($K32,Raw!$S$2:$S$1001,0))))</f>
        <v>2617</v>
      </c>
      <c r="R32" s="16" t="n">
        <f aca="false">IF($K32="","",IF(INDEX(Raw!$I$2:$I$1001,MATCH($K32,Raw!$S$2:$S$1001,0))&lt;&gt;0,"",INDEX(Raw!$O$2:$O$1001,MATCH($K32,Raw!$S$2:$S$1001,0))))</f>
        <v>-23.581</v>
      </c>
      <c r="S32" s="21" t="str">
        <f aca="false">IF($B32="","",IF($C32=0,"",IF(INDEX(Setup!$D$37:$D$49,$C32-36)="","",INDEX(Setup!$D$37:$D$49,$C32-36))))</f>
        <v/>
      </c>
      <c r="T32" s="21" t="str">
        <f aca="false">IF($B32="","",IF($C32=0,"",IF(INDEX(Setup!$C$37:$C$49,$C32-36)="","",INDEX(Setup!$C$37:$C$49,$C32-36))))</f>
        <v/>
      </c>
      <c r="U32" s="21" t="str">
        <f aca="false">IF($B32="","",IF($C32=0,"",IF(INDEX(Setup!$F$37:$F$49,$C32-36)="","",INDEX(Setup!$F$37:$F$49,$C32-36))))</f>
        <v/>
      </c>
      <c r="V32" s="21" t="str">
        <f aca="false">IF($B32="","",IF($C32=0,"",IF(INDEX(Setup!$E$37:$E$49,$C32-36)="","",INDEX(Setup!$E$37:$E$49,$C32-36))))</f>
        <v/>
      </c>
      <c r="W32" s="16" t="n">
        <f aca="false">IF($O32="","",IF(OR(Fits!$C$5&lt;&gt;"Yes",$D32="Blank",$L32&lt;=Fits!$B$6),$O32,($L32*$O32-Fits!$B$6*Fits!$B$7)/($L32-Fits!$B$6)))</f>
        <v>0.793</v>
      </c>
      <c r="X32" s="16" t="n">
        <f aca="false">IF($W32="","",$W32-Fits!$B$20*($L32-Fits!$B$16))</f>
        <v>0.793</v>
      </c>
      <c r="Y32" s="22" t="n">
        <f aca="false">IF($W32="","",IF(OR(Fits!$B$38="Row",$BI32=""),$A32,$BI32))</f>
        <v>27</v>
      </c>
      <c r="Z32" s="16" t="n">
        <f aca="false">IF($X32="","",$X32-Fits!$B$39*($Y32-Fits!$B$40))</f>
        <v>0.693124400037511</v>
      </c>
      <c r="AA32" s="23" t="n">
        <f aca="false">IF(OR($Z32="",Fits!$B$55&lt;2),"",Fits!$B$56*$Z32+Fits!$B$57)</f>
        <v>1.73882904832365</v>
      </c>
      <c r="AB32" s="16" t="n">
        <f aca="false">IF($R32="","",IF(OR(Fits!$C$9&lt;&gt;"Yes",$D32="Blank",$P32&lt;=Fits!$B$10),$R32,($P32*$R32-Fits!$B$10*Fits!$B$11)/($P32-Fits!$B$10)))</f>
        <v>-23.581</v>
      </c>
      <c r="AC32" s="16" t="n">
        <f aca="false">IF($AB32="","",$AB32-Fits!$B$28*($P32-Fits!$B$24))</f>
        <v>-23.4595696826938</v>
      </c>
      <c r="AD32" s="22" t="n">
        <f aca="false">IF($AB32="","",IF(OR(Fits!$B$50="Row",$BI32=""),$A32,$BI32))</f>
        <v>27</v>
      </c>
      <c r="AE32" s="16" t="n">
        <f aca="false">IF($AC32="","",$AC32-Fits!$B$51*($AD32-Fits!$B$52))</f>
        <v>-23.4419854741072</v>
      </c>
      <c r="AF32" s="23" t="n">
        <f aca="false">IF(OR($AE32="",Fits!$B$62&lt;2),"",Fits!$B$63*$AE32+Fits!$B$64)</f>
        <v>-40.765944321845</v>
      </c>
      <c r="AG32" s="21" t="n">
        <f aca="false">IF(OR($L32="",Fits!$B$69&lt;3),"",($L32-Fits!$B$71)/Fits!$B$70)</f>
        <v>74.6433541374568</v>
      </c>
      <c r="AH32" s="21" t="n">
        <f aca="false">IF(OR($P32="",Fits!$B$75&lt;3),"",($P32-Fits!$B$77)/Fits!$B$76)</f>
        <v>126.947531162416</v>
      </c>
      <c r="AI32" s="23" t="str">
        <f aca="false">IF(OR($AG32="",$G32="",$G32=0),"",$AG32/($G32*1000)*100)</f>
        <v/>
      </c>
      <c r="AJ32" s="23" t="str">
        <f aca="false">IF(OR($AH32="",$G32="",$G32=0),"",$AH32/($G32*1000)*100)</f>
        <v/>
      </c>
      <c r="AK32" s="23" t="n">
        <f aca="false">IF(OR($AG32="",$AH32="",$AG32&lt;=0),"",($AH32/Setup!$B$52)/($AG32/Setup!$B$53))</f>
        <v>1.98334869385714</v>
      </c>
      <c r="AL32" s="23" t="n">
        <f aca="false">IF(OR($AG32="",$AH32="",$AG32&lt;=0),"",$AH32/$AG32)</f>
        <v>1.70072115099008</v>
      </c>
      <c r="AM32" s="9" t="str">
        <f aca="false">IF($D32="Linearity",IF($L32="","",$L32),"")</f>
        <v/>
      </c>
      <c r="AN32" s="9" t="str">
        <f aca="false">IF($D32="Linearity",IF($W32="","",$W32),"")</f>
        <v/>
      </c>
      <c r="AO32" s="9" t="str">
        <f aca="false">IF($D32="Linearity",IF($P32="","",$P32),"")</f>
        <v/>
      </c>
      <c r="AP32" s="9" t="str">
        <f aca="false">IF($D32="Linearity",IF($AB32="","",$AB32),"")</f>
        <v/>
      </c>
      <c r="AQ32" s="9" t="str">
        <f aca="false">IF($D32="Drift",IF($A32&lt;IF(Setup!$B$14="",0,Setup!$B$14),"",$A32),"")</f>
        <v/>
      </c>
      <c r="AR32" s="9" t="str">
        <f aca="false">IF($D32="Drift",IF($A32&lt;IF(Setup!$B$14="",0,Setup!$B$14),"",IF($BI32="","",$BI32)),"")</f>
        <v/>
      </c>
      <c r="AS32" s="9" t="str">
        <f aca="false">IF($D32="Drift",IF($A32&lt;IF(Setup!$B$14="",0,Setup!$B$14),"",IF(OR($X32="",$BX32=1),"",$X32)),"")</f>
        <v/>
      </c>
      <c r="AT32" s="9" t="str">
        <f aca="false">IF($D32="Drift",IF($A32&lt;IF(Setup!$B$14="",0,Setup!$B$14),"",IF(OR($AC32="",$BY32=1),"",$AC32)),"")</f>
        <v/>
      </c>
      <c r="AU32" s="9" t="str">
        <f aca="false">IF($D32="Anchor",IF(OR($Z32="",$S32=""),"",$Z32),"")</f>
        <v/>
      </c>
      <c r="AV32" s="9" t="str">
        <f aca="false">IF($D32="Anchor",IF(OR($Z32="",$S32=""),"",$S32),"")</f>
        <v/>
      </c>
      <c r="AW32" s="9" t="str">
        <f aca="false">IF($D32="Anchor",IF(OR($AE32="",$T32=""),"",$AE32),"")</f>
        <v/>
      </c>
      <c r="AX32" s="9" t="str">
        <f aca="false">IF($D32="Anchor",IF(OR($AE32="",$T32=""),"",$T32),"")</f>
        <v/>
      </c>
      <c r="AY32" s="9" t="str">
        <f aca="false">IF(OR($D32="Blank",$D32="Exclude",$D32="Sample",$D32="",$G32="",$U32="",$L32=""),"",$G32*1000*$U32/100)</f>
        <v/>
      </c>
      <c r="AZ32" s="9" t="str">
        <f aca="false">IF($AY32="","",$L32)</f>
        <v/>
      </c>
      <c r="BA32" s="9" t="str">
        <f aca="false">IF(OR($D32="Blank",$D32="Exclude",$D32="Sample",$D32="",$G32="",$V32="",$P32=""),"",$G32*1000*$V32/100)</f>
        <v/>
      </c>
      <c r="BB32" s="9" t="str">
        <f aca="false">IF($BA32="","",$P32)</f>
        <v/>
      </c>
      <c r="BC32" s="9" t="str">
        <f aca="false">IF(AND($D32="Blank",$L32&lt;&gt;""),$O32,"")</f>
        <v/>
      </c>
      <c r="BD32" s="9" t="str">
        <f aca="false">IF($BC32="","",$L32)</f>
        <v/>
      </c>
      <c r="BE32" s="9" t="str">
        <f aca="false">IF(AND($D32="Blank",$P32&lt;&gt;""),$R32,"")</f>
        <v/>
      </c>
      <c r="BF32" s="9" t="str">
        <f aca="false">IF($BE32="","",$P32)</f>
        <v/>
      </c>
      <c r="BG32" s="9" t="str">
        <f aca="false">IF(AND($D32="Drift",$BX32&lt;&gt;1),IF($AA32="","",$AA32),"")</f>
        <v/>
      </c>
      <c r="BH32" s="9" t="str">
        <f aca="false">IF(AND($D32="Drift",$BY32&lt;&gt;1),IF($AF32="","",$AF32),"")</f>
        <v/>
      </c>
      <c r="BI32" s="20" t="n">
        <f aca="false">IF($B32="","",IFERROR(INDEX(Raw!$G$2:$G$1001,MATCH($A32&amp;"|N|"&amp;SUMPRODUCT(MAX((Raw!$A$2:$A$1001=$A32)*(Raw!$R$2:$R$1001="N")*(Raw!$I$2:$I$1001=1)*Raw!$D$2:$D$1001)),Raw!$S$2:$S$1001,0)),""))</f>
        <v>24.2</v>
      </c>
      <c r="BJ32" s="21" t="n">
        <f aca="false">IF(OR($BI32="",Fits!$B$85&lt;=0),"",($BI32-Fits!$B$83)/Fits!$B$85)</f>
        <v>0.0990990990990989</v>
      </c>
      <c r="BK32" s="9" t="str">
        <f aca="false">IF($AS32="","",IF($A32&gt;=Fits!$B$86,"",$A32))</f>
        <v/>
      </c>
      <c r="BL32" s="9" t="str">
        <f aca="false">IF($BK32="","",$X32)</f>
        <v/>
      </c>
      <c r="BM32" s="9" t="str">
        <f aca="false">IF($AS32="","",IF($A32&lt;Fits!$B$86,"",$A32))</f>
        <v/>
      </c>
      <c r="BN32" s="9" t="str">
        <f aca="false">IF($BM32="","",$X32)</f>
        <v/>
      </c>
      <c r="BO32" s="9" t="str">
        <f aca="false">IF(AND($D32="Drift",$BX32&lt;&gt;1),IF($O32="","",$O32),"")</f>
        <v/>
      </c>
      <c r="BP32" s="9" t="str">
        <f aca="false">IF(AND($D32="Drift",$BX32&lt;&gt;1),IF($W32="","",$W32),"")</f>
        <v/>
      </c>
      <c r="BQ32" s="9" t="str">
        <f aca="false">IF(AND($D32="Drift",$BX32&lt;&gt;1),IF($X32="","",$X32),"")</f>
        <v/>
      </c>
      <c r="BR32" s="9" t="str">
        <f aca="false">IF(AND($D32="Drift",$BX32&lt;&gt;1),IF($Z32="","",$Z32),"")</f>
        <v/>
      </c>
      <c r="BS32" s="9" t="n">
        <f aca="false">IF(OR($B32="",$H32=""),"",SUMPRODUCT(MIN((Raw!$A$2:$A$1001=$A32)*(Raw!$R$2:$R$1001="N")*(Raw!$I$2:$I$1001=0)*(Raw!$D$2:$D$1001&lt;$H32)*Raw!$D$2:$D$1001+(1-(Raw!$A$2:$A$1001=$A32)*(Raw!$R$2:$R$1001="N")*(Raw!$I$2:$I$1001=0)*(Raw!$D$2:$D$1001&lt;$H32))*9999)))</f>
        <v>1</v>
      </c>
      <c r="BT32" s="16" t="n">
        <f aca="false">IF(OR($BS32="",$BS32=9999,$BS32=0),"",IFERROR(INDEX(Raw!$N$2:$N$1001,MATCH($A32&amp;"|N|"&amp;$BS32,Raw!$S$2:$S$1001,0)),""))</f>
        <v>-1.175</v>
      </c>
      <c r="BU32" s="9" t="n">
        <f aca="false">IF($B32="","",SUMPRODUCT(MIN((Raw!$A$2:$A$1001=$A32)*(Raw!$R$2:$R$1001="C")*(Raw!$I$2:$I$1001=1)*Raw!$D$2:$D$1001+(1-(Raw!$A$2:$A$1001=$A32)*(Raw!$R$2:$R$1001="C")*(Raw!$I$2:$I$1001=1))*9999)))</f>
        <v>5</v>
      </c>
      <c r="BV32" s="9" t="n">
        <f aca="false">IF(OR($BU32="",$BU32=9999),"",SUMPRODUCT(MIN((Raw!$A$2:$A$1001=$A32)*(Raw!$R$2:$R$1001="C")*(Raw!$I$2:$I$1001=0)*(Raw!$D$2:$D$1001&gt;$BU32)*Raw!$D$2:$D$1001+(1-(Raw!$A$2:$A$1001=$A32)*(Raw!$R$2:$R$1001="C")*(Raw!$I$2:$I$1001=0)*(Raw!$D$2:$D$1001&gt;$BU32))*9999)))</f>
        <v>6</v>
      </c>
      <c r="BW32" s="16" t="n">
        <f aca="false">IF(OR($BV32="",$BV32=9999,$BV32=0),"",IFERROR(INDEX(Raw!$O$2:$O$1001,MATCH($A32&amp;"|C|"&amp;$BV32,Raw!$S$2:$S$1001,0)),""))</f>
        <v>-25.375</v>
      </c>
      <c r="BX32" s="9" t="n">
        <f aca="false">IF($B32="","",IF(ISNUMBER(SEARCH(","&amp;$A32&amp;",",","&amp;SUBSTITUTE(Setup!$B$16," ","")&amp;",")),1,0))</f>
        <v>0</v>
      </c>
      <c r="BY32" s="9" t="n">
        <f aca="false">IF($B32="","",IF(ISNUMBER(SEARCH(","&amp;$A32&amp;",",","&amp;SUBSTITUTE(Setup!$B$17," ","")&amp;",")),1,0))</f>
        <v>0</v>
      </c>
      <c r="BZ32" s="22" t="str">
        <f aca="false">IF($AS32="","",IF(Fits!$B$38="Row",$AQ32,IF($AR32="","",$AR32)))</f>
        <v/>
      </c>
      <c r="CA32" s="22" t="str">
        <f aca="false">IF($AT32="","",IF(Fits!$B$50="Row",$AQ32,IF($AR32="","",$AR32)))</f>
        <v/>
      </c>
      <c r="CB32" s="20" t="str">
        <f aca="false">IF(OR($D32&lt;&gt;"Drift",$X32="",$A32&lt;IF(Setup!$B$14="",0,Setup!$B$14),Fits!$B$107&lt;3,Fits!$B$110="",Fits!$B$109=0,IF(Fits!$B$38="Row",$AQ32,$AR32)=""),"",IF($BX32=1,IF(OR(Fits!$B$111="",Fits!$B$111=0),"",($X32-(IF(Fits!$B$38="Row",Fits!$B$32,Fits!$B$35)*IF(Fits!$B$38="Row",$AQ32,$AR32)+Fits!$B$110))/(Fits!$B$111*SQRT(1+(1/Fits!$B$107+(IF(Fits!$B$38="Row",$AQ32,$AR32)-Fits!$B$108)^2/Fits!$B$109)))),IF(OR(Fits!$B$107&lt;4,(1/Fits!$B$107+(IF(Fits!$B$38="Row",$AQ32,$AR32)-Fits!$B$108)^2/Fits!$B$109)&gt;=1),"",IF((Fits!$B$116-($X32-(IF(Fits!$B$38="Row",Fits!$B$32,Fits!$B$35)*IF(Fits!$B$38="Row",$AQ32,$AR32)+Fits!$B$110))^2/(1-(1/Fits!$B$107+(IF(Fits!$B$38="Row",$AQ32,$AR32)-Fits!$B$108)^2/Fits!$B$109)))&lt;=0,"",($X32-(IF(Fits!$B$38="Row",Fits!$B$32,Fits!$B$35)*IF(Fits!$B$38="Row",$AQ32,$AR32)+Fits!$B$110))/(SQRT((Fits!$B$116-($X32-(IF(Fits!$B$38="Row",Fits!$B$32,Fits!$B$35)*IF(Fits!$B$38="Row",$AQ32,$AR32)+Fits!$B$110))^2/(1-(1/Fits!$B$107+(IF(Fits!$B$38="Row",$AQ32,$AR32)-Fits!$B$108)^2/Fits!$B$109)))/(Fits!$B$107-3))*SQRT(1-(1/Fits!$B$107+(IF(Fits!$B$38="Row",$AQ32,$AR32)-Fits!$B$108)^2/Fits!$B$109)))))))</f>
        <v/>
      </c>
      <c r="CC32" s="20" t="str">
        <f aca="false">IF(OR($D32&lt;&gt;"Drift",$AC32="",$A32&lt;IF(Setup!$B$14="",0,Setup!$B$14),Fits!$B$120&lt;3,Fits!$B$123="",Fits!$B$122=0,IF(Fits!$B$50="Row",$AQ32,$AR32)=""),"",IF($BY32=1,IF(OR(Fits!$B$124="",Fits!$B$124=0),"",($AC32-(IF(Fits!$B$50="Row",Fits!$B$44,Fits!$B$47)*IF(Fits!$B$50="Row",$AQ32,$AR32)+Fits!$B$123))/(Fits!$B$124*SQRT(1+(1/Fits!$B$120+(IF(Fits!$B$50="Row",$AQ32,$AR32)-Fits!$B$121)^2/Fits!$B$122)))),IF(OR(Fits!$B$120&lt;4,(1/Fits!$B$120+(IF(Fits!$B$50="Row",$AQ32,$AR32)-Fits!$B$121)^2/Fits!$B$122)&gt;=1),"",IF((Fits!$B$129-($AC32-(IF(Fits!$B$50="Row",Fits!$B$44,Fits!$B$47)*IF(Fits!$B$50="Row",$AQ32,$AR32)+Fits!$B$123))^2/(1-(1/Fits!$B$120+(IF(Fits!$B$50="Row",$AQ32,$AR32)-Fits!$B$121)^2/Fits!$B$122)))&lt;=0,"",($AC32-(IF(Fits!$B$50="Row",Fits!$B$44,Fits!$B$47)*IF(Fits!$B$50="Row",$AQ32,$AR32)+Fits!$B$123))/(SQRT((Fits!$B$129-($AC32-(IF(Fits!$B$50="Row",Fits!$B$44,Fits!$B$47)*IF(Fits!$B$50="Row",$AQ32,$AR32)+Fits!$B$123))^2/(1-(1/Fits!$B$120+(IF(Fits!$B$50="Row",$AQ32,$AR32)-Fits!$B$121)^2/Fits!$B$122)))/(Fits!$B$120-3))*SQRT(1-(1/Fits!$B$120+(IF(Fits!$B$50="Row",$AQ32,$AR32)-Fits!$B$121)^2/Fits!$B$122)))))))</f>
        <v/>
      </c>
      <c r="CD32" s="9" t="str">
        <f aca="false">IF($AU32="","",1)</f>
        <v/>
      </c>
      <c r="CE32" s="24" t="str">
        <f aca="false">IF($AU32="","",$AU32-Fits!$B$133)</f>
        <v/>
      </c>
      <c r="CF32" s="24" t="str">
        <f aca="false">IF($AU32="","",($AV32-(Fits!$B$56*$AU32+Fits!$B$57))-Fits!$B$56*($AU32-Fits!$B$133))</f>
        <v/>
      </c>
      <c r="CG32" s="25" t="str">
        <f aca="false">IF($AU32="","",$AU32^2)</f>
        <v/>
      </c>
      <c r="CH32" s="9" t="str">
        <f aca="false">IF($AW32="","",1)</f>
        <v/>
      </c>
      <c r="CI32" s="24" t="str">
        <f aca="false">IF($AW32="","",$AW32-Fits!$B$153)</f>
        <v/>
      </c>
      <c r="CJ32" s="24" t="str">
        <f aca="false">IF($AW32="","",($AX32-(Fits!$B$63*$AW32+Fits!$B$64))-Fits!$B$63*($AW32-Fits!$B$153))</f>
        <v/>
      </c>
      <c r="CK32" s="25" t="str">
        <f aca="false">IF($AW32="","",$AW32^2)</f>
        <v/>
      </c>
      <c r="CL32" s="26" t="n">
        <f aca="false">IF(OR($Z32="",Fits!$B$55&lt;3,Fits!$B$133="",Fits!$B$134="",Fits!$B$134=0,Fits!$B$136=""),"",SQRT((Fits!$B$136*Fits!$B$56)^2+SUMPRODUCT((Fits!$J$163:$J$175*(Fits!$B$163:$B$175/Fits!$B$55+Fits!$H$163:$H$175*($Z32-Fits!$B$133)/Fits!$B$134))^2)+SUMPRODUCT((Fits!$G$163:$G$175*(($Z32-Fits!$B$133)*Fits!$I$163:$I$175/Fits!$B$134-Fits!$B$163:$B$175*Fits!$B$56/Fits!$B$55))^2)))</f>
        <v>0.21982342887076</v>
      </c>
      <c r="CM32" s="26" t="n">
        <f aca="false">IF($CL32="","",Setup!$B$32*$CL32)</f>
        <v>0.439646857741519</v>
      </c>
      <c r="CN32" s="26" t="n">
        <f aca="false">IF(OR($AE32="",Fits!$B$62&lt;3,Fits!$B$153="",Fits!$B$154="",Fits!$B$154=0,Fits!$B$156=""),"",SQRT((Fits!$B$156*Fits!$B$63)^2+SUMPRODUCT((Fits!$J$183:$J$195*(Fits!$B$183:$B$195/Fits!$B$62+Fits!$H$183:$H$195*($AE32-Fits!$B$153)/Fits!$B$154))^2)+SUMPRODUCT((Fits!$G$183:$G$195*(($AE32-Fits!$B$153)*Fits!$I$183:$I$195/Fits!$B$154-Fits!$B$183:$B$195*Fits!$B$63/Fits!$B$62))^2)))</f>
        <v>0.0466020813507951</v>
      </c>
      <c r="CO32" s="26" t="n">
        <f aca="false">IF($CN32="","",Setup!$B$32*$CN32)</f>
        <v>0.0932041627015902</v>
      </c>
      <c r="CP32" s="9" t="n">
        <f aca="false">IF(OR(NOT(ISNUMBER($BJ32)),$EK32=1),$CP31,IF($BJ32&lt;=Setup!$B$26,$CP31+1,0))</f>
        <v>1</v>
      </c>
      <c r="CQ32" s="9" t="n">
        <f aca="false">IF($BT32="","",$A32)</f>
        <v>27</v>
      </c>
      <c r="CR32" s="9" t="n">
        <f aca="false">IF($BW32="","",$A32)</f>
        <v>27</v>
      </c>
      <c r="CS32" s="9" t="n">
        <f aca="false">IF($B32="","",IF(Setup!$A$37="",0,IF(ISNUMBER(SEARCH(Setup!$A$37,$B32)),37,0)))</f>
        <v>0</v>
      </c>
      <c r="CT32" s="9" t="n">
        <f aca="false">IF($B32="","",IF(Setup!$A$38="",0,IF(ISNUMBER(SEARCH(Setup!$A$38,$B32)),38,0)))</f>
        <v>0</v>
      </c>
      <c r="CU32" s="9" t="n">
        <f aca="false">IF($B32="","",IF(Setup!$A$39="",0,IF(ISNUMBER(SEARCH(Setup!$A$39,$B32)),39,0)))</f>
        <v>0</v>
      </c>
      <c r="CV32" s="9" t="n">
        <f aca="false">IF($B32="","",IF(Setup!$A$40="",0,IF(ISNUMBER(SEARCH(Setup!$A$40,$B32)),40,0)))</f>
        <v>0</v>
      </c>
      <c r="CW32" s="9" t="n">
        <f aca="false">IF($B32="","",IF(Setup!$A$41="",0,IF(ISNUMBER(SEARCH(Setup!$A$41,$B32)),41,0)))</f>
        <v>0</v>
      </c>
      <c r="CX32" s="9" t="n">
        <f aca="false">IF($B32="","",IF(Setup!$A$42="",0,IF(ISNUMBER(SEARCH(Setup!$A$42,$B32)),42,0)))</f>
        <v>0</v>
      </c>
      <c r="CY32" s="9" t="n">
        <f aca="false">IF($B32="","",IF(Setup!$A$43="",0,IF(ISNUMBER(SEARCH(Setup!$A$43,$B32)),43,0)))</f>
        <v>0</v>
      </c>
      <c r="CZ32" s="9" t="n">
        <f aca="false">IF($B32="","",IF(Setup!$A$44="",0,IF(ISNUMBER(SEARCH(Setup!$A$44,$B32)),44,0)))</f>
        <v>0</v>
      </c>
      <c r="DA32" s="9" t="n">
        <f aca="false">IF($B32="","",IF(Setup!$A$45="",0,IF(ISNUMBER(SEARCH(Setup!$A$45,$B32)),45,0)))</f>
        <v>0</v>
      </c>
      <c r="DB32" s="9" t="n">
        <f aca="false">IF($B32="","",IF(Setup!$A$46="",0,IF(ISNUMBER(SEARCH(Setup!$A$46,$B32)),46,0)))</f>
        <v>0</v>
      </c>
      <c r="DC32" s="9" t="n">
        <f aca="false">IF($B32="","",IF(Setup!$A$47="",0,IF(ISNUMBER(SEARCH(Setup!$A$47,$B32)),47,0)))</f>
        <v>0</v>
      </c>
      <c r="DD32" s="9" t="n">
        <f aca="false">IF($B32="","",IF(Setup!$A$48="",0,IF(ISNUMBER(SEARCH(Setup!$A$48,$B32)),48,0)))</f>
        <v>0</v>
      </c>
      <c r="DE32" s="9" t="n">
        <f aca="false">IF($B32="","",IF(Setup!$A$49="",0,IF(ISNUMBER(SEARCH(Setup!$A$49,$B32)),49,0)))</f>
        <v>0</v>
      </c>
      <c r="DF32" s="9" t="n">
        <f aca="false">IF($B32="",NA(),$A32)</f>
        <v>27</v>
      </c>
      <c r="DG32" s="22" t="n">
        <f aca="false">IF($BI32="",NA(),$BI32)</f>
        <v>24.2</v>
      </c>
      <c r="DH32" s="22" t="n">
        <f aca="false">IF($N32="",NA(),$N32)</f>
        <v>25.4</v>
      </c>
      <c r="DI32" s="9" t="e">
        <f aca="false">IF(AND($D32="Drift",$N32&lt;&gt;""),$N32,NA())</f>
        <v>#N/A</v>
      </c>
      <c r="DJ32" s="9" t="str">
        <f aca="false">IF(AND($D32="Drift",$N32&lt;&gt;""),$N32,"")</f>
        <v/>
      </c>
      <c r="DK32" s="9" t="str">
        <f aca="false">IF($DJ32="","",$A32)</f>
        <v/>
      </c>
      <c r="DL32" s="9" t="e">
        <f aca="false">IF($AN32="",NA(),$AM32)</f>
        <v>#N/A</v>
      </c>
      <c r="DM32" s="9" t="e">
        <f aca="false">IF($AN32="",NA(),$AN32)</f>
        <v>#N/A</v>
      </c>
      <c r="DN32" s="24" t="n">
        <f aca="false">IF(AND($D32="Sample",$L32&lt;&gt;""),$L32,NA())</f>
        <v>47.171</v>
      </c>
      <c r="DO32" s="24" t="n">
        <f aca="false">IF(AND($D32="Sample",$L32&lt;&gt;"",Fits!$B$98&lt;&gt;""),Fits!$B$98,NA())</f>
        <v>-6.0577</v>
      </c>
      <c r="DP32" s="9" t="e">
        <f aca="false">IF($AS32="",NA(),$AS32)</f>
        <v>#N/A</v>
      </c>
      <c r="DQ32" s="9" t="e">
        <f aca="false">IF(AND($D32="Drift",$AS32="",$X32&lt;&gt;""),$X32,NA())</f>
        <v>#N/A</v>
      </c>
      <c r="DR32" s="9" t="e">
        <f aca="false">IF(AND($D32="Drift",$Z32&lt;&gt;""),$Z32,NA())</f>
        <v>#N/A</v>
      </c>
      <c r="DS32" s="25" t="n">
        <f aca="false">IF(AND(OR($D32="Sample",$D32="Check"),$AA32&lt;&gt;""),$AA32,NA())</f>
        <v>1.73882904832365</v>
      </c>
      <c r="DT32" s="25" t="n">
        <f aca="false">IF(OR($B32="",Fits!$B$138=""),NA(),Fits!$B$138)</f>
        <v>1.76</v>
      </c>
      <c r="DU32" s="25" t="n">
        <f aca="false">IF(OR($B32="",Fits!$B$139=""),NA(),Fits!$B$139)</f>
        <v>20.68</v>
      </c>
      <c r="DV32" s="24" t="n">
        <f aca="false">IF($BT32="",NA(),$BT32)</f>
        <v>-1.175</v>
      </c>
      <c r="DW32" s="9" t="e">
        <f aca="false">IF($AP32="",NA(),$AO32)</f>
        <v>#N/A</v>
      </c>
      <c r="DX32" s="9" t="e">
        <f aca="false">IF($AP32="",NA(),$AP32)</f>
        <v>#N/A</v>
      </c>
      <c r="DY32" s="24" t="n">
        <f aca="false">IF(AND($D32="Sample",$P32&lt;&gt;""),$P32,NA())</f>
        <v>57.484</v>
      </c>
      <c r="DZ32" s="24" t="n">
        <f aca="false">IF(AND($D32="Sample",$P32&lt;&gt;"",Fits!$B$105&lt;&gt;""),Fits!$B$105,NA())</f>
        <v>-9.717</v>
      </c>
      <c r="EA32" s="9" t="e">
        <f aca="false">IF($AT32="",NA(),$AT32)</f>
        <v>#N/A</v>
      </c>
      <c r="EB32" s="9" t="e">
        <f aca="false">IF(AND($D32="Drift",$AT32="",$AC32&lt;&gt;""),$AC32,NA())</f>
        <v>#N/A</v>
      </c>
      <c r="EC32" s="9" t="e">
        <f aca="false">IF(AND($D32="Drift",$AE32&lt;&gt;""),$AE32,NA())</f>
        <v>#N/A</v>
      </c>
      <c r="ED32" s="25" t="n">
        <f aca="false">IF(AND(OR($D32="Sample",$D32="Check"),$AF32&lt;&gt;""),$AF32,NA())</f>
        <v>-40.765944321845</v>
      </c>
      <c r="EE32" s="25" t="n">
        <f aca="false">IF(OR($B32="",Fits!$B$158=""),NA(),Fits!$B$158)</f>
        <v>-40.81</v>
      </c>
      <c r="EF32" s="25" t="n">
        <f aca="false">IF(OR($B32="",Fits!$B$159=""),NA(),Fits!$B$159)</f>
        <v>-20.29</v>
      </c>
      <c r="EG32" s="24" t="n">
        <f aca="false">IF($BW32="",NA(),$BW32)</f>
        <v>-25.375</v>
      </c>
      <c r="EH32" s="9" t="e">
        <f aca="false">IF(AND($EN32=1,ISNUMBER($N32)),$N32,NA())</f>
        <v>#N/A</v>
      </c>
      <c r="EI32" s="9" t="n">
        <f aca="false">IF($B32="","",$A32)</f>
        <v>27</v>
      </c>
      <c r="EJ32" s="9" t="n">
        <f aca="false">IF(OR(AND(ISNUMBER($L32),Fits!$B$97&gt;0,$L32&gt;Fits!$B$97),AND(ISNUMBER($P32),Fits!$B$104&gt;0,$P32&gt;Fits!$B$104)),1,0)</f>
        <v>0</v>
      </c>
      <c r="EK32" s="9" t="n">
        <f aca="false">IF(OR($EJ31=1,$EJ30=1),1,0)</f>
        <v>0</v>
      </c>
      <c r="EL32" s="22" t="n">
        <f aca="false">IF(AND($EK32=0,ISNUMBER($N32)),$N32,$EL31)</f>
        <v>25.4</v>
      </c>
      <c r="EM32" s="9" t="str">
        <f aca="false">IF(AND($EK32=1,ISNUMBER($N32),ISNUMBER($EL32)),$N32-$EL32,"")</f>
        <v/>
      </c>
      <c r="EN32" s="9" t="n">
        <f aca="false">IF(Setup!$B$28="",0,IF(ISNUMBER($EM32),IF($EM32&gt;Setup!$B$28,1,0),0))</f>
        <v>0</v>
      </c>
      <c r="EO32" s="9" t="str">
        <f aca="false">IF($EN32=1,COUNTIF($EN$6:$EN32,1),"")</f>
        <v/>
      </c>
      <c r="EP32" s="9" t="n">
        <f aca="false">IF(AND($EJ31=1,OR($D32="Sample",$D32="Check")),1,0)</f>
        <v>0</v>
      </c>
      <c r="EQ32" s="9" t="str">
        <f aca="false">IF(ISNUMBER($BI32),IF(COUNT($BI$6:$BI32)&lt;=5,$BI32,""),"")</f>
        <v/>
      </c>
      <c r="ER32" s="9" t="n">
        <f aca="false">IF(OR(NOT(ISNUMBER($BJ32)),$EK32=1),$ER31,IF($BJ32&lt;=Setup!$B$26,IF($CP31=0,$A32,$ER31),""))</f>
        <v>27</v>
      </c>
    </row>
    <row r="33" customFormat="false" ht="15" hidden="false" customHeight="false" outlineLevel="0" collapsed="false">
      <c r="A33" s="8" t="n">
        <v>28</v>
      </c>
      <c r="B33" s="8" t="str">
        <f aca="false">IFERROR(INDEX(Raw!$B$2:$B$1001,MATCH($A33,Raw!$A$2:$A$1001,0)),"")</f>
        <v>Random</v>
      </c>
      <c r="C33" s="9" t="n">
        <f aca="false">IF($B33="","",MAX($CS33:$DE33))</f>
        <v>0</v>
      </c>
      <c r="D33" s="8" t="str">
        <f aca="false">IF($B33="","",IF($C33=0,"Sample",INDEX(Setup!$B$37:$B$49,$C33-36)))</f>
        <v>Sample</v>
      </c>
      <c r="E33" s="16" t="str">
        <f aca="false">IF($B33="","",IFERROR(IF(INDEX(Raw!$E$2:$E$1001,MATCH($A33,Raw!$A$2:$A$1001,0))=0,"",INDEX(Raw!$E$2:$E$1001,MATCH($A33,Raw!$A$2:$A$1001,0))),""))</f>
        <v/>
      </c>
      <c r="F33" s="18"/>
      <c r="G33" s="16" t="str">
        <f aca="false">IF($B33="","",IF($F33&lt;&gt;"",$F33,IF($E33="","",$E33)))</f>
        <v/>
      </c>
      <c r="H33" s="9" t="n">
        <f aca="false">IF($B33="","",SUMPRODUCT(MAX((Raw!$A$2:$A$1001=$A33)*(Raw!$R$2:$R$1001="N")*Raw!$D$2:$D$1001)))</f>
        <v>3</v>
      </c>
      <c r="I33" s="9" t="str">
        <f aca="false">IF(OR($H33="",$H33=0),"",$A33&amp;"|N|"&amp;$H33)</f>
        <v>28|N|3</v>
      </c>
      <c r="J33" s="9" t="n">
        <f aca="false">IF($B33="","",SUMPRODUCT(MIN((Raw!$A$2:$A$1001=$A33)*(Raw!$R$2:$R$1001="C")*Raw!$D$2:$D$1001+(1-(Raw!$A$2:$A$1001=$A33)*(Raw!$R$2:$R$1001="C"))*9999)))</f>
        <v>4</v>
      </c>
      <c r="K33" s="9" t="str">
        <f aca="false">IF(OR($J33="",$J33=0,$J33=9999),"",$A33&amp;"|C|"&amp;$J33)</f>
        <v>28|C|4</v>
      </c>
      <c r="L33" s="16" t="n">
        <f aca="false">IF($I33="","",IF(INDEX(Raw!$I$2:$I$1001,MATCH($I33,Raw!$S$2:$S$1001,0))&lt;&gt;0,"",INDEX(Raw!$H$2:$H$1001,MATCH($I33,Raw!$S$2:$S$1001,0))))</f>
        <v>22.944</v>
      </c>
      <c r="M33" s="19" t="n">
        <f aca="false">IF($I33="","",IF(INDEX(Raw!$I$2:$I$1001,MATCH($I33,Raw!$S$2:$S$1001,0))&lt;&gt;0,"",INDEX(Raw!$F$2:$F$1001,MATCH($I33,Raw!$S$2:$S$1001,0))))</f>
        <v>1325</v>
      </c>
      <c r="N33" s="20" t="n">
        <f aca="false">IF($I33="","",IF(INDEX(Raw!$I$2:$I$1001,MATCH($I33,Raw!$S$2:$S$1001,0))&lt;&gt;0,"",INDEX(Raw!$G$2:$G$1001,MATCH($I33,Raw!$S$2:$S$1001,0))))</f>
        <v>25.3</v>
      </c>
      <c r="O33" s="16" t="n">
        <f aca="false">IF($I33="","",IF(INDEX(Raw!$I$2:$I$1001,MATCH($I33,Raw!$S$2:$S$1001,0))&lt;&gt;0,"",INDEX(Raw!$N$2:$N$1001,MATCH($I33,Raw!$S$2:$S$1001,0))))</f>
        <v>-6.26</v>
      </c>
      <c r="P33" s="16" t="n">
        <f aca="false">IF($K33="","",IF(INDEX(Raw!$I$2:$I$1001,MATCH($K33,Raw!$S$2:$S$1001,0))&lt;&gt;0,"",INDEX(Raw!$K$2:$K$1001,MATCH($K33,Raw!$S$2:$S$1001,0))))</f>
        <v>71.395</v>
      </c>
      <c r="Q33" s="19" t="n">
        <f aca="false">IF($K33="","",IF(INDEX(Raw!$I$2:$I$1001,MATCH($K33,Raw!$S$2:$S$1001,0))&lt;&gt;0,"",INDEX(Raw!$J$2:$J$1001,MATCH($K33,Raw!$S$2:$S$1001,0))))</f>
        <v>3218</v>
      </c>
      <c r="R33" s="16" t="n">
        <f aca="false">IF($K33="","",IF(INDEX(Raw!$I$2:$I$1001,MATCH($K33,Raw!$S$2:$S$1001,0))&lt;&gt;0,"",INDEX(Raw!$O$2:$O$1001,MATCH($K33,Raw!$S$2:$S$1001,0))))</f>
        <v>-9.387</v>
      </c>
      <c r="S33" s="21" t="str">
        <f aca="false">IF($B33="","",IF($C33=0,"",IF(INDEX(Setup!$D$37:$D$49,$C33-36)="","",INDEX(Setup!$D$37:$D$49,$C33-36))))</f>
        <v/>
      </c>
      <c r="T33" s="21" t="str">
        <f aca="false">IF($B33="","",IF($C33=0,"",IF(INDEX(Setup!$C$37:$C$49,$C33-36)="","",INDEX(Setup!$C$37:$C$49,$C33-36))))</f>
        <v/>
      </c>
      <c r="U33" s="21" t="str">
        <f aca="false">IF($B33="","",IF($C33=0,"",IF(INDEX(Setup!$F$37:$F$49,$C33-36)="","",INDEX(Setup!$F$37:$F$49,$C33-36))))</f>
        <v/>
      </c>
      <c r="V33" s="21" t="str">
        <f aca="false">IF($B33="","",IF($C33=0,"",IF(INDEX(Setup!$E$37:$E$49,$C33-36)="","",INDEX(Setup!$E$37:$E$49,$C33-36))))</f>
        <v/>
      </c>
      <c r="W33" s="16" t="n">
        <f aca="false">IF($O33="","",IF(OR(Fits!$C$5&lt;&gt;"Yes",$D33="Blank",$L33&lt;=Fits!$B$6),$O33,($L33*$O33-Fits!$B$6*Fits!$B$7)/($L33-Fits!$B$6)))</f>
        <v>-6.26</v>
      </c>
      <c r="X33" s="16" t="n">
        <f aca="false">IF($W33="","",$W33-Fits!$B$20*($L33-Fits!$B$16))</f>
        <v>-6.26</v>
      </c>
      <c r="Y33" s="22" t="n">
        <f aca="false">IF($W33="","",IF(OR(Fits!$B$38="Row",$BI33=""),$A33,$BI33))</f>
        <v>28</v>
      </c>
      <c r="Z33" s="16" t="n">
        <f aca="false">IF($X33="","",$X33-Fits!$B$39*($Y33-Fits!$B$40))</f>
        <v>-6.34512124996803</v>
      </c>
      <c r="AA33" s="23" t="n">
        <f aca="false">IF(OR($Z33="",Fits!$B$55&lt;2),"",Fits!$B$56*$Z33+Fits!$B$57)</f>
        <v>-5.48661805096889</v>
      </c>
      <c r="AB33" s="16" t="n">
        <f aca="false">IF($R33="","",IF(OR(Fits!$C$9&lt;&gt;"Yes",$D33="Blank",$P33&lt;=Fits!$B$10),$R33,($P33*$R33-Fits!$B$10*Fits!$B$11)/($P33-Fits!$B$10)))</f>
        <v>-9.387</v>
      </c>
      <c r="AC33" s="16" t="n">
        <f aca="false">IF($AB33="","",$AB33-Fits!$B$28*($P33-Fits!$B$24))</f>
        <v>-9.28967398058471</v>
      </c>
      <c r="AD33" s="22" t="n">
        <f aca="false">IF($AB33="","",IF(OR(Fits!$B$50="Row",$BI33=""),$A33,$BI33))</f>
        <v>28</v>
      </c>
      <c r="AE33" s="16" t="n">
        <f aca="false">IF($AC33="","",$AC33-Fits!$B$51*($AD33-Fits!$B$52))</f>
        <v>-9.27468743917567</v>
      </c>
      <c r="AF33" s="23" t="n">
        <f aca="false">IF(OR($AE33="",Fits!$B$62&lt;2),"",Fits!$B$63*$AE33+Fits!$B$64)</f>
        <v>-26.3981706510412</v>
      </c>
      <c r="AG33" s="21" t="n">
        <f aca="false">IF(OR($L33="",Fits!$B$69&lt;3),"",($L33-Fits!$B$71)/Fits!$B$70)</f>
        <v>34.6225698457845</v>
      </c>
      <c r="AH33" s="21" t="n">
        <f aca="false">IF(OR($P33="",Fits!$B$75&lt;3),"",($P33-Fits!$B$77)/Fits!$B$76)</f>
        <v>158.63197225861</v>
      </c>
      <c r="AI33" s="23" t="str">
        <f aca="false">IF(OR($AG33="",$G33="",$G33=0),"",$AG33/($G33*1000)*100)</f>
        <v/>
      </c>
      <c r="AJ33" s="23" t="str">
        <f aca="false">IF(OR($AH33="",$G33="",$G33=0),"",$AH33/($G33*1000)*100)</f>
        <v/>
      </c>
      <c r="AK33" s="23" t="n">
        <f aca="false">IF(OR($AG33="",$AH33="",$AG33&lt;=0),"",($AH33/Setup!$B$52)/($AG33/Setup!$B$53))</f>
        <v>5.34315023360138</v>
      </c>
      <c r="AL33" s="23" t="n">
        <f aca="false">IF(OR($AG33="",$AH33="",$AG33&lt;=0),"",$AH33/$AG33)</f>
        <v>4.58175037165604</v>
      </c>
      <c r="AM33" s="9" t="str">
        <f aca="false">IF($D33="Linearity",IF($L33="","",$L33),"")</f>
        <v/>
      </c>
      <c r="AN33" s="9" t="str">
        <f aca="false">IF($D33="Linearity",IF($W33="","",$W33),"")</f>
        <v/>
      </c>
      <c r="AO33" s="9" t="str">
        <f aca="false">IF($D33="Linearity",IF($P33="","",$P33),"")</f>
        <v/>
      </c>
      <c r="AP33" s="9" t="str">
        <f aca="false">IF($D33="Linearity",IF($AB33="","",$AB33),"")</f>
        <v/>
      </c>
      <c r="AQ33" s="9" t="str">
        <f aca="false">IF($D33="Drift",IF($A33&lt;IF(Setup!$B$14="",0,Setup!$B$14),"",$A33),"")</f>
        <v/>
      </c>
      <c r="AR33" s="9" t="str">
        <f aca="false">IF($D33="Drift",IF($A33&lt;IF(Setup!$B$14="",0,Setup!$B$14),"",IF($BI33="","",$BI33)),"")</f>
        <v/>
      </c>
      <c r="AS33" s="9" t="str">
        <f aca="false">IF($D33="Drift",IF($A33&lt;IF(Setup!$B$14="",0,Setup!$B$14),"",IF(OR($X33="",$BX33=1),"",$X33)),"")</f>
        <v/>
      </c>
      <c r="AT33" s="9" t="str">
        <f aca="false">IF($D33="Drift",IF($A33&lt;IF(Setup!$B$14="",0,Setup!$B$14),"",IF(OR($AC33="",$BY33=1),"",$AC33)),"")</f>
        <v/>
      </c>
      <c r="AU33" s="9" t="str">
        <f aca="false">IF($D33="Anchor",IF(OR($Z33="",$S33=""),"",$Z33),"")</f>
        <v/>
      </c>
      <c r="AV33" s="9" t="str">
        <f aca="false">IF($D33="Anchor",IF(OR($Z33="",$S33=""),"",$S33),"")</f>
        <v/>
      </c>
      <c r="AW33" s="9" t="str">
        <f aca="false">IF($D33="Anchor",IF(OR($AE33="",$T33=""),"",$AE33),"")</f>
        <v/>
      </c>
      <c r="AX33" s="9" t="str">
        <f aca="false">IF($D33="Anchor",IF(OR($AE33="",$T33=""),"",$T33),"")</f>
        <v/>
      </c>
      <c r="AY33" s="9" t="str">
        <f aca="false">IF(OR($D33="Blank",$D33="Exclude",$D33="Sample",$D33="",$G33="",$U33="",$L33=""),"",$G33*1000*$U33/100)</f>
        <v/>
      </c>
      <c r="AZ33" s="9" t="str">
        <f aca="false">IF($AY33="","",$L33)</f>
        <v/>
      </c>
      <c r="BA33" s="9" t="str">
        <f aca="false">IF(OR($D33="Blank",$D33="Exclude",$D33="Sample",$D33="",$G33="",$V33="",$P33=""),"",$G33*1000*$V33/100)</f>
        <v/>
      </c>
      <c r="BB33" s="9" t="str">
        <f aca="false">IF($BA33="","",$P33)</f>
        <v/>
      </c>
      <c r="BC33" s="9" t="str">
        <f aca="false">IF(AND($D33="Blank",$L33&lt;&gt;""),$O33,"")</f>
        <v/>
      </c>
      <c r="BD33" s="9" t="str">
        <f aca="false">IF($BC33="","",$L33)</f>
        <v/>
      </c>
      <c r="BE33" s="9" t="str">
        <f aca="false">IF(AND($D33="Blank",$P33&lt;&gt;""),$R33,"")</f>
        <v/>
      </c>
      <c r="BF33" s="9" t="str">
        <f aca="false">IF($BE33="","",$P33)</f>
        <v/>
      </c>
      <c r="BG33" s="9" t="str">
        <f aca="false">IF(AND($D33="Drift",$BX33&lt;&gt;1),IF($AA33="","",$AA33),"")</f>
        <v/>
      </c>
      <c r="BH33" s="9" t="str">
        <f aca="false">IF(AND($D33="Drift",$BY33&lt;&gt;1),IF($AF33="","",$AF33),"")</f>
        <v/>
      </c>
      <c r="BI33" s="20" t="n">
        <f aca="false">IF($B33="","",IFERROR(INDEX(Raw!$G$2:$G$1001,MATCH($A33&amp;"|N|"&amp;SUMPRODUCT(MAX((Raw!$A$2:$A$1001=$A33)*(Raw!$R$2:$R$1001="N")*(Raw!$I$2:$I$1001=1)*Raw!$D$2:$D$1001)),Raw!$S$2:$S$1001,0)),""))</f>
        <v>24.1</v>
      </c>
      <c r="BJ33" s="21" t="n">
        <f aca="false">IF(OR($BI33="",Fits!$B$85&lt;=0),"",($BI33-Fits!$B$83)/Fits!$B$85)</f>
        <v>0.0900900900900901</v>
      </c>
      <c r="BK33" s="9" t="str">
        <f aca="false">IF($AS33="","",IF($A33&gt;=Fits!$B$86,"",$A33))</f>
        <v/>
      </c>
      <c r="BL33" s="9" t="str">
        <f aca="false">IF($BK33="","",$X33)</f>
        <v/>
      </c>
      <c r="BM33" s="9" t="str">
        <f aca="false">IF($AS33="","",IF($A33&lt;Fits!$B$86,"",$A33))</f>
        <v/>
      </c>
      <c r="BN33" s="9" t="str">
        <f aca="false">IF($BM33="","",$X33)</f>
        <v/>
      </c>
      <c r="BO33" s="9" t="str">
        <f aca="false">IF(AND($D33="Drift",$BX33&lt;&gt;1),IF($O33="","",$O33),"")</f>
        <v/>
      </c>
      <c r="BP33" s="9" t="str">
        <f aca="false">IF(AND($D33="Drift",$BX33&lt;&gt;1),IF($W33="","",$W33),"")</f>
        <v/>
      </c>
      <c r="BQ33" s="9" t="str">
        <f aca="false">IF(AND($D33="Drift",$BX33&lt;&gt;1),IF($X33="","",$X33),"")</f>
        <v/>
      </c>
      <c r="BR33" s="9" t="str">
        <f aca="false">IF(AND($D33="Drift",$BX33&lt;&gt;1),IF($Z33="","",$Z33),"")</f>
        <v/>
      </c>
      <c r="BS33" s="9" t="n">
        <f aca="false">IF(OR($B33="",$H33=""),"",SUMPRODUCT(MIN((Raw!$A$2:$A$1001=$A33)*(Raw!$R$2:$R$1001="N")*(Raw!$I$2:$I$1001=0)*(Raw!$D$2:$D$1001&lt;$H33)*Raw!$D$2:$D$1001+(1-(Raw!$A$2:$A$1001=$A33)*(Raw!$R$2:$R$1001="N")*(Raw!$I$2:$I$1001=0)*(Raw!$D$2:$D$1001&lt;$H33))*9999)))</f>
        <v>1</v>
      </c>
      <c r="BT33" s="16" t="n">
        <f aca="false">IF(OR($BS33="",$BS33=9999,$BS33=0),"",IFERROR(INDEX(Raw!$N$2:$N$1001,MATCH($A33&amp;"|N|"&amp;$BS33,Raw!$S$2:$S$1001,0)),""))</f>
        <v>-1.275</v>
      </c>
      <c r="BU33" s="9" t="n">
        <f aca="false">IF($B33="","",SUMPRODUCT(MIN((Raw!$A$2:$A$1001=$A33)*(Raw!$R$2:$R$1001="C")*(Raw!$I$2:$I$1001=1)*Raw!$D$2:$D$1001+(1-(Raw!$A$2:$A$1001=$A33)*(Raw!$R$2:$R$1001="C")*(Raw!$I$2:$I$1001=1))*9999)))</f>
        <v>5</v>
      </c>
      <c r="BV33" s="9" t="n">
        <f aca="false">IF(OR($BU33="",$BU33=9999),"",SUMPRODUCT(MIN((Raw!$A$2:$A$1001=$A33)*(Raw!$R$2:$R$1001="C")*(Raw!$I$2:$I$1001=0)*(Raw!$D$2:$D$1001&gt;$BU33)*Raw!$D$2:$D$1001+(1-(Raw!$A$2:$A$1001=$A33)*(Raw!$R$2:$R$1001="C")*(Raw!$I$2:$I$1001=0)*(Raw!$D$2:$D$1001&gt;$BU33))*9999)))</f>
        <v>6</v>
      </c>
      <c r="BW33" s="16" t="n">
        <f aca="false">IF(OR($BV33="",$BV33=9999,$BV33=0),"",IFERROR(INDEX(Raw!$O$2:$O$1001,MATCH($A33&amp;"|C|"&amp;$BV33,Raw!$S$2:$S$1001,0)),""))</f>
        <v>-25.399</v>
      </c>
      <c r="BX33" s="9" t="n">
        <f aca="false">IF($B33="","",IF(ISNUMBER(SEARCH(","&amp;$A33&amp;",",","&amp;SUBSTITUTE(Setup!$B$16," ","")&amp;",")),1,0))</f>
        <v>0</v>
      </c>
      <c r="BY33" s="9" t="n">
        <f aca="false">IF($B33="","",IF(ISNUMBER(SEARCH(","&amp;$A33&amp;",",","&amp;SUBSTITUTE(Setup!$B$17," ","")&amp;",")),1,0))</f>
        <v>0</v>
      </c>
      <c r="BZ33" s="22" t="str">
        <f aca="false">IF($AS33="","",IF(Fits!$B$38="Row",$AQ33,IF($AR33="","",$AR33)))</f>
        <v/>
      </c>
      <c r="CA33" s="22" t="str">
        <f aca="false">IF($AT33="","",IF(Fits!$B$50="Row",$AQ33,IF($AR33="","",$AR33)))</f>
        <v/>
      </c>
      <c r="CB33" s="20" t="str">
        <f aca="false">IF(OR($D33&lt;&gt;"Drift",$X33="",$A33&lt;IF(Setup!$B$14="",0,Setup!$B$14),Fits!$B$107&lt;3,Fits!$B$110="",Fits!$B$109=0,IF(Fits!$B$38="Row",$AQ33,$AR33)=""),"",IF($BX33=1,IF(OR(Fits!$B$111="",Fits!$B$111=0),"",($X33-(IF(Fits!$B$38="Row",Fits!$B$32,Fits!$B$35)*IF(Fits!$B$38="Row",$AQ33,$AR33)+Fits!$B$110))/(Fits!$B$111*SQRT(1+(1/Fits!$B$107+(IF(Fits!$B$38="Row",$AQ33,$AR33)-Fits!$B$108)^2/Fits!$B$109)))),IF(OR(Fits!$B$107&lt;4,(1/Fits!$B$107+(IF(Fits!$B$38="Row",$AQ33,$AR33)-Fits!$B$108)^2/Fits!$B$109)&gt;=1),"",IF((Fits!$B$116-($X33-(IF(Fits!$B$38="Row",Fits!$B$32,Fits!$B$35)*IF(Fits!$B$38="Row",$AQ33,$AR33)+Fits!$B$110))^2/(1-(1/Fits!$B$107+(IF(Fits!$B$38="Row",$AQ33,$AR33)-Fits!$B$108)^2/Fits!$B$109)))&lt;=0,"",($X33-(IF(Fits!$B$38="Row",Fits!$B$32,Fits!$B$35)*IF(Fits!$B$38="Row",$AQ33,$AR33)+Fits!$B$110))/(SQRT((Fits!$B$116-($X33-(IF(Fits!$B$38="Row",Fits!$B$32,Fits!$B$35)*IF(Fits!$B$38="Row",$AQ33,$AR33)+Fits!$B$110))^2/(1-(1/Fits!$B$107+(IF(Fits!$B$38="Row",$AQ33,$AR33)-Fits!$B$108)^2/Fits!$B$109)))/(Fits!$B$107-3))*SQRT(1-(1/Fits!$B$107+(IF(Fits!$B$38="Row",$AQ33,$AR33)-Fits!$B$108)^2/Fits!$B$109)))))))</f>
        <v/>
      </c>
      <c r="CC33" s="20" t="str">
        <f aca="false">IF(OR($D33&lt;&gt;"Drift",$AC33="",$A33&lt;IF(Setup!$B$14="",0,Setup!$B$14),Fits!$B$120&lt;3,Fits!$B$123="",Fits!$B$122=0,IF(Fits!$B$50="Row",$AQ33,$AR33)=""),"",IF($BY33=1,IF(OR(Fits!$B$124="",Fits!$B$124=0),"",($AC33-(IF(Fits!$B$50="Row",Fits!$B$44,Fits!$B$47)*IF(Fits!$B$50="Row",$AQ33,$AR33)+Fits!$B$123))/(Fits!$B$124*SQRT(1+(1/Fits!$B$120+(IF(Fits!$B$50="Row",$AQ33,$AR33)-Fits!$B$121)^2/Fits!$B$122)))),IF(OR(Fits!$B$120&lt;4,(1/Fits!$B$120+(IF(Fits!$B$50="Row",$AQ33,$AR33)-Fits!$B$121)^2/Fits!$B$122)&gt;=1),"",IF((Fits!$B$129-($AC33-(IF(Fits!$B$50="Row",Fits!$B$44,Fits!$B$47)*IF(Fits!$B$50="Row",$AQ33,$AR33)+Fits!$B$123))^2/(1-(1/Fits!$B$120+(IF(Fits!$B$50="Row",$AQ33,$AR33)-Fits!$B$121)^2/Fits!$B$122)))&lt;=0,"",($AC33-(IF(Fits!$B$50="Row",Fits!$B$44,Fits!$B$47)*IF(Fits!$B$50="Row",$AQ33,$AR33)+Fits!$B$123))/(SQRT((Fits!$B$129-($AC33-(IF(Fits!$B$50="Row",Fits!$B$44,Fits!$B$47)*IF(Fits!$B$50="Row",$AQ33,$AR33)+Fits!$B$123))^2/(1-(1/Fits!$B$120+(IF(Fits!$B$50="Row",$AQ33,$AR33)-Fits!$B$121)^2/Fits!$B$122)))/(Fits!$B$120-3))*SQRT(1-(1/Fits!$B$120+(IF(Fits!$B$50="Row",$AQ33,$AR33)-Fits!$B$121)^2/Fits!$B$122)))))))</f>
        <v/>
      </c>
      <c r="CD33" s="9" t="str">
        <f aca="false">IF($AU33="","",1)</f>
        <v/>
      </c>
      <c r="CE33" s="24" t="str">
        <f aca="false">IF($AU33="","",$AU33-Fits!$B$133)</f>
        <v/>
      </c>
      <c r="CF33" s="24" t="str">
        <f aca="false">IF($AU33="","",($AV33-(Fits!$B$56*$AU33+Fits!$B$57))-Fits!$B$56*($AU33-Fits!$B$133))</f>
        <v/>
      </c>
      <c r="CG33" s="25" t="str">
        <f aca="false">IF($AU33="","",$AU33^2)</f>
        <v/>
      </c>
      <c r="CH33" s="9" t="str">
        <f aca="false">IF($AW33="","",1)</f>
        <v/>
      </c>
      <c r="CI33" s="24" t="str">
        <f aca="false">IF($AW33="","",$AW33-Fits!$B$153)</f>
        <v/>
      </c>
      <c r="CJ33" s="24" t="str">
        <f aca="false">IF($AW33="","",($AX33-(Fits!$B$63*$AW33+Fits!$B$64))-Fits!$B$63*($AW33-Fits!$B$153))</f>
        <v/>
      </c>
      <c r="CK33" s="25" t="str">
        <f aca="false">IF($AW33="","",$AW33^2)</f>
        <v/>
      </c>
      <c r="CL33" s="26" t="n">
        <f aca="false">IF(OR($Z33="",Fits!$B$55&lt;3,Fits!$B$133="",Fits!$B$134="",Fits!$B$134=0,Fits!$B$136=""),"",SQRT((Fits!$B$136*Fits!$B$56)^2+SUMPRODUCT((Fits!$J$163:$J$175*(Fits!$B$163:$B$175/Fits!$B$55+Fits!$H$163:$H$175*($Z33-Fits!$B$133)/Fits!$B$134))^2)+SUMPRODUCT((Fits!$G$163:$G$175*(($Z33-Fits!$B$133)*Fits!$I$163:$I$175/Fits!$B$134-Fits!$B$163:$B$175*Fits!$B$56/Fits!$B$55))^2)))</f>
        <v>0.257388539684699</v>
      </c>
      <c r="CM33" s="26" t="n">
        <f aca="false">IF($CL33="","",Setup!$B$32*$CL33)</f>
        <v>0.514777079369398</v>
      </c>
      <c r="CN33" s="26" t="n">
        <f aca="false">IF(OR($AE33="",Fits!$B$62&lt;3,Fits!$B$153="",Fits!$B$154="",Fits!$B$154=0,Fits!$B$156=""),"",SQRT((Fits!$B$156*Fits!$B$63)^2+SUMPRODUCT((Fits!$J$183:$J$195*(Fits!$B$183:$B$195/Fits!$B$62+Fits!$H$183:$H$195*($AE33-Fits!$B$153)/Fits!$B$154))^2)+SUMPRODUCT((Fits!$G$183:$G$195*(($AE33-Fits!$B$153)*Fits!$I$183:$I$195/Fits!$B$154-Fits!$B$183:$B$195*Fits!$B$63/Fits!$B$62))^2)))</f>
        <v>0.0380717124986341</v>
      </c>
      <c r="CO33" s="26" t="n">
        <f aca="false">IF($CN33="","",Setup!$B$32*$CN33)</f>
        <v>0.0761434249972683</v>
      </c>
      <c r="CP33" s="9" t="n">
        <f aca="false">IF(OR(NOT(ISNUMBER($BJ33)),$EK33=1),$CP32,IF($BJ33&lt;=Setup!$B$26,$CP32+1,0))</f>
        <v>2</v>
      </c>
      <c r="CQ33" s="9" t="n">
        <f aca="false">IF($BT33="","",$A33)</f>
        <v>28</v>
      </c>
      <c r="CR33" s="9" t="n">
        <f aca="false">IF($BW33="","",$A33)</f>
        <v>28</v>
      </c>
      <c r="CS33" s="9" t="n">
        <f aca="false">IF($B33="","",IF(Setup!$A$37="",0,IF(ISNUMBER(SEARCH(Setup!$A$37,$B33)),37,0)))</f>
        <v>0</v>
      </c>
      <c r="CT33" s="9" t="n">
        <f aca="false">IF($B33="","",IF(Setup!$A$38="",0,IF(ISNUMBER(SEARCH(Setup!$A$38,$B33)),38,0)))</f>
        <v>0</v>
      </c>
      <c r="CU33" s="9" t="n">
        <f aca="false">IF($B33="","",IF(Setup!$A$39="",0,IF(ISNUMBER(SEARCH(Setup!$A$39,$B33)),39,0)))</f>
        <v>0</v>
      </c>
      <c r="CV33" s="9" t="n">
        <f aca="false">IF($B33="","",IF(Setup!$A$40="",0,IF(ISNUMBER(SEARCH(Setup!$A$40,$B33)),40,0)))</f>
        <v>0</v>
      </c>
      <c r="CW33" s="9" t="n">
        <f aca="false">IF($B33="","",IF(Setup!$A$41="",0,IF(ISNUMBER(SEARCH(Setup!$A$41,$B33)),41,0)))</f>
        <v>0</v>
      </c>
      <c r="CX33" s="9" t="n">
        <f aca="false">IF($B33="","",IF(Setup!$A$42="",0,IF(ISNUMBER(SEARCH(Setup!$A$42,$B33)),42,0)))</f>
        <v>0</v>
      </c>
      <c r="CY33" s="9" t="n">
        <f aca="false">IF($B33="","",IF(Setup!$A$43="",0,IF(ISNUMBER(SEARCH(Setup!$A$43,$B33)),43,0)))</f>
        <v>0</v>
      </c>
      <c r="CZ33" s="9" t="n">
        <f aca="false">IF($B33="","",IF(Setup!$A$44="",0,IF(ISNUMBER(SEARCH(Setup!$A$44,$B33)),44,0)))</f>
        <v>0</v>
      </c>
      <c r="DA33" s="9" t="n">
        <f aca="false">IF($B33="","",IF(Setup!$A$45="",0,IF(ISNUMBER(SEARCH(Setup!$A$45,$B33)),45,0)))</f>
        <v>0</v>
      </c>
      <c r="DB33" s="9" t="n">
        <f aca="false">IF($B33="","",IF(Setup!$A$46="",0,IF(ISNUMBER(SEARCH(Setup!$A$46,$B33)),46,0)))</f>
        <v>0</v>
      </c>
      <c r="DC33" s="9" t="n">
        <f aca="false">IF($B33="","",IF(Setup!$A$47="",0,IF(ISNUMBER(SEARCH(Setup!$A$47,$B33)),47,0)))</f>
        <v>0</v>
      </c>
      <c r="DD33" s="9" t="n">
        <f aca="false">IF($B33="","",IF(Setup!$A$48="",0,IF(ISNUMBER(SEARCH(Setup!$A$48,$B33)),48,0)))</f>
        <v>0</v>
      </c>
      <c r="DE33" s="9" t="n">
        <f aca="false">IF($B33="","",IF(Setup!$A$49="",0,IF(ISNUMBER(SEARCH(Setup!$A$49,$B33)),49,0)))</f>
        <v>0</v>
      </c>
      <c r="DF33" s="9" t="n">
        <f aca="false">IF($B33="",NA(),$A33)</f>
        <v>28</v>
      </c>
      <c r="DG33" s="22" t="n">
        <f aca="false">IF($BI33="",NA(),$BI33)</f>
        <v>24.1</v>
      </c>
      <c r="DH33" s="22" t="n">
        <f aca="false">IF($N33="",NA(),$N33)</f>
        <v>25.3</v>
      </c>
      <c r="DI33" s="9" t="e">
        <f aca="false">IF(AND($D33="Drift",$N33&lt;&gt;""),$N33,NA())</f>
        <v>#N/A</v>
      </c>
      <c r="DJ33" s="9" t="str">
        <f aca="false">IF(AND($D33="Drift",$N33&lt;&gt;""),$N33,"")</f>
        <v/>
      </c>
      <c r="DK33" s="9" t="str">
        <f aca="false">IF($DJ33="","",$A33)</f>
        <v/>
      </c>
      <c r="DL33" s="9" t="e">
        <f aca="false">IF($AN33="",NA(),$AM33)</f>
        <v>#N/A</v>
      </c>
      <c r="DM33" s="9" t="e">
        <f aca="false">IF($AN33="",NA(),$AN33)</f>
        <v>#N/A</v>
      </c>
      <c r="DN33" s="24" t="n">
        <f aca="false">IF(AND($D33="Sample",$L33&lt;&gt;""),$L33,NA())</f>
        <v>22.944</v>
      </c>
      <c r="DO33" s="24" t="n">
        <f aca="false">IF(AND($D33="Sample",$L33&lt;&gt;"",Fits!$B$98&lt;&gt;""),Fits!$B$98,NA())</f>
        <v>-6.0577</v>
      </c>
      <c r="DP33" s="9" t="e">
        <f aca="false">IF($AS33="",NA(),$AS33)</f>
        <v>#N/A</v>
      </c>
      <c r="DQ33" s="9" t="e">
        <f aca="false">IF(AND($D33="Drift",$AS33="",$X33&lt;&gt;""),$X33,NA())</f>
        <v>#N/A</v>
      </c>
      <c r="DR33" s="9" t="e">
        <f aca="false">IF(AND($D33="Drift",$Z33&lt;&gt;""),$Z33,NA())</f>
        <v>#N/A</v>
      </c>
      <c r="DS33" s="25" t="n">
        <f aca="false">IF(AND(OR($D33="Sample",$D33="Check"),$AA33&lt;&gt;""),$AA33,NA())</f>
        <v>-5.48661805096889</v>
      </c>
      <c r="DT33" s="25" t="n">
        <f aca="false">IF(OR($B33="",Fits!$B$138=""),NA(),Fits!$B$138)</f>
        <v>1.76</v>
      </c>
      <c r="DU33" s="25" t="n">
        <f aca="false">IF(OR($B33="",Fits!$B$139=""),NA(),Fits!$B$139)</f>
        <v>20.68</v>
      </c>
      <c r="DV33" s="24" t="n">
        <f aca="false">IF($BT33="",NA(),$BT33)</f>
        <v>-1.275</v>
      </c>
      <c r="DW33" s="9" t="e">
        <f aca="false">IF($AP33="",NA(),$AO33)</f>
        <v>#N/A</v>
      </c>
      <c r="DX33" s="9" t="e">
        <f aca="false">IF($AP33="",NA(),$AP33)</f>
        <v>#N/A</v>
      </c>
      <c r="DY33" s="24" t="n">
        <f aca="false">IF(AND($D33="Sample",$P33&lt;&gt;""),$P33,NA())</f>
        <v>71.395</v>
      </c>
      <c r="DZ33" s="24" t="n">
        <f aca="false">IF(AND($D33="Sample",$P33&lt;&gt;"",Fits!$B$105&lt;&gt;""),Fits!$B$105,NA())</f>
        <v>-9.717</v>
      </c>
      <c r="EA33" s="9" t="e">
        <f aca="false">IF($AT33="",NA(),$AT33)</f>
        <v>#N/A</v>
      </c>
      <c r="EB33" s="9" t="e">
        <f aca="false">IF(AND($D33="Drift",$AT33="",$AC33&lt;&gt;""),$AC33,NA())</f>
        <v>#N/A</v>
      </c>
      <c r="EC33" s="9" t="e">
        <f aca="false">IF(AND($D33="Drift",$AE33&lt;&gt;""),$AE33,NA())</f>
        <v>#N/A</v>
      </c>
      <c r="ED33" s="25" t="n">
        <f aca="false">IF(AND(OR($D33="Sample",$D33="Check"),$AF33&lt;&gt;""),$AF33,NA())</f>
        <v>-26.3981706510412</v>
      </c>
      <c r="EE33" s="25" t="n">
        <f aca="false">IF(OR($B33="",Fits!$B$158=""),NA(),Fits!$B$158)</f>
        <v>-40.81</v>
      </c>
      <c r="EF33" s="25" t="n">
        <f aca="false">IF(OR($B33="",Fits!$B$159=""),NA(),Fits!$B$159)</f>
        <v>-20.29</v>
      </c>
      <c r="EG33" s="24" t="n">
        <f aca="false">IF($BW33="",NA(),$BW33)</f>
        <v>-25.399</v>
      </c>
      <c r="EH33" s="9" t="e">
        <f aca="false">IF(AND($EN33=1,ISNUMBER($N33)),$N33,NA())</f>
        <v>#N/A</v>
      </c>
      <c r="EI33" s="9" t="n">
        <f aca="false">IF($B33="","",$A33)</f>
        <v>28</v>
      </c>
      <c r="EJ33" s="9" t="n">
        <f aca="false">IF(OR(AND(ISNUMBER($L33),Fits!$B$97&gt;0,$L33&gt;Fits!$B$97),AND(ISNUMBER($P33),Fits!$B$104&gt;0,$P33&gt;Fits!$B$104)),1,0)</f>
        <v>0</v>
      </c>
      <c r="EK33" s="9" t="n">
        <f aca="false">IF(OR($EJ32=1,$EJ31=1),1,0)</f>
        <v>0</v>
      </c>
      <c r="EL33" s="22" t="n">
        <f aca="false">IF(AND($EK33=0,ISNUMBER($N33)),$N33,$EL32)</f>
        <v>25.3</v>
      </c>
      <c r="EM33" s="9" t="str">
        <f aca="false">IF(AND($EK33=1,ISNUMBER($N33),ISNUMBER($EL33)),$N33-$EL33,"")</f>
        <v/>
      </c>
      <c r="EN33" s="9" t="n">
        <f aca="false">IF(Setup!$B$28="",0,IF(ISNUMBER($EM33),IF($EM33&gt;Setup!$B$28,1,0),0))</f>
        <v>0</v>
      </c>
      <c r="EO33" s="9" t="str">
        <f aca="false">IF($EN33=1,COUNTIF($EN$6:$EN33,1),"")</f>
        <v/>
      </c>
      <c r="EP33" s="9" t="n">
        <f aca="false">IF(AND($EJ32=1,OR($D33="Sample",$D33="Check")),1,0)</f>
        <v>0</v>
      </c>
      <c r="EQ33" s="9" t="str">
        <f aca="false">IF(ISNUMBER($BI33),IF(COUNT($BI$6:$BI33)&lt;=5,$BI33,""),"")</f>
        <v/>
      </c>
      <c r="ER33" s="9" t="n">
        <f aca="false">IF(OR(NOT(ISNUMBER($BJ33)),$EK33=1),$ER32,IF($BJ33&lt;=Setup!$B$26,IF($CP32=0,$A33,$ER32),""))</f>
        <v>27</v>
      </c>
    </row>
    <row r="34" customFormat="false" ht="15" hidden="false" customHeight="false" outlineLevel="0" collapsed="false">
      <c r="A34" s="8" t="n">
        <v>29</v>
      </c>
      <c r="B34" s="8" t="str">
        <f aca="false">IFERROR(INDEX(Raw!$B$2:$B$1001,MATCH($A34,Raw!$A$2:$A$1001,0)),"")</f>
        <v>Random</v>
      </c>
      <c r="C34" s="9" t="n">
        <f aca="false">IF($B34="","",MAX($CS34:$DE34))</f>
        <v>0</v>
      </c>
      <c r="D34" s="8" t="str">
        <f aca="false">IF($B34="","",IF($C34=0,"Sample",INDEX(Setup!$B$37:$B$49,$C34-36)))</f>
        <v>Sample</v>
      </c>
      <c r="E34" s="16" t="str">
        <f aca="false">IF($B34="","",IFERROR(IF(INDEX(Raw!$E$2:$E$1001,MATCH($A34,Raw!$A$2:$A$1001,0))=0,"",INDEX(Raw!$E$2:$E$1001,MATCH($A34,Raw!$A$2:$A$1001,0))),""))</f>
        <v/>
      </c>
      <c r="F34" s="18"/>
      <c r="G34" s="16" t="str">
        <f aca="false">IF($B34="","",IF($F34&lt;&gt;"",$F34,IF($E34="","",$E34)))</f>
        <v/>
      </c>
      <c r="H34" s="9" t="n">
        <f aca="false">IF($B34="","",SUMPRODUCT(MAX((Raw!$A$2:$A$1001=$A34)*(Raw!$R$2:$R$1001="N")*Raw!$D$2:$D$1001)))</f>
        <v>3</v>
      </c>
      <c r="I34" s="9" t="str">
        <f aca="false">IF(OR($H34="",$H34=0),"",$A34&amp;"|N|"&amp;$H34)</f>
        <v>29|N|3</v>
      </c>
      <c r="J34" s="9" t="n">
        <f aca="false">IF($B34="","",SUMPRODUCT(MIN((Raw!$A$2:$A$1001=$A34)*(Raw!$R$2:$R$1001="C")*Raw!$D$2:$D$1001+(1-(Raw!$A$2:$A$1001=$A34)*(Raw!$R$2:$R$1001="C"))*9999)))</f>
        <v>4</v>
      </c>
      <c r="K34" s="9" t="str">
        <f aca="false">IF(OR($J34="",$J34=0,$J34=9999),"",$A34&amp;"|C|"&amp;$J34)</f>
        <v>29|C|4</v>
      </c>
      <c r="L34" s="16" t="n">
        <f aca="false">IF($I34="","",IF(INDEX(Raw!$I$2:$I$1001,MATCH($I34,Raw!$S$2:$S$1001,0))&lt;&gt;0,"",INDEX(Raw!$H$2:$H$1001,MATCH($I34,Raw!$S$2:$S$1001,0))))</f>
        <v>50.397</v>
      </c>
      <c r="M34" s="19" t="n">
        <f aca="false">IF($I34="","",IF(INDEX(Raw!$I$2:$I$1001,MATCH($I34,Raw!$S$2:$S$1001,0))&lt;&gt;0,"",INDEX(Raw!$F$2:$F$1001,MATCH($I34,Raw!$S$2:$S$1001,0))))</f>
        <v>3000</v>
      </c>
      <c r="N34" s="20" t="n">
        <f aca="false">IF($I34="","",IF(INDEX(Raw!$I$2:$I$1001,MATCH($I34,Raw!$S$2:$S$1001,0))&lt;&gt;0,"",INDEX(Raw!$G$2:$G$1001,MATCH($I34,Raw!$S$2:$S$1001,0))))</f>
        <v>25.1</v>
      </c>
      <c r="O34" s="16" t="n">
        <f aca="false">IF($I34="","",IF(INDEX(Raw!$I$2:$I$1001,MATCH($I34,Raw!$S$2:$S$1001,0))&lt;&gt;0,"",INDEX(Raw!$N$2:$N$1001,MATCH($I34,Raw!$S$2:$S$1001,0))))</f>
        <v>-5.694</v>
      </c>
      <c r="P34" s="16" t="n">
        <f aca="false">IF($K34="","",IF(INDEX(Raw!$I$2:$I$1001,MATCH($K34,Raw!$S$2:$S$1001,0))&lt;&gt;0,"",INDEX(Raw!$K$2:$K$1001,MATCH($K34,Raw!$S$2:$S$1001,0))))</f>
        <v>240.674</v>
      </c>
      <c r="Q34" s="19" t="n">
        <f aca="false">IF($K34="","",IF(INDEX(Raw!$I$2:$I$1001,MATCH($K34,Raw!$S$2:$S$1001,0))&lt;&gt;0,"",INDEX(Raw!$J$2:$J$1001,MATCH($K34,Raw!$S$2:$S$1001,0))))</f>
        <v>10125</v>
      </c>
      <c r="R34" s="16" t="n">
        <f aca="false">IF($K34="","",IF(INDEX(Raw!$I$2:$I$1001,MATCH($K34,Raw!$S$2:$S$1001,0))&lt;&gt;0,"",INDEX(Raw!$O$2:$O$1001,MATCH($K34,Raw!$S$2:$S$1001,0))))</f>
        <v>-9.519</v>
      </c>
      <c r="S34" s="21" t="str">
        <f aca="false">IF($B34="","",IF($C34=0,"",IF(INDEX(Setup!$D$37:$D$49,$C34-36)="","",INDEX(Setup!$D$37:$D$49,$C34-36))))</f>
        <v/>
      </c>
      <c r="T34" s="21" t="str">
        <f aca="false">IF($B34="","",IF($C34=0,"",IF(INDEX(Setup!$C$37:$C$49,$C34-36)="","",INDEX(Setup!$C$37:$C$49,$C34-36))))</f>
        <v/>
      </c>
      <c r="U34" s="21" t="str">
        <f aca="false">IF($B34="","",IF($C34=0,"",IF(INDEX(Setup!$F$37:$F$49,$C34-36)="","",INDEX(Setup!$F$37:$F$49,$C34-36))))</f>
        <v/>
      </c>
      <c r="V34" s="21" t="str">
        <f aca="false">IF($B34="","",IF($C34=0,"",IF(INDEX(Setup!$E$37:$E$49,$C34-36)="","",INDEX(Setup!$E$37:$E$49,$C34-36))))</f>
        <v/>
      </c>
      <c r="W34" s="16" t="n">
        <f aca="false">IF($O34="","",IF(OR(Fits!$C$5&lt;&gt;"Yes",$D34="Blank",$L34&lt;=Fits!$B$6),$O34,($L34*$O34-Fits!$B$6*Fits!$B$7)/($L34-Fits!$B$6)))</f>
        <v>-5.694</v>
      </c>
      <c r="X34" s="16" t="n">
        <f aca="false">IF($W34="","",$W34-Fits!$B$20*($L34-Fits!$B$16))</f>
        <v>-5.694</v>
      </c>
      <c r="Y34" s="22" t="n">
        <f aca="false">IF($W34="","",IF(OR(Fits!$B$38="Row",$BI34=""),$A34,$BI34))</f>
        <v>29</v>
      </c>
      <c r="Z34" s="16" t="n">
        <f aca="false">IF($X34="","",$X34-Fits!$B$39*($Y34-Fits!$B$40))</f>
        <v>-5.76436689997357</v>
      </c>
      <c r="AA34" s="23" t="n">
        <f aca="false">IF(OR($Z34="",Fits!$B$55&lt;2),"",Fits!$B$56*$Z34+Fits!$B$57)</f>
        <v>-4.89041694600097</v>
      </c>
      <c r="AB34" s="16" t="n">
        <f aca="false">IF($R34="","",IF(OR(Fits!$C$9&lt;&gt;"Yes",$D34="Blank",$P34&lt;=Fits!$B$10),$R34,($P34*$R34-Fits!$B$10*Fits!$B$11)/($P34-Fits!$B$10)))</f>
        <v>-9.519</v>
      </c>
      <c r="AC34" s="16" t="n">
        <f aca="false">IF($AB34="","",$AB34-Fits!$B$28*($P34-Fits!$B$24))</f>
        <v>-9.71499232165845</v>
      </c>
      <c r="AD34" s="22" t="n">
        <f aca="false">IF($AB34="","",IF(OR(Fits!$B$50="Row",$BI34=""),$A34,$BI34))</f>
        <v>29</v>
      </c>
      <c r="AE34" s="16" t="n">
        <f aca="false">IF($AC34="","",$AC34-Fits!$B$51*($AD34-Fits!$B$52))</f>
        <v>-9.70260344742697</v>
      </c>
      <c r="AF34" s="23" t="n">
        <f aca="false">IF(OR($AE34="",Fits!$B$62&lt;2),"",Fits!$B$63*$AE34+Fits!$B$64)</f>
        <v>-26.8321419235809</v>
      </c>
      <c r="AG34" s="21" t="n">
        <f aca="false">IF(OR($L34="",Fits!$B$69&lt;3),"",($L34-Fits!$B$71)/Fits!$B$70)</f>
        <v>79.9724105672639</v>
      </c>
      <c r="AH34" s="21" t="n">
        <f aca="false">IF(OR($P34="",Fits!$B$75&lt;3),"",($P34-Fits!$B$77)/Fits!$B$76)</f>
        <v>544.190918727061</v>
      </c>
      <c r="AI34" s="23" t="str">
        <f aca="false">IF(OR($AG34="",$G34="",$G34=0),"",$AG34/($G34*1000)*100)</f>
        <v/>
      </c>
      <c r="AJ34" s="23" t="str">
        <f aca="false">IF(OR($AH34="",$G34="",$G34=0),"",$AH34/($G34*1000)*100)</f>
        <v/>
      </c>
      <c r="AK34" s="23" t="n">
        <f aca="false">IF(OR($AG34="",$AH34="",$AG34&lt;=0),"",($AH34/Setup!$B$52)/($AG34/Setup!$B$53))</f>
        <v>7.93555059423946</v>
      </c>
      <c r="AL34" s="23" t="n">
        <f aca="false">IF(OR($AG34="",$AH34="",$AG34&lt;=0),"",$AH34/$AG34)</f>
        <v>6.8047332182059</v>
      </c>
      <c r="AM34" s="9" t="str">
        <f aca="false">IF($D34="Linearity",IF($L34="","",$L34),"")</f>
        <v/>
      </c>
      <c r="AN34" s="9" t="str">
        <f aca="false">IF($D34="Linearity",IF($W34="","",$W34),"")</f>
        <v/>
      </c>
      <c r="AO34" s="9" t="str">
        <f aca="false">IF($D34="Linearity",IF($P34="","",$P34),"")</f>
        <v/>
      </c>
      <c r="AP34" s="9" t="str">
        <f aca="false">IF($D34="Linearity",IF($AB34="","",$AB34),"")</f>
        <v/>
      </c>
      <c r="AQ34" s="9" t="str">
        <f aca="false">IF($D34="Drift",IF($A34&lt;IF(Setup!$B$14="",0,Setup!$B$14),"",$A34),"")</f>
        <v/>
      </c>
      <c r="AR34" s="9" t="str">
        <f aca="false">IF($D34="Drift",IF($A34&lt;IF(Setup!$B$14="",0,Setup!$B$14),"",IF($BI34="","",$BI34)),"")</f>
        <v/>
      </c>
      <c r="AS34" s="9" t="str">
        <f aca="false">IF($D34="Drift",IF($A34&lt;IF(Setup!$B$14="",0,Setup!$B$14),"",IF(OR($X34="",$BX34=1),"",$X34)),"")</f>
        <v/>
      </c>
      <c r="AT34" s="9" t="str">
        <f aca="false">IF($D34="Drift",IF($A34&lt;IF(Setup!$B$14="",0,Setup!$B$14),"",IF(OR($AC34="",$BY34=1),"",$AC34)),"")</f>
        <v/>
      </c>
      <c r="AU34" s="9" t="str">
        <f aca="false">IF($D34="Anchor",IF(OR($Z34="",$S34=""),"",$Z34),"")</f>
        <v/>
      </c>
      <c r="AV34" s="9" t="str">
        <f aca="false">IF($D34="Anchor",IF(OR($Z34="",$S34=""),"",$S34),"")</f>
        <v/>
      </c>
      <c r="AW34" s="9" t="str">
        <f aca="false">IF($D34="Anchor",IF(OR($AE34="",$T34=""),"",$AE34),"")</f>
        <v/>
      </c>
      <c r="AX34" s="9" t="str">
        <f aca="false">IF($D34="Anchor",IF(OR($AE34="",$T34=""),"",$T34),"")</f>
        <v/>
      </c>
      <c r="AY34" s="9" t="str">
        <f aca="false">IF(OR($D34="Blank",$D34="Exclude",$D34="Sample",$D34="",$G34="",$U34="",$L34=""),"",$G34*1000*$U34/100)</f>
        <v/>
      </c>
      <c r="AZ34" s="9" t="str">
        <f aca="false">IF($AY34="","",$L34)</f>
        <v/>
      </c>
      <c r="BA34" s="9" t="str">
        <f aca="false">IF(OR($D34="Blank",$D34="Exclude",$D34="Sample",$D34="",$G34="",$V34="",$P34=""),"",$G34*1000*$V34/100)</f>
        <v/>
      </c>
      <c r="BB34" s="9" t="str">
        <f aca="false">IF($BA34="","",$P34)</f>
        <v/>
      </c>
      <c r="BC34" s="9" t="str">
        <f aca="false">IF(AND($D34="Blank",$L34&lt;&gt;""),$O34,"")</f>
        <v/>
      </c>
      <c r="BD34" s="9" t="str">
        <f aca="false">IF($BC34="","",$L34)</f>
        <v/>
      </c>
      <c r="BE34" s="9" t="str">
        <f aca="false">IF(AND($D34="Blank",$P34&lt;&gt;""),$R34,"")</f>
        <v/>
      </c>
      <c r="BF34" s="9" t="str">
        <f aca="false">IF($BE34="","",$P34)</f>
        <v/>
      </c>
      <c r="BG34" s="9" t="str">
        <f aca="false">IF(AND($D34="Drift",$BX34&lt;&gt;1),IF($AA34="","",$AA34),"")</f>
        <v/>
      </c>
      <c r="BH34" s="9" t="str">
        <f aca="false">IF(AND($D34="Drift",$BY34&lt;&gt;1),IF($AF34="","",$AF34),"")</f>
        <v/>
      </c>
      <c r="BI34" s="20" t="n">
        <f aca="false">IF($B34="","",IFERROR(INDEX(Raw!$G$2:$G$1001,MATCH($A34&amp;"|N|"&amp;SUMPRODUCT(MAX((Raw!$A$2:$A$1001=$A34)*(Raw!$R$2:$R$1001="N")*(Raw!$I$2:$I$1001=1)*Raw!$D$2:$D$1001)),Raw!$S$2:$S$1001,0)),""))</f>
        <v>24.1</v>
      </c>
      <c r="BJ34" s="21" t="n">
        <f aca="false">IF(OR($BI34="",Fits!$B$85&lt;=0),"",($BI34-Fits!$B$83)/Fits!$B$85)</f>
        <v>0.0900900900900901</v>
      </c>
      <c r="BK34" s="9" t="str">
        <f aca="false">IF($AS34="","",IF($A34&gt;=Fits!$B$86,"",$A34))</f>
        <v/>
      </c>
      <c r="BL34" s="9" t="str">
        <f aca="false">IF($BK34="","",$X34)</f>
        <v/>
      </c>
      <c r="BM34" s="9" t="str">
        <f aca="false">IF($AS34="","",IF($A34&lt;Fits!$B$86,"",$A34))</f>
        <v/>
      </c>
      <c r="BN34" s="9" t="str">
        <f aca="false">IF($BM34="","",$X34)</f>
        <v/>
      </c>
      <c r="BO34" s="9" t="str">
        <f aca="false">IF(AND($D34="Drift",$BX34&lt;&gt;1),IF($O34="","",$O34),"")</f>
        <v/>
      </c>
      <c r="BP34" s="9" t="str">
        <f aca="false">IF(AND($D34="Drift",$BX34&lt;&gt;1),IF($W34="","",$W34),"")</f>
        <v/>
      </c>
      <c r="BQ34" s="9" t="str">
        <f aca="false">IF(AND($D34="Drift",$BX34&lt;&gt;1),IF($X34="","",$X34),"")</f>
        <v/>
      </c>
      <c r="BR34" s="9" t="str">
        <f aca="false">IF(AND($D34="Drift",$BX34&lt;&gt;1),IF($Z34="","",$Z34),"")</f>
        <v/>
      </c>
      <c r="BS34" s="9" t="n">
        <f aca="false">IF(OR($B34="",$H34=""),"",SUMPRODUCT(MIN((Raw!$A$2:$A$1001=$A34)*(Raw!$R$2:$R$1001="N")*(Raw!$I$2:$I$1001=0)*(Raw!$D$2:$D$1001&lt;$H34)*Raw!$D$2:$D$1001+(1-(Raw!$A$2:$A$1001=$A34)*(Raw!$R$2:$R$1001="N")*(Raw!$I$2:$I$1001=0)*(Raw!$D$2:$D$1001&lt;$H34))*9999)))</f>
        <v>1</v>
      </c>
      <c r="BT34" s="16" t="n">
        <f aca="false">IF(OR($BS34="",$BS34=9999,$BS34=0),"",IFERROR(INDEX(Raw!$N$2:$N$1001,MATCH($A34&amp;"|N|"&amp;$BS34,Raw!$S$2:$S$1001,0)),""))</f>
        <v>-1.3</v>
      </c>
      <c r="BU34" s="9" t="n">
        <f aca="false">IF($B34="","",SUMPRODUCT(MIN((Raw!$A$2:$A$1001=$A34)*(Raw!$R$2:$R$1001="C")*(Raw!$I$2:$I$1001=1)*Raw!$D$2:$D$1001+(1-(Raw!$A$2:$A$1001=$A34)*(Raw!$R$2:$R$1001="C")*(Raw!$I$2:$I$1001=1))*9999)))</f>
        <v>5</v>
      </c>
      <c r="BV34" s="9" t="n">
        <f aca="false">IF(OR($BU34="",$BU34=9999),"",SUMPRODUCT(MIN((Raw!$A$2:$A$1001=$A34)*(Raw!$R$2:$R$1001="C")*(Raw!$I$2:$I$1001=0)*(Raw!$D$2:$D$1001&gt;$BU34)*Raw!$D$2:$D$1001+(1-(Raw!$A$2:$A$1001=$A34)*(Raw!$R$2:$R$1001="C")*(Raw!$I$2:$I$1001=0)*(Raw!$D$2:$D$1001&gt;$BU34))*9999)))</f>
        <v>6</v>
      </c>
      <c r="BW34" s="16" t="n">
        <f aca="false">IF(OR($BV34="",$BV34=9999,$BV34=0),"",IFERROR(INDEX(Raw!$O$2:$O$1001,MATCH($A34&amp;"|C|"&amp;$BV34,Raw!$S$2:$S$1001,0)),""))</f>
        <v>-25.35</v>
      </c>
      <c r="BX34" s="9" t="n">
        <f aca="false">IF($B34="","",IF(ISNUMBER(SEARCH(","&amp;$A34&amp;",",","&amp;SUBSTITUTE(Setup!$B$16," ","")&amp;",")),1,0))</f>
        <v>0</v>
      </c>
      <c r="BY34" s="9" t="n">
        <f aca="false">IF($B34="","",IF(ISNUMBER(SEARCH(","&amp;$A34&amp;",",","&amp;SUBSTITUTE(Setup!$B$17," ","")&amp;",")),1,0))</f>
        <v>0</v>
      </c>
      <c r="BZ34" s="22" t="str">
        <f aca="false">IF($AS34="","",IF(Fits!$B$38="Row",$AQ34,IF($AR34="","",$AR34)))</f>
        <v/>
      </c>
      <c r="CA34" s="22" t="str">
        <f aca="false">IF($AT34="","",IF(Fits!$B$50="Row",$AQ34,IF($AR34="","",$AR34)))</f>
        <v/>
      </c>
      <c r="CB34" s="20" t="str">
        <f aca="false">IF(OR($D34&lt;&gt;"Drift",$X34="",$A34&lt;IF(Setup!$B$14="",0,Setup!$B$14),Fits!$B$107&lt;3,Fits!$B$110="",Fits!$B$109=0,IF(Fits!$B$38="Row",$AQ34,$AR34)=""),"",IF($BX34=1,IF(OR(Fits!$B$111="",Fits!$B$111=0),"",($X34-(IF(Fits!$B$38="Row",Fits!$B$32,Fits!$B$35)*IF(Fits!$B$38="Row",$AQ34,$AR34)+Fits!$B$110))/(Fits!$B$111*SQRT(1+(1/Fits!$B$107+(IF(Fits!$B$38="Row",$AQ34,$AR34)-Fits!$B$108)^2/Fits!$B$109)))),IF(OR(Fits!$B$107&lt;4,(1/Fits!$B$107+(IF(Fits!$B$38="Row",$AQ34,$AR34)-Fits!$B$108)^2/Fits!$B$109)&gt;=1),"",IF((Fits!$B$116-($X34-(IF(Fits!$B$38="Row",Fits!$B$32,Fits!$B$35)*IF(Fits!$B$38="Row",$AQ34,$AR34)+Fits!$B$110))^2/(1-(1/Fits!$B$107+(IF(Fits!$B$38="Row",$AQ34,$AR34)-Fits!$B$108)^2/Fits!$B$109)))&lt;=0,"",($X34-(IF(Fits!$B$38="Row",Fits!$B$32,Fits!$B$35)*IF(Fits!$B$38="Row",$AQ34,$AR34)+Fits!$B$110))/(SQRT((Fits!$B$116-($X34-(IF(Fits!$B$38="Row",Fits!$B$32,Fits!$B$35)*IF(Fits!$B$38="Row",$AQ34,$AR34)+Fits!$B$110))^2/(1-(1/Fits!$B$107+(IF(Fits!$B$38="Row",$AQ34,$AR34)-Fits!$B$108)^2/Fits!$B$109)))/(Fits!$B$107-3))*SQRT(1-(1/Fits!$B$107+(IF(Fits!$B$38="Row",$AQ34,$AR34)-Fits!$B$108)^2/Fits!$B$109)))))))</f>
        <v/>
      </c>
      <c r="CC34" s="20" t="str">
        <f aca="false">IF(OR($D34&lt;&gt;"Drift",$AC34="",$A34&lt;IF(Setup!$B$14="",0,Setup!$B$14),Fits!$B$120&lt;3,Fits!$B$123="",Fits!$B$122=0,IF(Fits!$B$50="Row",$AQ34,$AR34)=""),"",IF($BY34=1,IF(OR(Fits!$B$124="",Fits!$B$124=0),"",($AC34-(IF(Fits!$B$50="Row",Fits!$B$44,Fits!$B$47)*IF(Fits!$B$50="Row",$AQ34,$AR34)+Fits!$B$123))/(Fits!$B$124*SQRT(1+(1/Fits!$B$120+(IF(Fits!$B$50="Row",$AQ34,$AR34)-Fits!$B$121)^2/Fits!$B$122)))),IF(OR(Fits!$B$120&lt;4,(1/Fits!$B$120+(IF(Fits!$B$50="Row",$AQ34,$AR34)-Fits!$B$121)^2/Fits!$B$122)&gt;=1),"",IF((Fits!$B$129-($AC34-(IF(Fits!$B$50="Row",Fits!$B$44,Fits!$B$47)*IF(Fits!$B$50="Row",$AQ34,$AR34)+Fits!$B$123))^2/(1-(1/Fits!$B$120+(IF(Fits!$B$50="Row",$AQ34,$AR34)-Fits!$B$121)^2/Fits!$B$122)))&lt;=0,"",($AC34-(IF(Fits!$B$50="Row",Fits!$B$44,Fits!$B$47)*IF(Fits!$B$50="Row",$AQ34,$AR34)+Fits!$B$123))/(SQRT((Fits!$B$129-($AC34-(IF(Fits!$B$50="Row",Fits!$B$44,Fits!$B$47)*IF(Fits!$B$50="Row",$AQ34,$AR34)+Fits!$B$123))^2/(1-(1/Fits!$B$120+(IF(Fits!$B$50="Row",$AQ34,$AR34)-Fits!$B$121)^2/Fits!$B$122)))/(Fits!$B$120-3))*SQRT(1-(1/Fits!$B$120+(IF(Fits!$B$50="Row",$AQ34,$AR34)-Fits!$B$121)^2/Fits!$B$122)))))))</f>
        <v/>
      </c>
      <c r="CD34" s="9" t="str">
        <f aca="false">IF($AU34="","",1)</f>
        <v/>
      </c>
      <c r="CE34" s="24" t="str">
        <f aca="false">IF($AU34="","",$AU34-Fits!$B$133)</f>
        <v/>
      </c>
      <c r="CF34" s="24" t="str">
        <f aca="false">IF($AU34="","",($AV34-(Fits!$B$56*$AU34+Fits!$B$57))-Fits!$B$56*($AU34-Fits!$B$133))</f>
        <v/>
      </c>
      <c r="CG34" s="25" t="str">
        <f aca="false">IF($AU34="","",$AU34^2)</f>
        <v/>
      </c>
      <c r="CH34" s="9" t="str">
        <f aca="false">IF($AW34="","",1)</f>
        <v/>
      </c>
      <c r="CI34" s="24" t="str">
        <f aca="false">IF($AW34="","",$AW34-Fits!$B$153)</f>
        <v/>
      </c>
      <c r="CJ34" s="24" t="str">
        <f aca="false">IF($AW34="","",($AX34-(Fits!$B$63*$AW34+Fits!$B$64))-Fits!$B$63*($AW34-Fits!$B$153))</f>
        <v/>
      </c>
      <c r="CK34" s="25" t="str">
        <f aca="false">IF($AW34="","",$AW34^2)</f>
        <v/>
      </c>
      <c r="CL34" s="26" t="n">
        <f aca="false">IF(OR($Z34="",Fits!$B$55&lt;3,Fits!$B$133="",Fits!$B$134="",Fits!$B$134=0,Fits!$B$136=""),"",SQRT((Fits!$B$136*Fits!$B$56)^2+SUMPRODUCT((Fits!$J$163:$J$175*(Fits!$B$163:$B$175/Fits!$B$55+Fits!$H$163:$H$175*($Z34-Fits!$B$133)/Fits!$B$134))^2)+SUMPRODUCT((Fits!$G$163:$G$175*(($Z34-Fits!$B$133)*Fits!$I$163:$I$175/Fits!$B$134-Fits!$B$163:$B$175*Fits!$B$56/Fits!$B$55))^2)))</f>
        <v>0.253907829737334</v>
      </c>
      <c r="CM34" s="26" t="n">
        <f aca="false">IF($CL34="","",Setup!$B$32*$CL34)</f>
        <v>0.507815659474667</v>
      </c>
      <c r="CN34" s="26" t="n">
        <f aca="false">IF(OR($AE34="",Fits!$B$62&lt;3,Fits!$B$153="",Fits!$B$154="",Fits!$B$154=0,Fits!$B$156=""),"",SQRT((Fits!$B$156*Fits!$B$63)^2+SUMPRODUCT((Fits!$J$183:$J$195*(Fits!$B$183:$B$195/Fits!$B$62+Fits!$H$183:$H$195*($AE34-Fits!$B$153)/Fits!$B$154))^2)+SUMPRODUCT((Fits!$G$183:$G$195*(($AE34-Fits!$B$153)*Fits!$I$183:$I$195/Fits!$B$154-Fits!$B$183:$B$195*Fits!$B$63/Fits!$B$62))^2)))</f>
        <v>0.0376982743166163</v>
      </c>
      <c r="CO34" s="26" t="n">
        <f aca="false">IF($CN34="","",Setup!$B$32*$CN34)</f>
        <v>0.0753965486332326</v>
      </c>
      <c r="CP34" s="9" t="n">
        <f aca="false">IF(OR(NOT(ISNUMBER($BJ34)),$EK34=1),$CP33,IF($BJ34&lt;=Setup!$B$26,$CP33+1,0))</f>
        <v>3</v>
      </c>
      <c r="CQ34" s="9" t="n">
        <f aca="false">IF($BT34="","",$A34)</f>
        <v>29</v>
      </c>
      <c r="CR34" s="9" t="n">
        <f aca="false">IF($BW34="","",$A34)</f>
        <v>29</v>
      </c>
      <c r="CS34" s="9" t="n">
        <f aca="false">IF($B34="","",IF(Setup!$A$37="",0,IF(ISNUMBER(SEARCH(Setup!$A$37,$B34)),37,0)))</f>
        <v>0</v>
      </c>
      <c r="CT34" s="9" t="n">
        <f aca="false">IF($B34="","",IF(Setup!$A$38="",0,IF(ISNUMBER(SEARCH(Setup!$A$38,$B34)),38,0)))</f>
        <v>0</v>
      </c>
      <c r="CU34" s="9" t="n">
        <f aca="false">IF($B34="","",IF(Setup!$A$39="",0,IF(ISNUMBER(SEARCH(Setup!$A$39,$B34)),39,0)))</f>
        <v>0</v>
      </c>
      <c r="CV34" s="9" t="n">
        <f aca="false">IF($B34="","",IF(Setup!$A$40="",0,IF(ISNUMBER(SEARCH(Setup!$A$40,$B34)),40,0)))</f>
        <v>0</v>
      </c>
      <c r="CW34" s="9" t="n">
        <f aca="false">IF($B34="","",IF(Setup!$A$41="",0,IF(ISNUMBER(SEARCH(Setup!$A$41,$B34)),41,0)))</f>
        <v>0</v>
      </c>
      <c r="CX34" s="9" t="n">
        <f aca="false">IF($B34="","",IF(Setup!$A$42="",0,IF(ISNUMBER(SEARCH(Setup!$A$42,$B34)),42,0)))</f>
        <v>0</v>
      </c>
      <c r="CY34" s="9" t="n">
        <f aca="false">IF($B34="","",IF(Setup!$A$43="",0,IF(ISNUMBER(SEARCH(Setup!$A$43,$B34)),43,0)))</f>
        <v>0</v>
      </c>
      <c r="CZ34" s="9" t="n">
        <f aca="false">IF($B34="","",IF(Setup!$A$44="",0,IF(ISNUMBER(SEARCH(Setup!$A$44,$B34)),44,0)))</f>
        <v>0</v>
      </c>
      <c r="DA34" s="9" t="n">
        <f aca="false">IF($B34="","",IF(Setup!$A$45="",0,IF(ISNUMBER(SEARCH(Setup!$A$45,$B34)),45,0)))</f>
        <v>0</v>
      </c>
      <c r="DB34" s="9" t="n">
        <f aca="false">IF($B34="","",IF(Setup!$A$46="",0,IF(ISNUMBER(SEARCH(Setup!$A$46,$B34)),46,0)))</f>
        <v>0</v>
      </c>
      <c r="DC34" s="9" t="n">
        <f aca="false">IF($B34="","",IF(Setup!$A$47="",0,IF(ISNUMBER(SEARCH(Setup!$A$47,$B34)),47,0)))</f>
        <v>0</v>
      </c>
      <c r="DD34" s="9" t="n">
        <f aca="false">IF($B34="","",IF(Setup!$A$48="",0,IF(ISNUMBER(SEARCH(Setup!$A$48,$B34)),48,0)))</f>
        <v>0</v>
      </c>
      <c r="DE34" s="9" t="n">
        <f aca="false">IF($B34="","",IF(Setup!$A$49="",0,IF(ISNUMBER(SEARCH(Setup!$A$49,$B34)),49,0)))</f>
        <v>0</v>
      </c>
      <c r="DF34" s="9" t="n">
        <f aca="false">IF($B34="",NA(),$A34)</f>
        <v>29</v>
      </c>
      <c r="DG34" s="22" t="n">
        <f aca="false">IF($BI34="",NA(),$BI34)</f>
        <v>24.1</v>
      </c>
      <c r="DH34" s="22" t="n">
        <f aca="false">IF($N34="",NA(),$N34)</f>
        <v>25.1</v>
      </c>
      <c r="DI34" s="9" t="e">
        <f aca="false">IF(AND($D34="Drift",$N34&lt;&gt;""),$N34,NA())</f>
        <v>#N/A</v>
      </c>
      <c r="DJ34" s="9" t="str">
        <f aca="false">IF(AND($D34="Drift",$N34&lt;&gt;""),$N34,"")</f>
        <v/>
      </c>
      <c r="DK34" s="9" t="str">
        <f aca="false">IF($DJ34="","",$A34)</f>
        <v/>
      </c>
      <c r="DL34" s="9" t="e">
        <f aca="false">IF($AN34="",NA(),$AM34)</f>
        <v>#N/A</v>
      </c>
      <c r="DM34" s="9" t="e">
        <f aca="false">IF($AN34="",NA(),$AN34)</f>
        <v>#N/A</v>
      </c>
      <c r="DN34" s="24" t="n">
        <f aca="false">IF(AND($D34="Sample",$L34&lt;&gt;""),$L34,NA())</f>
        <v>50.397</v>
      </c>
      <c r="DO34" s="24" t="n">
        <f aca="false">IF(AND($D34="Sample",$L34&lt;&gt;"",Fits!$B$98&lt;&gt;""),Fits!$B$98,NA())</f>
        <v>-6.0577</v>
      </c>
      <c r="DP34" s="9" t="e">
        <f aca="false">IF($AS34="",NA(),$AS34)</f>
        <v>#N/A</v>
      </c>
      <c r="DQ34" s="9" t="e">
        <f aca="false">IF(AND($D34="Drift",$AS34="",$X34&lt;&gt;""),$X34,NA())</f>
        <v>#N/A</v>
      </c>
      <c r="DR34" s="9" t="e">
        <f aca="false">IF(AND($D34="Drift",$Z34&lt;&gt;""),$Z34,NA())</f>
        <v>#N/A</v>
      </c>
      <c r="DS34" s="25" t="n">
        <f aca="false">IF(AND(OR($D34="Sample",$D34="Check"),$AA34&lt;&gt;""),$AA34,NA())</f>
        <v>-4.89041694600097</v>
      </c>
      <c r="DT34" s="25" t="n">
        <f aca="false">IF(OR($B34="",Fits!$B$138=""),NA(),Fits!$B$138)</f>
        <v>1.76</v>
      </c>
      <c r="DU34" s="25" t="n">
        <f aca="false">IF(OR($B34="",Fits!$B$139=""),NA(),Fits!$B$139)</f>
        <v>20.68</v>
      </c>
      <c r="DV34" s="24" t="n">
        <f aca="false">IF($BT34="",NA(),$BT34)</f>
        <v>-1.3</v>
      </c>
      <c r="DW34" s="9" t="e">
        <f aca="false">IF($AP34="",NA(),$AO34)</f>
        <v>#N/A</v>
      </c>
      <c r="DX34" s="9" t="e">
        <f aca="false">IF($AP34="",NA(),$AP34)</f>
        <v>#N/A</v>
      </c>
      <c r="DY34" s="24" t="n">
        <f aca="false">IF(AND($D34="Sample",$P34&lt;&gt;""),$P34,NA())</f>
        <v>240.674</v>
      </c>
      <c r="DZ34" s="24" t="n">
        <f aca="false">IF(AND($D34="Sample",$P34&lt;&gt;"",Fits!$B$105&lt;&gt;""),Fits!$B$105,NA())</f>
        <v>-9.717</v>
      </c>
      <c r="EA34" s="9" t="e">
        <f aca="false">IF($AT34="",NA(),$AT34)</f>
        <v>#N/A</v>
      </c>
      <c r="EB34" s="9" t="e">
        <f aca="false">IF(AND($D34="Drift",$AT34="",$AC34&lt;&gt;""),$AC34,NA())</f>
        <v>#N/A</v>
      </c>
      <c r="EC34" s="9" t="e">
        <f aca="false">IF(AND($D34="Drift",$AE34&lt;&gt;""),$AE34,NA())</f>
        <v>#N/A</v>
      </c>
      <c r="ED34" s="25" t="n">
        <f aca="false">IF(AND(OR($D34="Sample",$D34="Check"),$AF34&lt;&gt;""),$AF34,NA())</f>
        <v>-26.8321419235809</v>
      </c>
      <c r="EE34" s="25" t="n">
        <f aca="false">IF(OR($B34="",Fits!$B$158=""),NA(),Fits!$B$158)</f>
        <v>-40.81</v>
      </c>
      <c r="EF34" s="25" t="n">
        <f aca="false">IF(OR($B34="",Fits!$B$159=""),NA(),Fits!$B$159)</f>
        <v>-20.29</v>
      </c>
      <c r="EG34" s="24" t="n">
        <f aca="false">IF($BW34="",NA(),$BW34)</f>
        <v>-25.35</v>
      </c>
      <c r="EH34" s="9" t="e">
        <f aca="false">IF(AND($EN34=1,ISNUMBER($N34)),$N34,NA())</f>
        <v>#N/A</v>
      </c>
      <c r="EI34" s="9" t="n">
        <f aca="false">IF($B34="","",$A34)</f>
        <v>29</v>
      </c>
      <c r="EJ34" s="9" t="n">
        <f aca="false">IF(OR(AND(ISNUMBER($L34),Fits!$B$97&gt;0,$L34&gt;Fits!$B$97),AND(ISNUMBER($P34),Fits!$B$104&gt;0,$P34&gt;Fits!$B$104)),1,0)</f>
        <v>1</v>
      </c>
      <c r="EK34" s="9" t="n">
        <f aca="false">IF(OR($EJ33=1,$EJ32=1),1,0)</f>
        <v>0</v>
      </c>
      <c r="EL34" s="22" t="n">
        <f aca="false">IF(AND($EK34=0,ISNUMBER($N34)),$N34,$EL33)</f>
        <v>25.1</v>
      </c>
      <c r="EM34" s="9" t="str">
        <f aca="false">IF(AND($EK34=1,ISNUMBER($N34),ISNUMBER($EL34)),$N34-$EL34,"")</f>
        <v/>
      </c>
      <c r="EN34" s="9" t="n">
        <f aca="false">IF(Setup!$B$28="",0,IF(ISNUMBER($EM34),IF($EM34&gt;Setup!$B$28,1,0),0))</f>
        <v>0</v>
      </c>
      <c r="EO34" s="9" t="str">
        <f aca="false">IF($EN34=1,COUNTIF($EN$6:$EN34,1),"")</f>
        <v/>
      </c>
      <c r="EP34" s="9" t="n">
        <f aca="false">IF(AND($EJ33=1,OR($D34="Sample",$D34="Check")),1,0)</f>
        <v>0</v>
      </c>
      <c r="EQ34" s="9" t="str">
        <f aca="false">IF(ISNUMBER($BI34),IF(COUNT($BI$6:$BI34)&lt;=5,$BI34,""),"")</f>
        <v/>
      </c>
      <c r="ER34" s="9" t="n">
        <f aca="false">IF(OR(NOT(ISNUMBER($BJ34)),$EK34=1),$ER33,IF($BJ34&lt;=Setup!$B$26,IF($CP33=0,$A34,$ER33),""))</f>
        <v>27</v>
      </c>
    </row>
    <row r="35" customFormat="false" ht="15" hidden="false" customHeight="false" outlineLevel="0" collapsed="false">
      <c r="A35" s="8" t="n">
        <v>30</v>
      </c>
      <c r="B35" s="8" t="str">
        <f aca="false">IFERROR(INDEX(Raw!$B$2:$B$1001,MATCH($A35,Raw!$A$2:$A$1001,0)),"")</f>
        <v>Ace Drift6</v>
      </c>
      <c r="C35" s="9" t="n">
        <f aca="false">IF($B35="","",MAX($CS35:$DE35))</f>
        <v>43</v>
      </c>
      <c r="D35" s="8" t="str">
        <f aca="false">IF($B35="","",IF($C35=0,"Sample",INDEX(Setup!$B$37:$B$49,$C35-36)))</f>
        <v>Drift</v>
      </c>
      <c r="E35" s="16" t="n">
        <f aca="false">IF($B35="","",IFERROR(IF(INDEX(Raw!$E$2:$E$1001,MATCH($A35,Raw!$A$2:$A$1001,0))=0,"",INDEX(Raw!$E$2:$E$1001,MATCH($A35,Raw!$A$2:$A$1001,0))),""))</f>
        <v>0.418</v>
      </c>
      <c r="F35" s="18"/>
      <c r="G35" s="16" t="n">
        <f aca="false">IF($B35="","",IF($F35&lt;&gt;"",$F35,IF($E35="","",$E35)))</f>
        <v>0.418</v>
      </c>
      <c r="H35" s="9" t="n">
        <f aca="false">IF($B35="","",SUMPRODUCT(MAX((Raw!$A$2:$A$1001=$A35)*(Raw!$R$2:$R$1001="N")*Raw!$D$2:$D$1001)))</f>
        <v>3</v>
      </c>
      <c r="I35" s="9" t="str">
        <f aca="false">IF(OR($H35="",$H35=0),"",$A35&amp;"|N|"&amp;$H35)</f>
        <v>30|N|3</v>
      </c>
      <c r="J35" s="9" t="n">
        <f aca="false">IF($B35="","",SUMPRODUCT(MIN((Raw!$A$2:$A$1001=$A35)*(Raw!$R$2:$R$1001="C")*Raw!$D$2:$D$1001+(1-(Raw!$A$2:$A$1001=$A35)*(Raw!$R$2:$R$1001="C"))*9999)))</f>
        <v>4</v>
      </c>
      <c r="K35" s="9" t="str">
        <f aca="false">IF(OR($J35="",$J35=0,$J35=9999),"",$A35&amp;"|C|"&amp;$J35)</f>
        <v>30|C|4</v>
      </c>
      <c r="L35" s="16" t="n">
        <f aca="false">IF($I35="","",IF(INDEX(Raw!$I$2:$I$1001,MATCH($I35,Raw!$S$2:$S$1001,0))&lt;&gt;0,"",INDEX(Raw!$H$2:$H$1001,MATCH($I35,Raw!$S$2:$S$1001,0))))</f>
        <v>27.844</v>
      </c>
      <c r="M35" s="19" t="n">
        <f aca="false">IF($I35="","",IF(INDEX(Raw!$I$2:$I$1001,MATCH($I35,Raw!$S$2:$S$1001,0))&lt;&gt;0,"",INDEX(Raw!$F$2:$F$1001,MATCH($I35,Raw!$S$2:$S$1001,0))))</f>
        <v>1626</v>
      </c>
      <c r="N35" s="20" t="n">
        <f aca="false">IF($I35="","",IF(INDEX(Raw!$I$2:$I$1001,MATCH($I35,Raw!$S$2:$S$1001,0))&lt;&gt;0,"",INDEX(Raw!$G$2:$G$1001,MATCH($I35,Raw!$S$2:$S$1001,0))))</f>
        <v>25.1</v>
      </c>
      <c r="O35" s="16" t="n">
        <f aca="false">IF($I35="","",IF(INDEX(Raw!$I$2:$I$1001,MATCH($I35,Raw!$S$2:$S$1001,0))&lt;&gt;0,"",INDEX(Raw!$N$2:$N$1001,MATCH($I35,Raw!$S$2:$S$1001,0))))</f>
        <v>-6.19</v>
      </c>
      <c r="P35" s="16" t="n">
        <f aca="false">IF($K35="","",IF(INDEX(Raw!$I$2:$I$1001,MATCH($K35,Raw!$S$2:$S$1001,0))&lt;&gt;0,"",INDEX(Raw!$K$2:$K$1001,MATCH($K35,Raw!$S$2:$S$1001,0))))</f>
        <v>134.66</v>
      </c>
      <c r="Q35" s="19" t="n">
        <f aca="false">IF($K35="","",IF(INDEX(Raw!$I$2:$I$1001,MATCH($K35,Raw!$S$2:$S$1001,0))&lt;&gt;0,"",INDEX(Raw!$J$2:$J$1001,MATCH($K35,Raw!$S$2:$S$1001,0))))</f>
        <v>5934</v>
      </c>
      <c r="R35" s="16" t="n">
        <f aca="false">IF($K35="","",IF(INDEX(Raw!$I$2:$I$1001,MATCH($K35,Raw!$S$2:$S$1001,0))&lt;&gt;0,"",INDEX(Raw!$O$2:$O$1001,MATCH($K35,Raw!$S$2:$S$1001,0))))</f>
        <v>-9.478</v>
      </c>
      <c r="S35" s="21" t="str">
        <f aca="false">IF($B35="","",IF($C35=0,"",IF(INDEX(Setup!$D$37:$D$49,$C35-36)="","",INDEX(Setup!$D$37:$D$49,$C35-36))))</f>
        <v/>
      </c>
      <c r="T35" s="21" t="str">
        <f aca="false">IF($B35="","",IF($C35=0,"",IF(INDEX(Setup!$C$37:$C$49,$C35-36)="","",INDEX(Setup!$C$37:$C$49,$C35-36))))</f>
        <v/>
      </c>
      <c r="U35" s="21" t="n">
        <f aca="false">IF($B35="","",IF($C35=0,"",IF(INDEX(Setup!$F$37:$F$49,$C35-36)="","",INDEX(Setup!$F$37:$F$49,$C35-36))))</f>
        <v>10.36</v>
      </c>
      <c r="V35" s="21" t="n">
        <f aca="false">IF($B35="","",IF($C35=0,"",IF(INDEX(Setup!$E$37:$E$49,$C35-36)="","",INDEX(Setup!$E$37:$E$49,$C35-36))))</f>
        <v>71.09</v>
      </c>
      <c r="W35" s="16" t="n">
        <f aca="false">IF($O35="","",IF(OR(Fits!$C$5&lt;&gt;"Yes",$D35="Blank",$L35&lt;=Fits!$B$6),$O35,($L35*$O35-Fits!$B$6*Fits!$B$7)/($L35-Fits!$B$6)))</f>
        <v>-6.19</v>
      </c>
      <c r="X35" s="16" t="n">
        <f aca="false">IF($W35="","",$W35-Fits!$B$20*($L35-Fits!$B$16))</f>
        <v>-6.19</v>
      </c>
      <c r="Y35" s="22" t="n">
        <f aca="false">IF($W35="","",IF(OR(Fits!$B$38="Row",$BI35=""),$A35,$BI35))</f>
        <v>30</v>
      </c>
      <c r="Z35" s="16" t="n">
        <f aca="false">IF($X35="","",$X35-Fits!$B$39*($Y35-Fits!$B$40))</f>
        <v>-6.24561254997911</v>
      </c>
      <c r="AA35" s="23" t="n">
        <f aca="false">IF(OR($Z35="",Fits!$B$55&lt;2),"",Fits!$B$56*$Z35+Fits!$B$57)</f>
        <v>-5.38446264414692</v>
      </c>
      <c r="AB35" s="16" t="n">
        <f aca="false">IF($R35="","",IF(OR(Fits!$C$9&lt;&gt;"Yes",$D35="Blank",$P35&lt;=Fits!$B$10),$R35,($P35*$R35-Fits!$B$10*Fits!$B$11)/($P35-Fits!$B$10)))</f>
        <v>-9.478</v>
      </c>
      <c r="AC35" s="16" t="n">
        <f aca="false">IF($AB35="","",$AB35-Fits!$B$28*($P35-Fits!$B$24))</f>
        <v>-9.49029646682359</v>
      </c>
      <c r="AD35" s="22" t="n">
        <f aca="false">IF($AB35="","",IF(OR(Fits!$B$50="Row",$BI35=""),$A35,$BI35))</f>
        <v>30</v>
      </c>
      <c r="AE35" s="16" t="n">
        <f aca="false">IF($AC35="","",$AC35-Fits!$B$51*($AD35-Fits!$B$52))</f>
        <v>-9.48050525976968</v>
      </c>
      <c r="AF35" s="23" t="n">
        <f aca="false">IF(OR($AE35="",Fits!$B$62&lt;2),"",Fits!$B$63*$AE35+Fits!$B$64)</f>
        <v>-26.606900915374</v>
      </c>
      <c r="AG35" s="21" t="n">
        <f aca="false">IF(OR($L35="",Fits!$B$69&lt;3),"",($L35-Fits!$B$71)/Fits!$B$70)</f>
        <v>42.716920901598</v>
      </c>
      <c r="AH35" s="21" t="n">
        <f aca="false">IF(OR($P35="",Fits!$B$75&lt;3),"",($P35-Fits!$B$77)/Fits!$B$76)</f>
        <v>302.727735751581</v>
      </c>
      <c r="AI35" s="23" t="n">
        <f aca="false">IF(OR($AG35="",$G35="",$G35=0),"",$AG35/($G35*1000)*100)</f>
        <v>10.2193590673679</v>
      </c>
      <c r="AJ35" s="23" t="n">
        <f aca="false">IF(OR($AH35="",$G35="",$G35=0),"",$AH35/($G35*1000)*100)</f>
        <v>72.4229032898518</v>
      </c>
      <c r="AK35" s="23" t="n">
        <f aca="false">IF(OR($AG35="",$AH35="",$AG35&lt;=0),"",($AH35/Setup!$B$52)/($AG35/Setup!$B$53))</f>
        <v>8.26453139369755</v>
      </c>
      <c r="AL35" s="23" t="n">
        <f aca="false">IF(OR($AG35="",$AH35="",$AG35&lt;=0),"",$AH35/$AG35)</f>
        <v>7.08683419502401</v>
      </c>
      <c r="AM35" s="9" t="str">
        <f aca="false">IF($D35="Linearity",IF($L35="","",$L35),"")</f>
        <v/>
      </c>
      <c r="AN35" s="9" t="str">
        <f aca="false">IF($D35="Linearity",IF($W35="","",$W35),"")</f>
        <v/>
      </c>
      <c r="AO35" s="9" t="str">
        <f aca="false">IF($D35="Linearity",IF($P35="","",$P35),"")</f>
        <v/>
      </c>
      <c r="AP35" s="9" t="str">
        <f aca="false">IF($D35="Linearity",IF($AB35="","",$AB35),"")</f>
        <v/>
      </c>
      <c r="AQ35" s="9" t="n">
        <f aca="false">IF($D35="Drift",IF($A35&lt;IF(Setup!$B$14="",0,Setup!$B$14),"",$A35),"")</f>
        <v>30</v>
      </c>
      <c r="AR35" s="22" t="n">
        <f aca="false">IF($D35="Drift",IF($A35&lt;IF(Setup!$B$14="",0,Setup!$B$14),"",IF($BI35="","",$BI35)),"")</f>
        <v>24.1</v>
      </c>
      <c r="AS35" s="24" t="n">
        <f aca="false">IF($D35="Drift",IF($A35&lt;IF(Setup!$B$14="",0,Setup!$B$14),"",IF(OR($X35="",$BX35=1),"",$X35)),"")</f>
        <v>-6.19</v>
      </c>
      <c r="AT35" s="24" t="n">
        <f aca="false">IF($D35="Drift",IF($A35&lt;IF(Setup!$B$14="",0,Setup!$B$14),"",IF(OR($AC35="",$BY35=1),"",$AC35)),"")</f>
        <v>-9.49029646682359</v>
      </c>
      <c r="AU35" s="9" t="str">
        <f aca="false">IF($D35="Anchor",IF(OR($Z35="",$S35=""),"",$Z35),"")</f>
        <v/>
      </c>
      <c r="AV35" s="9" t="str">
        <f aca="false">IF($D35="Anchor",IF(OR($Z35="",$S35=""),"",$S35),"")</f>
        <v/>
      </c>
      <c r="AW35" s="9" t="str">
        <f aca="false">IF($D35="Anchor",IF(OR($AE35="",$T35=""),"",$AE35),"")</f>
        <v/>
      </c>
      <c r="AX35" s="9" t="str">
        <f aca="false">IF($D35="Anchor",IF(OR($AE35="",$T35=""),"",$T35),"")</f>
        <v/>
      </c>
      <c r="AY35" s="9" t="n">
        <f aca="false">IF(OR($D35="Blank",$D35="Exclude",$D35="Sample",$D35="",$G35="",$U35="",$L35=""),"",$G35*1000*$U35/100)</f>
        <v>43.3048</v>
      </c>
      <c r="AZ35" s="24" t="n">
        <f aca="false">IF($AY35="","",$L35)</f>
        <v>27.844</v>
      </c>
      <c r="BA35" s="9" t="n">
        <f aca="false">IF(OR($D35="Blank",$D35="Exclude",$D35="Sample",$D35="",$G35="",$V35="",$P35=""),"",$G35*1000*$V35/100)</f>
        <v>297.1562</v>
      </c>
      <c r="BB35" s="24" t="n">
        <f aca="false">IF($BA35="","",$P35)</f>
        <v>134.66</v>
      </c>
      <c r="BC35" s="9" t="str">
        <f aca="false">IF(AND($D35="Blank",$L35&lt;&gt;""),$O35,"")</f>
        <v/>
      </c>
      <c r="BD35" s="9" t="str">
        <f aca="false">IF($BC35="","",$L35)</f>
        <v/>
      </c>
      <c r="BE35" s="9" t="str">
        <f aca="false">IF(AND($D35="Blank",$P35&lt;&gt;""),$R35,"")</f>
        <v/>
      </c>
      <c r="BF35" s="9" t="str">
        <f aca="false">IF($BE35="","",$P35)</f>
        <v/>
      </c>
      <c r="BG35" s="25" t="n">
        <f aca="false">IF(AND($D35="Drift",$BX35&lt;&gt;1),IF($AA35="","",$AA35),"")</f>
        <v>-5.38446264414692</v>
      </c>
      <c r="BH35" s="25" t="n">
        <f aca="false">IF(AND($D35="Drift",$BY35&lt;&gt;1),IF($AF35="","",$AF35),"")</f>
        <v>-26.606900915374</v>
      </c>
      <c r="BI35" s="20" t="n">
        <f aca="false">IF($B35="","",IFERROR(INDEX(Raw!$G$2:$G$1001,MATCH($A35&amp;"|N|"&amp;SUMPRODUCT(MAX((Raw!$A$2:$A$1001=$A35)*(Raw!$R$2:$R$1001="N")*(Raw!$I$2:$I$1001=1)*Raw!$D$2:$D$1001)),Raw!$S$2:$S$1001,0)),""))</f>
        <v>24.1</v>
      </c>
      <c r="BJ35" s="21" t="n">
        <f aca="false">IF(OR($BI35="",Fits!$B$85&lt;=0),"",($BI35-Fits!$B$83)/Fits!$B$85)</f>
        <v>0.0900900900900901</v>
      </c>
      <c r="BK35" s="9" t="str">
        <f aca="false">IF($AS35="","",IF($A35&gt;=Fits!$B$86,"",$A35))</f>
        <v/>
      </c>
      <c r="BL35" s="9" t="str">
        <f aca="false">IF($BK35="","",$X35)</f>
        <v/>
      </c>
      <c r="BM35" s="9" t="n">
        <f aca="false">IF($AS35="","",IF($A35&lt;Fits!$B$86,"",$A35))</f>
        <v>30</v>
      </c>
      <c r="BN35" s="24" t="n">
        <f aca="false">IF($BM35="","",$X35)</f>
        <v>-6.19</v>
      </c>
      <c r="BO35" s="24" t="n">
        <f aca="false">IF(AND($D35="Drift",$BX35&lt;&gt;1),IF($O35="","",$O35),"")</f>
        <v>-6.19</v>
      </c>
      <c r="BP35" s="24" t="n">
        <f aca="false">IF(AND($D35="Drift",$BX35&lt;&gt;1),IF($W35="","",$W35),"")</f>
        <v>-6.19</v>
      </c>
      <c r="BQ35" s="24" t="n">
        <f aca="false">IF(AND($D35="Drift",$BX35&lt;&gt;1),IF($X35="","",$X35),"")</f>
        <v>-6.19</v>
      </c>
      <c r="BR35" s="24" t="n">
        <f aca="false">IF(AND($D35="Drift",$BX35&lt;&gt;1),IF($Z35="","",$Z35),"")</f>
        <v>-6.24561254997911</v>
      </c>
      <c r="BS35" s="9" t="n">
        <f aca="false">IF(OR($B35="",$H35=""),"",SUMPRODUCT(MIN((Raw!$A$2:$A$1001=$A35)*(Raw!$R$2:$R$1001="N")*(Raw!$I$2:$I$1001=0)*(Raw!$D$2:$D$1001&lt;$H35)*Raw!$D$2:$D$1001+(1-(Raw!$A$2:$A$1001=$A35)*(Raw!$R$2:$R$1001="N")*(Raw!$I$2:$I$1001=0)*(Raw!$D$2:$D$1001&lt;$H35))*9999)))</f>
        <v>1</v>
      </c>
      <c r="BT35" s="16" t="n">
        <f aca="false">IF(OR($BS35="",$BS35=9999,$BS35=0),"",IFERROR(INDEX(Raw!$N$2:$N$1001,MATCH($A35&amp;"|N|"&amp;$BS35,Raw!$S$2:$S$1001,0)),""))</f>
        <v>-1.167</v>
      </c>
      <c r="BU35" s="9" t="n">
        <f aca="false">IF($B35="","",SUMPRODUCT(MIN((Raw!$A$2:$A$1001=$A35)*(Raw!$R$2:$R$1001="C")*(Raw!$I$2:$I$1001=1)*Raw!$D$2:$D$1001+(1-(Raw!$A$2:$A$1001=$A35)*(Raw!$R$2:$R$1001="C")*(Raw!$I$2:$I$1001=1))*9999)))</f>
        <v>5</v>
      </c>
      <c r="BV35" s="9" t="n">
        <f aca="false">IF(OR($BU35="",$BU35=9999),"",SUMPRODUCT(MIN((Raw!$A$2:$A$1001=$A35)*(Raw!$R$2:$R$1001="C")*(Raw!$I$2:$I$1001=0)*(Raw!$D$2:$D$1001&gt;$BU35)*Raw!$D$2:$D$1001+(1-(Raw!$A$2:$A$1001=$A35)*(Raw!$R$2:$R$1001="C")*(Raw!$I$2:$I$1001=0)*(Raw!$D$2:$D$1001&gt;$BU35))*9999)))</f>
        <v>6</v>
      </c>
      <c r="BW35" s="16" t="n">
        <f aca="false">IF(OR($BV35="",$BV35=9999,$BV35=0),"",IFERROR(INDEX(Raw!$O$2:$O$1001,MATCH($A35&amp;"|C|"&amp;$BV35,Raw!$S$2:$S$1001,0)),""))</f>
        <v>-25.352</v>
      </c>
      <c r="BX35" s="9" t="n">
        <f aca="false">IF($B35="","",IF(ISNUMBER(SEARCH(","&amp;$A35&amp;",",","&amp;SUBSTITUTE(Setup!$B$16," ","")&amp;",")),1,0))</f>
        <v>0</v>
      </c>
      <c r="BY35" s="9" t="n">
        <f aca="false">IF($B35="","",IF(ISNUMBER(SEARCH(","&amp;$A35&amp;",",","&amp;SUBSTITUTE(Setup!$B$17," ","")&amp;",")),1,0))</f>
        <v>0</v>
      </c>
      <c r="BZ35" s="22" t="n">
        <f aca="false">IF($AS35="","",IF(Fits!$B$38="Row",$AQ35,IF($AR35="","",$AR35)))</f>
        <v>30</v>
      </c>
      <c r="CA35" s="22" t="n">
        <f aca="false">IF($AT35="","",IF(Fits!$B$50="Row",$AQ35,IF($AR35="","",$AR35)))</f>
        <v>30</v>
      </c>
      <c r="CB35" s="20" t="n">
        <f aca="false">IF(OR($D35&lt;&gt;"Drift",$X35="",$A35&lt;IF(Setup!$B$14="",0,Setup!$B$14),Fits!$B$107&lt;3,Fits!$B$110="",Fits!$B$109=0,IF(Fits!$B$38="Row",$AQ35,$AR35)=""),"",IF($BX35=1,IF(OR(Fits!$B$111="",Fits!$B$111=0),"",($X35-(IF(Fits!$B$38="Row",Fits!$B$32,Fits!$B$35)*IF(Fits!$B$38="Row",$AQ35,$AR35)+Fits!$B$110))/(Fits!$B$111*SQRT(1+(1/Fits!$B$107+(IF(Fits!$B$38="Row",$AQ35,$AR35)-Fits!$B$108)^2/Fits!$B$109)))),IF(OR(Fits!$B$107&lt;4,(1/Fits!$B$107+(IF(Fits!$B$38="Row",$AQ35,$AR35)-Fits!$B$108)^2/Fits!$B$109)&gt;=1),"",IF((Fits!$B$116-($X35-(IF(Fits!$B$38="Row",Fits!$B$32,Fits!$B$35)*IF(Fits!$B$38="Row",$AQ35,$AR35)+Fits!$B$110))^2/(1-(1/Fits!$B$107+(IF(Fits!$B$38="Row",$AQ35,$AR35)-Fits!$B$108)^2/Fits!$B$109)))&lt;=0,"",($X35-(IF(Fits!$B$38="Row",Fits!$B$32,Fits!$B$35)*IF(Fits!$B$38="Row",$AQ35,$AR35)+Fits!$B$110))/(SQRT((Fits!$B$116-($X35-(IF(Fits!$B$38="Row",Fits!$B$32,Fits!$B$35)*IF(Fits!$B$38="Row",$AQ35,$AR35)+Fits!$B$110))^2/(1-(1/Fits!$B$107+(IF(Fits!$B$38="Row",$AQ35,$AR35)-Fits!$B$108)^2/Fits!$B$109)))/(Fits!$B$107-3))*SQRT(1-(1/Fits!$B$107+(IF(Fits!$B$38="Row",$AQ35,$AR35)-Fits!$B$108)^2/Fits!$B$109)))))))</f>
        <v>-1.05198282020718</v>
      </c>
      <c r="CC35" s="20" t="n">
        <f aca="false">IF(OR($D35&lt;&gt;"Drift",$AC35="",$A35&lt;IF(Setup!$B$14="",0,Setup!$B$14),Fits!$B$120&lt;3,Fits!$B$123="",Fits!$B$122=0,IF(Fits!$B$50="Row",$AQ35,$AR35)=""),"",IF($BY35=1,IF(OR(Fits!$B$124="",Fits!$B$124=0),"",($AC35-(IF(Fits!$B$50="Row",Fits!$B$44,Fits!$B$47)*IF(Fits!$B$50="Row",$AQ35,$AR35)+Fits!$B$123))/(Fits!$B$124*SQRT(1+(1/Fits!$B$120+(IF(Fits!$B$50="Row",$AQ35,$AR35)-Fits!$B$121)^2/Fits!$B$122)))),IF(OR(Fits!$B$120&lt;4,(1/Fits!$B$120+(IF(Fits!$B$50="Row",$AQ35,$AR35)-Fits!$B$121)^2/Fits!$B$122)&gt;=1),"",IF((Fits!$B$129-($AC35-(IF(Fits!$B$50="Row",Fits!$B$44,Fits!$B$47)*IF(Fits!$B$50="Row",$AQ35,$AR35)+Fits!$B$123))^2/(1-(1/Fits!$B$120+(IF(Fits!$B$50="Row",$AQ35,$AR35)-Fits!$B$121)^2/Fits!$B$122)))&lt;=0,"",($AC35-(IF(Fits!$B$50="Row",Fits!$B$44,Fits!$B$47)*IF(Fits!$B$50="Row",$AQ35,$AR35)+Fits!$B$123))/(SQRT((Fits!$B$129-($AC35-(IF(Fits!$B$50="Row",Fits!$B$44,Fits!$B$47)*IF(Fits!$B$50="Row",$AQ35,$AR35)+Fits!$B$123))^2/(1-(1/Fits!$B$120+(IF(Fits!$B$50="Row",$AQ35,$AR35)-Fits!$B$121)^2/Fits!$B$122)))/(Fits!$B$120-3))*SQRT(1-(1/Fits!$B$120+(IF(Fits!$B$50="Row",$AQ35,$AR35)-Fits!$B$121)^2/Fits!$B$122)))))))</f>
        <v>-0.0340011811329575</v>
      </c>
      <c r="CD35" s="9" t="str">
        <f aca="false">IF($AU35="","",1)</f>
        <v/>
      </c>
      <c r="CE35" s="24" t="str">
        <f aca="false">IF($AU35="","",$AU35-Fits!$B$133)</f>
        <v/>
      </c>
      <c r="CF35" s="24" t="str">
        <f aca="false">IF($AU35="","",($AV35-(Fits!$B$56*$AU35+Fits!$B$57))-Fits!$B$56*($AU35-Fits!$B$133))</f>
        <v/>
      </c>
      <c r="CG35" s="25" t="str">
        <f aca="false">IF($AU35="","",$AU35^2)</f>
        <v/>
      </c>
      <c r="CH35" s="9" t="str">
        <f aca="false">IF($AW35="","",1)</f>
        <v/>
      </c>
      <c r="CI35" s="24" t="str">
        <f aca="false">IF($AW35="","",$AW35-Fits!$B$153)</f>
        <v/>
      </c>
      <c r="CJ35" s="24" t="str">
        <f aca="false">IF($AW35="","",($AX35-(Fits!$B$63*$AW35+Fits!$B$64))-Fits!$B$63*($AW35-Fits!$B$153))</f>
        <v/>
      </c>
      <c r="CK35" s="25" t="str">
        <f aca="false">IF($AW35="","",$AW35^2)</f>
        <v/>
      </c>
      <c r="CL35" s="26" t="n">
        <f aca="false">IF(OR($Z35="",Fits!$B$55&lt;3,Fits!$B$133="",Fits!$B$134="",Fits!$B$134=0,Fits!$B$136=""),"",SQRT((Fits!$B$136*Fits!$B$56)^2+SUMPRODUCT((Fits!$J$163:$J$175*(Fits!$B$163:$B$175/Fits!$B$55+Fits!$H$163:$H$175*($Z35-Fits!$B$133)/Fits!$B$134))^2)+SUMPRODUCT((Fits!$G$163:$G$175*(($Z35-Fits!$B$133)*Fits!$I$163:$I$175/Fits!$B$134-Fits!$B$163:$B$175*Fits!$B$56/Fits!$B$55))^2)))</f>
        <v>0.256788019681356</v>
      </c>
      <c r="CM35" s="26" t="n">
        <f aca="false">IF($CL35="","",Setup!$B$32*$CL35)</f>
        <v>0.513576039362713</v>
      </c>
      <c r="CN35" s="26" t="n">
        <f aca="false">IF(OR($AE35="",Fits!$B$62&lt;3,Fits!$B$153="",Fits!$B$154="",Fits!$B$154=0,Fits!$B$156=""),"",SQRT((Fits!$B$156*Fits!$B$63)^2+SUMPRODUCT((Fits!$J$183:$J$195*(Fits!$B$183:$B$195/Fits!$B$62+Fits!$H$183:$H$195*($AE35-Fits!$B$153)/Fits!$B$154))^2)+SUMPRODUCT((Fits!$G$183:$G$195*(($AE35-Fits!$B$153)*Fits!$I$183:$I$195/Fits!$B$154-Fits!$B$183:$B$195*Fits!$B$63/Fits!$B$62))^2)))</f>
        <v>0.0378874151384186</v>
      </c>
      <c r="CO35" s="26" t="n">
        <f aca="false">IF($CN35="","",Setup!$B$32*$CN35)</f>
        <v>0.0757748302768373</v>
      </c>
      <c r="CP35" s="9" t="n">
        <f aca="false">IF(OR(NOT(ISNUMBER($BJ35)),$EK35=1),$CP34,IF($BJ35&lt;=Setup!$B$26,$CP34+1,0))</f>
        <v>3</v>
      </c>
      <c r="CQ35" s="9" t="n">
        <f aca="false">IF($BT35="","",$A35)</f>
        <v>30</v>
      </c>
      <c r="CR35" s="9" t="n">
        <f aca="false">IF($BW35="","",$A35)</f>
        <v>30</v>
      </c>
      <c r="CS35" s="9" t="n">
        <f aca="false">IF($B35="","",IF(Setup!$A$37="",0,IF(ISNUMBER(SEARCH(Setup!$A$37,$B35)),37,0)))</f>
        <v>0</v>
      </c>
      <c r="CT35" s="9" t="n">
        <f aca="false">IF($B35="","",IF(Setup!$A$38="",0,IF(ISNUMBER(SEARCH(Setup!$A$38,$B35)),38,0)))</f>
        <v>0</v>
      </c>
      <c r="CU35" s="9" t="n">
        <f aca="false">IF($B35="","",IF(Setup!$A$39="",0,IF(ISNUMBER(SEARCH(Setup!$A$39,$B35)),39,0)))</f>
        <v>0</v>
      </c>
      <c r="CV35" s="9" t="n">
        <f aca="false">IF($B35="","",IF(Setup!$A$40="",0,IF(ISNUMBER(SEARCH(Setup!$A$40,$B35)),40,0)))</f>
        <v>0</v>
      </c>
      <c r="CW35" s="9" t="n">
        <f aca="false">IF($B35="","",IF(Setup!$A$41="",0,IF(ISNUMBER(SEARCH(Setup!$A$41,$B35)),41,0)))</f>
        <v>0</v>
      </c>
      <c r="CX35" s="9" t="n">
        <f aca="false">IF($B35="","",IF(Setup!$A$42="",0,IF(ISNUMBER(SEARCH(Setup!$A$42,$B35)),42,0)))</f>
        <v>0</v>
      </c>
      <c r="CY35" s="9" t="n">
        <f aca="false">IF($B35="","",IF(Setup!$A$43="",0,IF(ISNUMBER(SEARCH(Setup!$A$43,$B35)),43,0)))</f>
        <v>43</v>
      </c>
      <c r="CZ35" s="9" t="n">
        <f aca="false">IF($B35="","",IF(Setup!$A$44="",0,IF(ISNUMBER(SEARCH(Setup!$A$44,$B35)),44,0)))</f>
        <v>0</v>
      </c>
      <c r="DA35" s="9" t="n">
        <f aca="false">IF($B35="","",IF(Setup!$A$45="",0,IF(ISNUMBER(SEARCH(Setup!$A$45,$B35)),45,0)))</f>
        <v>0</v>
      </c>
      <c r="DB35" s="9" t="n">
        <f aca="false">IF($B35="","",IF(Setup!$A$46="",0,IF(ISNUMBER(SEARCH(Setup!$A$46,$B35)),46,0)))</f>
        <v>0</v>
      </c>
      <c r="DC35" s="9" t="n">
        <f aca="false">IF($B35="","",IF(Setup!$A$47="",0,IF(ISNUMBER(SEARCH(Setup!$A$47,$B35)),47,0)))</f>
        <v>0</v>
      </c>
      <c r="DD35" s="9" t="n">
        <f aca="false">IF($B35="","",IF(Setup!$A$48="",0,IF(ISNUMBER(SEARCH(Setup!$A$48,$B35)),48,0)))</f>
        <v>0</v>
      </c>
      <c r="DE35" s="9" t="n">
        <f aca="false">IF($B35="","",IF(Setup!$A$49="",0,IF(ISNUMBER(SEARCH(Setup!$A$49,$B35)),49,0)))</f>
        <v>0</v>
      </c>
      <c r="DF35" s="9" t="n">
        <f aca="false">IF($B35="",NA(),$A35)</f>
        <v>30</v>
      </c>
      <c r="DG35" s="22" t="n">
        <f aca="false">IF($BI35="",NA(),$BI35)</f>
        <v>24.1</v>
      </c>
      <c r="DH35" s="22" t="n">
        <f aca="false">IF($N35="",NA(),$N35)</f>
        <v>25.1</v>
      </c>
      <c r="DI35" s="22" t="n">
        <f aca="false">IF(AND($D35="Drift",$N35&lt;&gt;""),$N35,NA())</f>
        <v>25.1</v>
      </c>
      <c r="DJ35" s="22" t="n">
        <f aca="false">IF(AND($D35="Drift",$N35&lt;&gt;""),$N35,"")</f>
        <v>25.1</v>
      </c>
      <c r="DK35" s="9" t="n">
        <f aca="false">IF($DJ35="","",$A35)</f>
        <v>30</v>
      </c>
      <c r="DL35" s="9" t="e">
        <f aca="false">IF($AN35="",NA(),$AM35)</f>
        <v>#N/A</v>
      </c>
      <c r="DM35" s="9" t="e">
        <f aca="false">IF($AN35="",NA(),$AN35)</f>
        <v>#N/A</v>
      </c>
      <c r="DN35" s="9" t="e">
        <f aca="false">IF(AND($D35="Sample",$L35&lt;&gt;""),$L35,NA())</f>
        <v>#N/A</v>
      </c>
      <c r="DO35" s="9" t="e">
        <f aca="false">IF(AND($D35="Sample",$L35&lt;&gt;"",Fits!$B$98&lt;&gt;""),Fits!$B$98,NA())</f>
        <v>#N/A</v>
      </c>
      <c r="DP35" s="24" t="n">
        <f aca="false">IF($AS35="",NA(),$AS35)</f>
        <v>-6.19</v>
      </c>
      <c r="DQ35" s="9" t="e">
        <f aca="false">IF(AND($D35="Drift",$AS35="",$X35&lt;&gt;""),$X35,NA())</f>
        <v>#N/A</v>
      </c>
      <c r="DR35" s="24" t="n">
        <f aca="false">IF(AND($D35="Drift",$Z35&lt;&gt;""),$Z35,NA())</f>
        <v>-6.24561254997911</v>
      </c>
      <c r="DS35" s="9" t="e">
        <f aca="false">IF(AND(OR($D35="Sample",$D35="Check"),$AA35&lt;&gt;""),$AA35,NA())</f>
        <v>#N/A</v>
      </c>
      <c r="DT35" s="25" t="n">
        <f aca="false">IF(OR($B35="",Fits!$B$138=""),NA(),Fits!$B$138)</f>
        <v>1.76</v>
      </c>
      <c r="DU35" s="25" t="n">
        <f aca="false">IF(OR($B35="",Fits!$B$139=""),NA(),Fits!$B$139)</f>
        <v>20.68</v>
      </c>
      <c r="DV35" s="24" t="n">
        <f aca="false">IF($BT35="",NA(),$BT35)</f>
        <v>-1.167</v>
      </c>
      <c r="DW35" s="9" t="e">
        <f aca="false">IF($AP35="",NA(),$AO35)</f>
        <v>#N/A</v>
      </c>
      <c r="DX35" s="9" t="e">
        <f aca="false">IF($AP35="",NA(),$AP35)</f>
        <v>#N/A</v>
      </c>
      <c r="DY35" s="9" t="e">
        <f aca="false">IF(AND($D35="Sample",$P35&lt;&gt;""),$P35,NA())</f>
        <v>#N/A</v>
      </c>
      <c r="DZ35" s="9" t="e">
        <f aca="false">IF(AND($D35="Sample",$P35&lt;&gt;"",Fits!$B$105&lt;&gt;""),Fits!$B$105,NA())</f>
        <v>#N/A</v>
      </c>
      <c r="EA35" s="24" t="n">
        <f aca="false">IF($AT35="",NA(),$AT35)</f>
        <v>-9.49029646682359</v>
      </c>
      <c r="EB35" s="9" t="e">
        <f aca="false">IF(AND($D35="Drift",$AT35="",$AC35&lt;&gt;""),$AC35,NA())</f>
        <v>#N/A</v>
      </c>
      <c r="EC35" s="24" t="n">
        <f aca="false">IF(AND($D35="Drift",$AE35&lt;&gt;""),$AE35,NA())</f>
        <v>-9.48050525976968</v>
      </c>
      <c r="ED35" s="9" t="e">
        <f aca="false">IF(AND(OR($D35="Sample",$D35="Check"),$AF35&lt;&gt;""),$AF35,NA())</f>
        <v>#N/A</v>
      </c>
      <c r="EE35" s="25" t="n">
        <f aca="false">IF(OR($B35="",Fits!$B$158=""),NA(),Fits!$B$158)</f>
        <v>-40.81</v>
      </c>
      <c r="EF35" s="25" t="n">
        <f aca="false">IF(OR($B35="",Fits!$B$159=""),NA(),Fits!$B$159)</f>
        <v>-20.29</v>
      </c>
      <c r="EG35" s="24" t="n">
        <f aca="false">IF($BW35="",NA(),$BW35)</f>
        <v>-25.352</v>
      </c>
      <c r="EH35" s="9" t="e">
        <f aca="false">IF(AND($EN35=1,ISNUMBER($N35)),$N35,NA())</f>
        <v>#N/A</v>
      </c>
      <c r="EI35" s="9" t="n">
        <f aca="false">IF($B35="","",$A35)</f>
        <v>30</v>
      </c>
      <c r="EJ35" s="9" t="n">
        <f aca="false">IF(OR(AND(ISNUMBER($L35),Fits!$B$97&gt;0,$L35&gt;Fits!$B$97),AND(ISNUMBER($P35),Fits!$B$104&gt;0,$P35&gt;Fits!$B$104)),1,0)</f>
        <v>0</v>
      </c>
      <c r="EK35" s="9" t="n">
        <f aca="false">IF(OR($EJ34=1,$EJ33=1),1,0)</f>
        <v>1</v>
      </c>
      <c r="EL35" s="22" t="n">
        <f aca="false">IF(AND($EK35=0,ISNUMBER($N35)),$N35,$EL34)</f>
        <v>25.1</v>
      </c>
      <c r="EM35" s="9" t="n">
        <f aca="false">IF(AND($EK35=1,ISNUMBER($N35),ISNUMBER($EL35)),$N35-$EL35,"")</f>
        <v>0</v>
      </c>
      <c r="EN35" s="9" t="n">
        <f aca="false">IF(Setup!$B$28="",0,IF(ISNUMBER($EM35),IF($EM35&gt;Setup!$B$28,1,0),0))</f>
        <v>0</v>
      </c>
      <c r="EO35" s="9" t="str">
        <f aca="false">IF($EN35=1,COUNTIF($EN$6:$EN35,1),"")</f>
        <v/>
      </c>
      <c r="EP35" s="9" t="n">
        <f aca="false">IF(AND($EJ34=1,OR($D35="Sample",$D35="Check")),1,0)</f>
        <v>0</v>
      </c>
      <c r="EQ35" s="9" t="str">
        <f aca="false">IF(ISNUMBER($BI35),IF(COUNT($BI$6:$BI35)&lt;=5,$BI35,""),"")</f>
        <v/>
      </c>
      <c r="ER35" s="9" t="n">
        <f aca="false">IF(OR(NOT(ISNUMBER($BJ35)),$EK35=1),$ER34,IF($BJ35&lt;=Setup!$B$26,IF($CP34=0,$A35,$ER34),""))</f>
        <v>27</v>
      </c>
    </row>
    <row r="36" customFormat="false" ht="15" hidden="false" customHeight="false" outlineLevel="0" collapsed="false">
      <c r="A36" s="8" t="n">
        <v>31</v>
      </c>
      <c r="B36" s="8" t="str">
        <f aca="false">IFERROR(INDEX(Raw!$B$2:$B$1001,MATCH($A36,Raw!$A$2:$A$1001,0)),"")</f>
        <v>Random</v>
      </c>
      <c r="C36" s="9" t="n">
        <f aca="false">IF($B36="","",MAX($CS36:$DE36))</f>
        <v>0</v>
      </c>
      <c r="D36" s="8" t="str">
        <f aca="false">IF($B36="","",IF($C36=0,"Sample",INDEX(Setup!$B$37:$B$49,$C36-36)))</f>
        <v>Sample</v>
      </c>
      <c r="E36" s="16" t="str">
        <f aca="false">IF($B36="","",IFERROR(IF(INDEX(Raw!$E$2:$E$1001,MATCH($A36,Raw!$A$2:$A$1001,0))=0,"",INDEX(Raw!$E$2:$E$1001,MATCH($A36,Raw!$A$2:$A$1001,0))),""))</f>
        <v/>
      </c>
      <c r="F36" s="18"/>
      <c r="G36" s="16" t="str">
        <f aca="false">IF($B36="","",IF($F36&lt;&gt;"",$F36,IF($E36="","",$E36)))</f>
        <v/>
      </c>
      <c r="H36" s="9" t="n">
        <f aca="false">IF($B36="","",SUMPRODUCT(MAX((Raw!$A$2:$A$1001=$A36)*(Raw!$R$2:$R$1001="N")*Raw!$D$2:$D$1001)))</f>
        <v>3</v>
      </c>
      <c r="I36" s="9" t="str">
        <f aca="false">IF(OR($H36="",$H36=0),"",$A36&amp;"|N|"&amp;$H36)</f>
        <v>31|N|3</v>
      </c>
      <c r="J36" s="9" t="n">
        <f aca="false">IF($B36="","",SUMPRODUCT(MIN((Raw!$A$2:$A$1001=$A36)*(Raw!$R$2:$R$1001="C")*Raw!$D$2:$D$1001+(1-(Raw!$A$2:$A$1001=$A36)*(Raw!$R$2:$R$1001="C"))*9999)))</f>
        <v>4</v>
      </c>
      <c r="K36" s="9" t="str">
        <f aca="false">IF(OR($J36="",$J36=0,$J36=9999),"",$A36&amp;"|C|"&amp;$J36)</f>
        <v>31|C|4</v>
      </c>
      <c r="L36" s="16" t="n">
        <f aca="false">IF($I36="","",IF(INDEX(Raw!$I$2:$I$1001,MATCH($I36,Raw!$S$2:$S$1001,0))&lt;&gt;0,"",INDEX(Raw!$H$2:$H$1001,MATCH($I36,Raw!$S$2:$S$1001,0))))</f>
        <v>25.209</v>
      </c>
      <c r="M36" s="19" t="n">
        <f aca="false">IF($I36="","",IF(INDEX(Raw!$I$2:$I$1001,MATCH($I36,Raw!$S$2:$S$1001,0))&lt;&gt;0,"",INDEX(Raw!$F$2:$F$1001,MATCH($I36,Raw!$S$2:$S$1001,0))))</f>
        <v>1470</v>
      </c>
      <c r="N36" s="20" t="n">
        <f aca="false">IF($I36="","",IF(INDEX(Raw!$I$2:$I$1001,MATCH($I36,Raw!$S$2:$S$1001,0))&lt;&gt;0,"",INDEX(Raw!$G$2:$G$1001,MATCH($I36,Raw!$S$2:$S$1001,0))))</f>
        <v>25</v>
      </c>
      <c r="O36" s="16" t="n">
        <f aca="false">IF($I36="","",IF(INDEX(Raw!$I$2:$I$1001,MATCH($I36,Raw!$S$2:$S$1001,0))&lt;&gt;0,"",INDEX(Raw!$N$2:$N$1001,MATCH($I36,Raw!$S$2:$S$1001,0))))</f>
        <v>-5.844</v>
      </c>
      <c r="P36" s="16" t="n">
        <f aca="false">IF($K36="","",IF(INDEX(Raw!$I$2:$I$1001,MATCH($K36,Raw!$S$2:$S$1001,0))&lt;&gt;0,"",INDEX(Raw!$K$2:$K$1001,MATCH($K36,Raw!$S$2:$S$1001,0))))</f>
        <v>121.954</v>
      </c>
      <c r="Q36" s="19" t="n">
        <f aca="false">IF($K36="","",IF(INDEX(Raw!$I$2:$I$1001,MATCH($K36,Raw!$S$2:$S$1001,0))&lt;&gt;0,"",INDEX(Raw!$J$2:$J$1001,MATCH($K36,Raw!$S$2:$S$1001,0))))</f>
        <v>5416</v>
      </c>
      <c r="R36" s="16" t="n">
        <f aca="false">IF($K36="","",IF(INDEX(Raw!$I$2:$I$1001,MATCH($K36,Raw!$S$2:$S$1001,0))&lt;&gt;0,"",INDEX(Raw!$O$2:$O$1001,MATCH($K36,Raw!$S$2:$S$1001,0))))</f>
        <v>-9.642</v>
      </c>
      <c r="S36" s="21" t="str">
        <f aca="false">IF($B36="","",IF($C36=0,"",IF(INDEX(Setup!$D$37:$D$49,$C36-36)="","",INDEX(Setup!$D$37:$D$49,$C36-36))))</f>
        <v/>
      </c>
      <c r="T36" s="21" t="str">
        <f aca="false">IF($B36="","",IF($C36=0,"",IF(INDEX(Setup!$C$37:$C$49,$C36-36)="","",INDEX(Setup!$C$37:$C$49,$C36-36))))</f>
        <v/>
      </c>
      <c r="U36" s="21" t="str">
        <f aca="false">IF($B36="","",IF($C36=0,"",IF(INDEX(Setup!$F$37:$F$49,$C36-36)="","",INDEX(Setup!$F$37:$F$49,$C36-36))))</f>
        <v/>
      </c>
      <c r="V36" s="21" t="str">
        <f aca="false">IF($B36="","",IF($C36=0,"",IF(INDEX(Setup!$E$37:$E$49,$C36-36)="","",INDEX(Setup!$E$37:$E$49,$C36-36))))</f>
        <v/>
      </c>
      <c r="W36" s="16" t="n">
        <f aca="false">IF($O36="","",IF(OR(Fits!$C$5&lt;&gt;"Yes",$D36="Blank",$L36&lt;=Fits!$B$6),$O36,($L36*$O36-Fits!$B$6*Fits!$B$7)/($L36-Fits!$B$6)))</f>
        <v>-5.844</v>
      </c>
      <c r="X36" s="16" t="n">
        <f aca="false">IF($W36="","",$W36-Fits!$B$20*($L36-Fits!$B$16))</f>
        <v>-5.844</v>
      </c>
      <c r="Y36" s="22" t="n">
        <f aca="false">IF($W36="","",IF(OR(Fits!$B$38="Row",$BI36=""),$A36,$BI36))</f>
        <v>31</v>
      </c>
      <c r="Z36" s="16" t="n">
        <f aca="false">IF($X36="","",$X36-Fits!$B$39*($Y36-Fits!$B$40))</f>
        <v>-5.88485819998466</v>
      </c>
      <c r="AA36" s="23" t="n">
        <f aca="false">IF(OR($Z36="",Fits!$B$55&lt;2),"",Fits!$B$56*$Z36+Fits!$B$57)</f>
        <v>-5.01411304264892</v>
      </c>
      <c r="AB36" s="16" t="n">
        <f aca="false">IF($R36="","",IF(OR(Fits!$C$9&lt;&gt;"Yes",$D36="Blank",$P36&lt;=Fits!$B$10),$R36,($P36*$R36-Fits!$B$10*Fits!$B$11)/($P36-Fits!$B$10)))</f>
        <v>-9.642</v>
      </c>
      <c r="AC36" s="16" t="n">
        <f aca="false">IF($AB36="","",$AB36-Fits!$B$28*($P36-Fits!$B$24))</f>
        <v>-9.63228013377765</v>
      </c>
      <c r="AD36" s="22" t="n">
        <f aca="false">IF($AB36="","",IF(OR(Fits!$B$50="Row",$BI36=""),$A36,$BI36))</f>
        <v>31</v>
      </c>
      <c r="AE36" s="16" t="n">
        <f aca="false">IF($AC36="","",$AC36-Fits!$B$51*($AD36-Fits!$B$52))</f>
        <v>-9.62508659390131</v>
      </c>
      <c r="AF36" s="23" t="n">
        <f aca="false">IF(OR($AE36="",Fits!$B$62&lt;2),"",Fits!$B$63*$AE36+Fits!$B$64)</f>
        <v>-26.7535281607883</v>
      </c>
      <c r="AG36" s="21" t="n">
        <f aca="false">IF(OR($L36="",Fits!$B$69&lt;3),"",($L36-Fits!$B$71)/Fits!$B$70)</f>
        <v>38.3641423236248</v>
      </c>
      <c r="AH36" s="21" t="n">
        <f aca="false">IF(OR($P36="",Fits!$B$75&lt;3),"",($P36-Fits!$B$77)/Fits!$B$76)</f>
        <v>273.787867405075</v>
      </c>
      <c r="AI36" s="23" t="str">
        <f aca="false">IF(OR($AG36="",$G36="",$G36=0),"",$AG36/($G36*1000)*100)</f>
        <v/>
      </c>
      <c r="AJ36" s="23" t="str">
        <f aca="false">IF(OR($AH36="",$G36="",$G36=0),"",$AH36/($G36*1000)*100)</f>
        <v/>
      </c>
      <c r="AK36" s="23" t="n">
        <f aca="false">IF(OR($AG36="",$AH36="",$AG36&lt;=0),"",($AH36/Setup!$B$52)/($AG36/Setup!$B$53))</f>
        <v>8.32251654448828</v>
      </c>
      <c r="AL36" s="23" t="n">
        <f aca="false">IF(OR($AG36="",$AH36="",$AG36&lt;=0),"",$AH36/$AG36)</f>
        <v>7.13655645147775</v>
      </c>
      <c r="AM36" s="9" t="str">
        <f aca="false">IF($D36="Linearity",IF($L36="","",$L36),"")</f>
        <v/>
      </c>
      <c r="AN36" s="9" t="str">
        <f aca="false">IF($D36="Linearity",IF($W36="","",$W36),"")</f>
        <v/>
      </c>
      <c r="AO36" s="9" t="str">
        <f aca="false">IF($D36="Linearity",IF($P36="","",$P36),"")</f>
        <v/>
      </c>
      <c r="AP36" s="9" t="str">
        <f aca="false">IF($D36="Linearity",IF($AB36="","",$AB36),"")</f>
        <v/>
      </c>
      <c r="AQ36" s="9" t="str">
        <f aca="false">IF($D36="Drift",IF($A36&lt;IF(Setup!$B$14="",0,Setup!$B$14),"",$A36),"")</f>
        <v/>
      </c>
      <c r="AR36" s="9" t="str">
        <f aca="false">IF($D36="Drift",IF($A36&lt;IF(Setup!$B$14="",0,Setup!$B$14),"",IF($BI36="","",$BI36)),"")</f>
        <v/>
      </c>
      <c r="AS36" s="9" t="str">
        <f aca="false">IF($D36="Drift",IF($A36&lt;IF(Setup!$B$14="",0,Setup!$B$14),"",IF(OR($X36="",$BX36=1),"",$X36)),"")</f>
        <v/>
      </c>
      <c r="AT36" s="9" t="str">
        <f aca="false">IF($D36="Drift",IF($A36&lt;IF(Setup!$B$14="",0,Setup!$B$14),"",IF(OR($AC36="",$BY36=1),"",$AC36)),"")</f>
        <v/>
      </c>
      <c r="AU36" s="9" t="str">
        <f aca="false">IF($D36="Anchor",IF(OR($Z36="",$S36=""),"",$Z36),"")</f>
        <v/>
      </c>
      <c r="AV36" s="9" t="str">
        <f aca="false">IF($D36="Anchor",IF(OR($Z36="",$S36=""),"",$S36),"")</f>
        <v/>
      </c>
      <c r="AW36" s="9" t="str">
        <f aca="false">IF($D36="Anchor",IF(OR($AE36="",$T36=""),"",$AE36),"")</f>
        <v/>
      </c>
      <c r="AX36" s="9" t="str">
        <f aca="false">IF($D36="Anchor",IF(OR($AE36="",$T36=""),"",$T36),"")</f>
        <v/>
      </c>
      <c r="AY36" s="9" t="str">
        <f aca="false">IF(OR($D36="Blank",$D36="Exclude",$D36="Sample",$D36="",$G36="",$U36="",$L36=""),"",$G36*1000*$U36/100)</f>
        <v/>
      </c>
      <c r="AZ36" s="9" t="str">
        <f aca="false">IF($AY36="","",$L36)</f>
        <v/>
      </c>
      <c r="BA36" s="9" t="str">
        <f aca="false">IF(OR($D36="Blank",$D36="Exclude",$D36="Sample",$D36="",$G36="",$V36="",$P36=""),"",$G36*1000*$V36/100)</f>
        <v/>
      </c>
      <c r="BB36" s="9" t="str">
        <f aca="false">IF($BA36="","",$P36)</f>
        <v/>
      </c>
      <c r="BC36" s="9" t="str">
        <f aca="false">IF(AND($D36="Blank",$L36&lt;&gt;""),$O36,"")</f>
        <v/>
      </c>
      <c r="BD36" s="9" t="str">
        <f aca="false">IF($BC36="","",$L36)</f>
        <v/>
      </c>
      <c r="BE36" s="9" t="str">
        <f aca="false">IF(AND($D36="Blank",$P36&lt;&gt;""),$R36,"")</f>
        <v/>
      </c>
      <c r="BF36" s="9" t="str">
        <f aca="false">IF($BE36="","",$P36)</f>
        <v/>
      </c>
      <c r="BG36" s="9" t="str">
        <f aca="false">IF(AND($D36="Drift",$BX36&lt;&gt;1),IF($AA36="","",$AA36),"")</f>
        <v/>
      </c>
      <c r="BH36" s="9" t="str">
        <f aca="false">IF(AND($D36="Drift",$BY36&lt;&gt;1),IF($AF36="","",$AF36),"")</f>
        <v/>
      </c>
      <c r="BI36" s="20" t="n">
        <f aca="false">IF($B36="","",IFERROR(INDEX(Raw!$G$2:$G$1001,MATCH($A36&amp;"|N|"&amp;SUMPRODUCT(MAX((Raw!$A$2:$A$1001=$A36)*(Raw!$R$2:$R$1001="N")*(Raw!$I$2:$I$1001=1)*Raw!$D$2:$D$1001)),Raw!$S$2:$S$1001,0)),""))</f>
        <v>23.9</v>
      </c>
      <c r="BJ36" s="21" t="n">
        <f aca="false">IF(OR($BI36="",Fits!$B$85&lt;=0),"",($BI36-Fits!$B$83)/Fits!$B$85)</f>
        <v>0.0720720720720718</v>
      </c>
      <c r="BK36" s="9" t="str">
        <f aca="false">IF($AS36="","",IF($A36&gt;=Fits!$B$86,"",$A36))</f>
        <v/>
      </c>
      <c r="BL36" s="9" t="str">
        <f aca="false">IF($BK36="","",$X36)</f>
        <v/>
      </c>
      <c r="BM36" s="9" t="str">
        <f aca="false">IF($AS36="","",IF($A36&lt;Fits!$B$86,"",$A36))</f>
        <v/>
      </c>
      <c r="BN36" s="9" t="str">
        <f aca="false">IF($BM36="","",$X36)</f>
        <v/>
      </c>
      <c r="BO36" s="9" t="str">
        <f aca="false">IF(AND($D36="Drift",$BX36&lt;&gt;1),IF($O36="","",$O36),"")</f>
        <v/>
      </c>
      <c r="BP36" s="9" t="str">
        <f aca="false">IF(AND($D36="Drift",$BX36&lt;&gt;1),IF($W36="","",$W36),"")</f>
        <v/>
      </c>
      <c r="BQ36" s="9" t="str">
        <f aca="false">IF(AND($D36="Drift",$BX36&lt;&gt;1),IF($X36="","",$X36),"")</f>
        <v/>
      </c>
      <c r="BR36" s="9" t="str">
        <f aca="false">IF(AND($D36="Drift",$BX36&lt;&gt;1),IF($Z36="","",$Z36),"")</f>
        <v/>
      </c>
      <c r="BS36" s="9" t="n">
        <f aca="false">IF(OR($B36="",$H36=""),"",SUMPRODUCT(MIN((Raw!$A$2:$A$1001=$A36)*(Raw!$R$2:$R$1001="N")*(Raw!$I$2:$I$1001=0)*(Raw!$D$2:$D$1001&lt;$H36)*Raw!$D$2:$D$1001+(1-(Raw!$A$2:$A$1001=$A36)*(Raw!$R$2:$R$1001="N")*(Raw!$I$2:$I$1001=0)*(Raw!$D$2:$D$1001&lt;$H36))*9999)))</f>
        <v>1</v>
      </c>
      <c r="BT36" s="16" t="n">
        <f aca="false">IF(OR($BS36="",$BS36=9999,$BS36=0),"",IFERROR(INDEX(Raw!$N$2:$N$1001,MATCH($A36&amp;"|N|"&amp;$BS36,Raw!$S$2:$S$1001,0)),""))</f>
        <v>-1.151</v>
      </c>
      <c r="BU36" s="9" t="n">
        <f aca="false">IF($B36="","",SUMPRODUCT(MIN((Raw!$A$2:$A$1001=$A36)*(Raw!$R$2:$R$1001="C")*(Raw!$I$2:$I$1001=1)*Raw!$D$2:$D$1001+(1-(Raw!$A$2:$A$1001=$A36)*(Raw!$R$2:$R$1001="C")*(Raw!$I$2:$I$1001=1))*9999)))</f>
        <v>5</v>
      </c>
      <c r="BV36" s="9" t="n">
        <f aca="false">IF(OR($BU36="",$BU36=9999),"",SUMPRODUCT(MIN((Raw!$A$2:$A$1001=$A36)*(Raw!$R$2:$R$1001="C")*(Raw!$I$2:$I$1001=0)*(Raw!$D$2:$D$1001&gt;$BU36)*Raw!$D$2:$D$1001+(1-(Raw!$A$2:$A$1001=$A36)*(Raw!$R$2:$R$1001="C")*(Raw!$I$2:$I$1001=0)*(Raw!$D$2:$D$1001&gt;$BU36))*9999)))</f>
        <v>6</v>
      </c>
      <c r="BW36" s="16" t="n">
        <f aca="false">IF(OR($BV36="",$BV36=9999,$BV36=0),"",IFERROR(INDEX(Raw!$O$2:$O$1001,MATCH($A36&amp;"|C|"&amp;$BV36,Raw!$S$2:$S$1001,0)),""))</f>
        <v>-25.396</v>
      </c>
      <c r="BX36" s="9" t="n">
        <f aca="false">IF($B36="","",IF(ISNUMBER(SEARCH(","&amp;$A36&amp;",",","&amp;SUBSTITUTE(Setup!$B$16," ","")&amp;",")),1,0))</f>
        <v>0</v>
      </c>
      <c r="BY36" s="9" t="n">
        <f aca="false">IF($B36="","",IF(ISNUMBER(SEARCH(","&amp;$A36&amp;",",","&amp;SUBSTITUTE(Setup!$B$17," ","")&amp;",")),1,0))</f>
        <v>0</v>
      </c>
      <c r="BZ36" s="22" t="str">
        <f aca="false">IF($AS36="","",IF(Fits!$B$38="Row",$AQ36,IF($AR36="","",$AR36)))</f>
        <v/>
      </c>
      <c r="CA36" s="22" t="str">
        <f aca="false">IF($AT36="","",IF(Fits!$B$50="Row",$AQ36,IF($AR36="","",$AR36)))</f>
        <v/>
      </c>
      <c r="CB36" s="20" t="str">
        <f aca="false">IF(OR($D36&lt;&gt;"Drift",$X36="",$A36&lt;IF(Setup!$B$14="",0,Setup!$B$14),Fits!$B$107&lt;3,Fits!$B$110="",Fits!$B$109=0,IF(Fits!$B$38="Row",$AQ36,$AR36)=""),"",IF($BX36=1,IF(OR(Fits!$B$111="",Fits!$B$111=0),"",($X36-(IF(Fits!$B$38="Row",Fits!$B$32,Fits!$B$35)*IF(Fits!$B$38="Row",$AQ36,$AR36)+Fits!$B$110))/(Fits!$B$111*SQRT(1+(1/Fits!$B$107+(IF(Fits!$B$38="Row",$AQ36,$AR36)-Fits!$B$108)^2/Fits!$B$109)))),IF(OR(Fits!$B$107&lt;4,(1/Fits!$B$107+(IF(Fits!$B$38="Row",$AQ36,$AR36)-Fits!$B$108)^2/Fits!$B$109)&gt;=1),"",IF((Fits!$B$116-($X36-(IF(Fits!$B$38="Row",Fits!$B$32,Fits!$B$35)*IF(Fits!$B$38="Row",$AQ36,$AR36)+Fits!$B$110))^2/(1-(1/Fits!$B$107+(IF(Fits!$B$38="Row",$AQ36,$AR36)-Fits!$B$108)^2/Fits!$B$109)))&lt;=0,"",($X36-(IF(Fits!$B$38="Row",Fits!$B$32,Fits!$B$35)*IF(Fits!$B$38="Row",$AQ36,$AR36)+Fits!$B$110))/(SQRT((Fits!$B$116-($X36-(IF(Fits!$B$38="Row",Fits!$B$32,Fits!$B$35)*IF(Fits!$B$38="Row",$AQ36,$AR36)+Fits!$B$110))^2/(1-(1/Fits!$B$107+(IF(Fits!$B$38="Row",$AQ36,$AR36)-Fits!$B$108)^2/Fits!$B$109)))/(Fits!$B$107-3))*SQRT(1-(1/Fits!$B$107+(IF(Fits!$B$38="Row",$AQ36,$AR36)-Fits!$B$108)^2/Fits!$B$109)))))))</f>
        <v/>
      </c>
      <c r="CC36" s="20" t="str">
        <f aca="false">IF(OR($D36&lt;&gt;"Drift",$AC36="",$A36&lt;IF(Setup!$B$14="",0,Setup!$B$14),Fits!$B$120&lt;3,Fits!$B$123="",Fits!$B$122=0,IF(Fits!$B$50="Row",$AQ36,$AR36)=""),"",IF($BY36=1,IF(OR(Fits!$B$124="",Fits!$B$124=0),"",($AC36-(IF(Fits!$B$50="Row",Fits!$B$44,Fits!$B$47)*IF(Fits!$B$50="Row",$AQ36,$AR36)+Fits!$B$123))/(Fits!$B$124*SQRT(1+(1/Fits!$B$120+(IF(Fits!$B$50="Row",$AQ36,$AR36)-Fits!$B$121)^2/Fits!$B$122)))),IF(OR(Fits!$B$120&lt;4,(1/Fits!$B$120+(IF(Fits!$B$50="Row",$AQ36,$AR36)-Fits!$B$121)^2/Fits!$B$122)&gt;=1),"",IF((Fits!$B$129-($AC36-(IF(Fits!$B$50="Row",Fits!$B$44,Fits!$B$47)*IF(Fits!$B$50="Row",$AQ36,$AR36)+Fits!$B$123))^2/(1-(1/Fits!$B$120+(IF(Fits!$B$50="Row",$AQ36,$AR36)-Fits!$B$121)^2/Fits!$B$122)))&lt;=0,"",($AC36-(IF(Fits!$B$50="Row",Fits!$B$44,Fits!$B$47)*IF(Fits!$B$50="Row",$AQ36,$AR36)+Fits!$B$123))/(SQRT((Fits!$B$129-($AC36-(IF(Fits!$B$50="Row",Fits!$B$44,Fits!$B$47)*IF(Fits!$B$50="Row",$AQ36,$AR36)+Fits!$B$123))^2/(1-(1/Fits!$B$120+(IF(Fits!$B$50="Row",$AQ36,$AR36)-Fits!$B$121)^2/Fits!$B$122)))/(Fits!$B$120-3))*SQRT(1-(1/Fits!$B$120+(IF(Fits!$B$50="Row",$AQ36,$AR36)-Fits!$B$121)^2/Fits!$B$122)))))))</f>
        <v/>
      </c>
      <c r="CD36" s="9" t="str">
        <f aca="false">IF($AU36="","",1)</f>
        <v/>
      </c>
      <c r="CE36" s="24" t="str">
        <f aca="false">IF($AU36="","",$AU36-Fits!$B$133)</f>
        <v/>
      </c>
      <c r="CF36" s="24" t="str">
        <f aca="false">IF($AU36="","",($AV36-(Fits!$B$56*$AU36+Fits!$B$57))-Fits!$B$56*($AU36-Fits!$B$133))</f>
        <v/>
      </c>
      <c r="CG36" s="25" t="str">
        <f aca="false">IF($AU36="","",$AU36^2)</f>
        <v/>
      </c>
      <c r="CH36" s="9" t="str">
        <f aca="false">IF($AW36="","",1)</f>
        <v/>
      </c>
      <c r="CI36" s="24" t="str">
        <f aca="false">IF($AW36="","",$AW36-Fits!$B$153)</f>
        <v/>
      </c>
      <c r="CJ36" s="24" t="str">
        <f aca="false">IF($AW36="","",($AX36-(Fits!$B$63*$AW36+Fits!$B$64))-Fits!$B$63*($AW36-Fits!$B$153))</f>
        <v/>
      </c>
      <c r="CK36" s="25" t="str">
        <f aca="false">IF($AW36="","",$AW36^2)</f>
        <v/>
      </c>
      <c r="CL36" s="26" t="n">
        <f aca="false">IF(OR($Z36="",Fits!$B$55&lt;3,Fits!$B$133="",Fits!$B$134="",Fits!$B$134=0,Fits!$B$136=""),"",SQRT((Fits!$B$136*Fits!$B$56)^2+SUMPRODUCT((Fits!$J$163:$J$175*(Fits!$B$163:$B$175/Fits!$B$55+Fits!$H$163:$H$175*($Z36-Fits!$B$133)/Fits!$B$134))^2)+SUMPRODUCT((Fits!$G$163:$G$175*(($Z36-Fits!$B$133)*Fits!$I$163:$I$175/Fits!$B$134-Fits!$B$163:$B$175*Fits!$B$56/Fits!$B$55))^2)))</f>
        <v>0.254625172066392</v>
      </c>
      <c r="CM36" s="26" t="n">
        <f aca="false">IF($CL36="","",Setup!$B$32*$CL36)</f>
        <v>0.509250344132784</v>
      </c>
      <c r="CN36" s="26" t="n">
        <f aca="false">IF(OR($AE36="",Fits!$B$62&lt;3,Fits!$B$153="",Fits!$B$154="",Fits!$B$154=0,Fits!$B$156=""),"",SQRT((Fits!$B$156*Fits!$B$63)^2+SUMPRODUCT((Fits!$J$183:$J$195*(Fits!$B$183:$B$195/Fits!$B$62+Fits!$H$183:$H$195*($AE36-Fits!$B$153)/Fits!$B$154))^2)+SUMPRODUCT((Fits!$G$183:$G$195*(($AE36-Fits!$B$153)*Fits!$I$183:$I$195/Fits!$B$154-Fits!$B$183:$B$195*Fits!$B$63/Fits!$B$62))^2)))</f>
        <v>0.0377631311912292</v>
      </c>
      <c r="CO36" s="26" t="n">
        <f aca="false">IF($CN36="","",Setup!$B$32*$CN36)</f>
        <v>0.0755262623824584</v>
      </c>
      <c r="CP36" s="9" t="n">
        <f aca="false">IF(OR(NOT(ISNUMBER($BJ36)),$EK36=1),$CP35,IF($BJ36&lt;=Setup!$B$26,$CP35+1,0))</f>
        <v>3</v>
      </c>
      <c r="CQ36" s="9" t="n">
        <f aca="false">IF($BT36="","",$A36)</f>
        <v>31</v>
      </c>
      <c r="CR36" s="9" t="n">
        <f aca="false">IF($BW36="","",$A36)</f>
        <v>31</v>
      </c>
      <c r="CS36" s="9" t="n">
        <f aca="false">IF($B36="","",IF(Setup!$A$37="",0,IF(ISNUMBER(SEARCH(Setup!$A$37,$B36)),37,0)))</f>
        <v>0</v>
      </c>
      <c r="CT36" s="9" t="n">
        <f aca="false">IF($B36="","",IF(Setup!$A$38="",0,IF(ISNUMBER(SEARCH(Setup!$A$38,$B36)),38,0)))</f>
        <v>0</v>
      </c>
      <c r="CU36" s="9" t="n">
        <f aca="false">IF($B36="","",IF(Setup!$A$39="",0,IF(ISNUMBER(SEARCH(Setup!$A$39,$B36)),39,0)))</f>
        <v>0</v>
      </c>
      <c r="CV36" s="9" t="n">
        <f aca="false">IF($B36="","",IF(Setup!$A$40="",0,IF(ISNUMBER(SEARCH(Setup!$A$40,$B36)),40,0)))</f>
        <v>0</v>
      </c>
      <c r="CW36" s="9" t="n">
        <f aca="false">IF($B36="","",IF(Setup!$A$41="",0,IF(ISNUMBER(SEARCH(Setup!$A$41,$B36)),41,0)))</f>
        <v>0</v>
      </c>
      <c r="CX36" s="9" t="n">
        <f aca="false">IF($B36="","",IF(Setup!$A$42="",0,IF(ISNUMBER(SEARCH(Setup!$A$42,$B36)),42,0)))</f>
        <v>0</v>
      </c>
      <c r="CY36" s="9" t="n">
        <f aca="false">IF($B36="","",IF(Setup!$A$43="",0,IF(ISNUMBER(SEARCH(Setup!$A$43,$B36)),43,0)))</f>
        <v>0</v>
      </c>
      <c r="CZ36" s="9" t="n">
        <f aca="false">IF($B36="","",IF(Setup!$A$44="",0,IF(ISNUMBER(SEARCH(Setup!$A$44,$B36)),44,0)))</f>
        <v>0</v>
      </c>
      <c r="DA36" s="9" t="n">
        <f aca="false">IF($B36="","",IF(Setup!$A$45="",0,IF(ISNUMBER(SEARCH(Setup!$A$45,$B36)),45,0)))</f>
        <v>0</v>
      </c>
      <c r="DB36" s="9" t="n">
        <f aca="false">IF($B36="","",IF(Setup!$A$46="",0,IF(ISNUMBER(SEARCH(Setup!$A$46,$B36)),46,0)))</f>
        <v>0</v>
      </c>
      <c r="DC36" s="9" t="n">
        <f aca="false">IF($B36="","",IF(Setup!$A$47="",0,IF(ISNUMBER(SEARCH(Setup!$A$47,$B36)),47,0)))</f>
        <v>0</v>
      </c>
      <c r="DD36" s="9" t="n">
        <f aca="false">IF($B36="","",IF(Setup!$A$48="",0,IF(ISNUMBER(SEARCH(Setup!$A$48,$B36)),48,0)))</f>
        <v>0</v>
      </c>
      <c r="DE36" s="9" t="n">
        <f aca="false">IF($B36="","",IF(Setup!$A$49="",0,IF(ISNUMBER(SEARCH(Setup!$A$49,$B36)),49,0)))</f>
        <v>0</v>
      </c>
      <c r="DF36" s="9" t="n">
        <f aca="false">IF($B36="",NA(),$A36)</f>
        <v>31</v>
      </c>
      <c r="DG36" s="22" t="n">
        <f aca="false">IF($BI36="",NA(),$BI36)</f>
        <v>23.9</v>
      </c>
      <c r="DH36" s="22" t="n">
        <f aca="false">IF($N36="",NA(),$N36)</f>
        <v>25</v>
      </c>
      <c r="DI36" s="9" t="e">
        <f aca="false">IF(AND($D36="Drift",$N36&lt;&gt;""),$N36,NA())</f>
        <v>#N/A</v>
      </c>
      <c r="DJ36" s="9" t="str">
        <f aca="false">IF(AND($D36="Drift",$N36&lt;&gt;""),$N36,"")</f>
        <v/>
      </c>
      <c r="DK36" s="9" t="str">
        <f aca="false">IF($DJ36="","",$A36)</f>
        <v/>
      </c>
      <c r="DL36" s="9" t="e">
        <f aca="false">IF($AN36="",NA(),$AM36)</f>
        <v>#N/A</v>
      </c>
      <c r="DM36" s="9" t="e">
        <f aca="false">IF($AN36="",NA(),$AN36)</f>
        <v>#N/A</v>
      </c>
      <c r="DN36" s="24" t="n">
        <f aca="false">IF(AND($D36="Sample",$L36&lt;&gt;""),$L36,NA())</f>
        <v>25.209</v>
      </c>
      <c r="DO36" s="24" t="n">
        <f aca="false">IF(AND($D36="Sample",$L36&lt;&gt;"",Fits!$B$98&lt;&gt;""),Fits!$B$98,NA())</f>
        <v>-6.0577</v>
      </c>
      <c r="DP36" s="9" t="e">
        <f aca="false">IF($AS36="",NA(),$AS36)</f>
        <v>#N/A</v>
      </c>
      <c r="DQ36" s="9" t="e">
        <f aca="false">IF(AND($D36="Drift",$AS36="",$X36&lt;&gt;""),$X36,NA())</f>
        <v>#N/A</v>
      </c>
      <c r="DR36" s="9" t="e">
        <f aca="false">IF(AND($D36="Drift",$Z36&lt;&gt;""),$Z36,NA())</f>
        <v>#N/A</v>
      </c>
      <c r="DS36" s="25" t="n">
        <f aca="false">IF(AND(OR($D36="Sample",$D36="Check"),$AA36&lt;&gt;""),$AA36,NA())</f>
        <v>-5.01411304264892</v>
      </c>
      <c r="DT36" s="25" t="n">
        <f aca="false">IF(OR($B36="",Fits!$B$138=""),NA(),Fits!$B$138)</f>
        <v>1.76</v>
      </c>
      <c r="DU36" s="25" t="n">
        <f aca="false">IF(OR($B36="",Fits!$B$139=""),NA(),Fits!$B$139)</f>
        <v>20.68</v>
      </c>
      <c r="DV36" s="24" t="n">
        <f aca="false">IF($BT36="",NA(),$BT36)</f>
        <v>-1.151</v>
      </c>
      <c r="DW36" s="9" t="e">
        <f aca="false">IF($AP36="",NA(),$AO36)</f>
        <v>#N/A</v>
      </c>
      <c r="DX36" s="9" t="e">
        <f aca="false">IF($AP36="",NA(),$AP36)</f>
        <v>#N/A</v>
      </c>
      <c r="DY36" s="24" t="n">
        <f aca="false">IF(AND($D36="Sample",$P36&lt;&gt;""),$P36,NA())</f>
        <v>121.954</v>
      </c>
      <c r="DZ36" s="24" t="n">
        <f aca="false">IF(AND($D36="Sample",$P36&lt;&gt;"",Fits!$B$105&lt;&gt;""),Fits!$B$105,NA())</f>
        <v>-9.717</v>
      </c>
      <c r="EA36" s="9" t="e">
        <f aca="false">IF($AT36="",NA(),$AT36)</f>
        <v>#N/A</v>
      </c>
      <c r="EB36" s="9" t="e">
        <f aca="false">IF(AND($D36="Drift",$AT36="",$AC36&lt;&gt;""),$AC36,NA())</f>
        <v>#N/A</v>
      </c>
      <c r="EC36" s="9" t="e">
        <f aca="false">IF(AND($D36="Drift",$AE36&lt;&gt;""),$AE36,NA())</f>
        <v>#N/A</v>
      </c>
      <c r="ED36" s="25" t="n">
        <f aca="false">IF(AND(OR($D36="Sample",$D36="Check"),$AF36&lt;&gt;""),$AF36,NA())</f>
        <v>-26.7535281607883</v>
      </c>
      <c r="EE36" s="25" t="n">
        <f aca="false">IF(OR($B36="",Fits!$B$158=""),NA(),Fits!$B$158)</f>
        <v>-40.81</v>
      </c>
      <c r="EF36" s="25" t="n">
        <f aca="false">IF(OR($B36="",Fits!$B$159=""),NA(),Fits!$B$159)</f>
        <v>-20.29</v>
      </c>
      <c r="EG36" s="24" t="n">
        <f aca="false">IF($BW36="",NA(),$BW36)</f>
        <v>-25.396</v>
      </c>
      <c r="EH36" s="9" t="e">
        <f aca="false">IF(AND($EN36=1,ISNUMBER($N36)),$N36,NA())</f>
        <v>#N/A</v>
      </c>
      <c r="EI36" s="9" t="n">
        <f aca="false">IF($B36="","",$A36)</f>
        <v>31</v>
      </c>
      <c r="EJ36" s="9" t="n">
        <f aca="false">IF(OR(AND(ISNUMBER($L36),Fits!$B$97&gt;0,$L36&gt;Fits!$B$97),AND(ISNUMBER($P36),Fits!$B$104&gt;0,$P36&gt;Fits!$B$104)),1,0)</f>
        <v>0</v>
      </c>
      <c r="EK36" s="9" t="n">
        <f aca="false">IF(OR($EJ35=1,$EJ34=1),1,0)</f>
        <v>1</v>
      </c>
      <c r="EL36" s="22" t="n">
        <f aca="false">IF(AND($EK36=0,ISNUMBER($N36)),$N36,$EL35)</f>
        <v>25.1</v>
      </c>
      <c r="EM36" s="9" t="n">
        <f aca="false">IF(AND($EK36=1,ISNUMBER($N36),ISNUMBER($EL36)),$N36-$EL36,"")</f>
        <v>-0.100000000000001</v>
      </c>
      <c r="EN36" s="9" t="n">
        <f aca="false">IF(Setup!$B$28="",0,IF(ISNUMBER($EM36),IF($EM36&gt;Setup!$B$28,1,0),0))</f>
        <v>0</v>
      </c>
      <c r="EO36" s="9" t="str">
        <f aca="false">IF($EN36=1,COUNTIF($EN$6:$EN36,1),"")</f>
        <v/>
      </c>
      <c r="EP36" s="9" t="n">
        <f aca="false">IF(AND($EJ35=1,OR($D36="Sample",$D36="Check")),1,0)</f>
        <v>0</v>
      </c>
      <c r="EQ36" s="9" t="str">
        <f aca="false">IF(ISNUMBER($BI36),IF(COUNT($BI$6:$BI36)&lt;=5,$BI36,""),"")</f>
        <v/>
      </c>
      <c r="ER36" s="9" t="n">
        <f aca="false">IF(OR(NOT(ISNUMBER($BJ36)),$EK36=1),$ER35,IF($BJ36&lt;=Setup!$B$26,IF($CP35=0,$A36,$ER35),""))</f>
        <v>27</v>
      </c>
    </row>
    <row r="37" customFormat="false" ht="15" hidden="false" customHeight="false" outlineLevel="0" collapsed="false">
      <c r="A37" s="8" t="n">
        <v>32</v>
      </c>
      <c r="B37" s="8" t="str">
        <f aca="false">IFERROR(INDEX(Raw!$B$2:$B$1001,MATCH($A37,Raw!$A$2:$A$1001,0)),"")</f>
        <v>Random</v>
      </c>
      <c r="C37" s="9" t="n">
        <f aca="false">IF($B37="","",MAX($CS37:$DE37))</f>
        <v>0</v>
      </c>
      <c r="D37" s="8" t="str">
        <f aca="false">IF($B37="","",IF($C37=0,"Sample",INDEX(Setup!$B$37:$B$49,$C37-36)))</f>
        <v>Sample</v>
      </c>
      <c r="E37" s="16" t="str">
        <f aca="false">IF($B37="","",IFERROR(IF(INDEX(Raw!$E$2:$E$1001,MATCH($A37,Raw!$A$2:$A$1001,0))=0,"",INDEX(Raw!$E$2:$E$1001,MATCH($A37,Raw!$A$2:$A$1001,0))),""))</f>
        <v/>
      </c>
      <c r="F37" s="18"/>
      <c r="G37" s="16" t="str">
        <f aca="false">IF($B37="","",IF($F37&lt;&gt;"",$F37,IF($E37="","",$E37)))</f>
        <v/>
      </c>
      <c r="H37" s="9" t="n">
        <f aca="false">IF($B37="","",SUMPRODUCT(MAX((Raw!$A$2:$A$1001=$A37)*(Raw!$R$2:$R$1001="N")*Raw!$D$2:$D$1001)))</f>
        <v>3</v>
      </c>
      <c r="I37" s="9" t="str">
        <f aca="false">IF(OR($H37="",$H37=0),"",$A37&amp;"|N|"&amp;$H37)</f>
        <v>32|N|3</v>
      </c>
      <c r="J37" s="9" t="n">
        <f aca="false">IF($B37="","",SUMPRODUCT(MIN((Raw!$A$2:$A$1001=$A37)*(Raw!$R$2:$R$1001="C")*Raw!$D$2:$D$1001+(1-(Raw!$A$2:$A$1001=$A37)*(Raw!$R$2:$R$1001="C"))*9999)))</f>
        <v>4</v>
      </c>
      <c r="K37" s="9" t="str">
        <f aca="false">IF(OR($J37="",$J37=0,$J37=9999),"",$A37&amp;"|C|"&amp;$J37)</f>
        <v>32|C|4</v>
      </c>
      <c r="L37" s="16" t="n">
        <f aca="false">IF($I37="","",IF(INDEX(Raw!$I$2:$I$1001,MATCH($I37,Raw!$S$2:$S$1001,0))&lt;&gt;0,"",INDEX(Raw!$H$2:$H$1001,MATCH($I37,Raw!$S$2:$S$1001,0))))</f>
        <v>12.229</v>
      </c>
      <c r="M37" s="19" t="n">
        <f aca="false">IF($I37="","",IF(INDEX(Raw!$I$2:$I$1001,MATCH($I37,Raw!$S$2:$S$1001,0))&lt;&gt;0,"",INDEX(Raw!$F$2:$F$1001,MATCH($I37,Raw!$S$2:$S$1001,0))))</f>
        <v>654</v>
      </c>
      <c r="N37" s="20" t="n">
        <f aca="false">IF($I37="","",IF(INDEX(Raw!$I$2:$I$1001,MATCH($I37,Raw!$S$2:$S$1001,0))&lt;&gt;0,"",INDEX(Raw!$G$2:$G$1001,MATCH($I37,Raw!$S$2:$S$1001,0))))</f>
        <v>24.9</v>
      </c>
      <c r="O37" s="16" t="n">
        <f aca="false">IF($I37="","",IF(INDEX(Raw!$I$2:$I$1001,MATCH($I37,Raw!$S$2:$S$1001,0))&lt;&gt;0,"",INDEX(Raw!$N$2:$N$1001,MATCH($I37,Raw!$S$2:$S$1001,0))))</f>
        <v>-6.39</v>
      </c>
      <c r="P37" s="16" t="n">
        <f aca="false">IF($K37="","",IF(INDEX(Raw!$I$2:$I$1001,MATCH($K37,Raw!$S$2:$S$1001,0))&lt;&gt;0,"",INDEX(Raw!$K$2:$K$1001,MATCH($K37,Raw!$S$2:$S$1001,0))))</f>
        <v>56.107</v>
      </c>
      <c r="Q37" s="19" t="n">
        <f aca="false">IF($K37="","",IF(INDEX(Raw!$I$2:$I$1001,MATCH($K37,Raw!$S$2:$S$1001,0))&lt;&gt;0,"",INDEX(Raw!$J$2:$J$1001,MATCH($K37,Raw!$S$2:$S$1001,0))))</f>
        <v>2542</v>
      </c>
      <c r="R37" s="16" t="n">
        <f aca="false">IF($K37="","",IF(INDEX(Raw!$I$2:$I$1001,MATCH($K37,Raw!$S$2:$S$1001,0))&lt;&gt;0,"",INDEX(Raw!$O$2:$O$1001,MATCH($K37,Raw!$S$2:$S$1001,0))))</f>
        <v>-9.702</v>
      </c>
      <c r="S37" s="21" t="str">
        <f aca="false">IF($B37="","",IF($C37=0,"",IF(INDEX(Setup!$D$37:$D$49,$C37-36)="","",INDEX(Setup!$D$37:$D$49,$C37-36))))</f>
        <v/>
      </c>
      <c r="T37" s="21" t="str">
        <f aca="false">IF($B37="","",IF($C37=0,"",IF(INDEX(Setup!$C$37:$C$49,$C37-36)="","",INDEX(Setup!$C$37:$C$49,$C37-36))))</f>
        <v/>
      </c>
      <c r="U37" s="21" t="str">
        <f aca="false">IF($B37="","",IF($C37=0,"",IF(INDEX(Setup!$F$37:$F$49,$C37-36)="","",INDEX(Setup!$F$37:$F$49,$C37-36))))</f>
        <v/>
      </c>
      <c r="V37" s="21" t="str">
        <f aca="false">IF($B37="","",IF($C37=0,"",IF(INDEX(Setup!$E$37:$E$49,$C37-36)="","",INDEX(Setup!$E$37:$E$49,$C37-36))))</f>
        <v/>
      </c>
      <c r="W37" s="16" t="n">
        <f aca="false">IF($O37="","",IF(OR(Fits!$C$5&lt;&gt;"Yes",$D37="Blank",$L37&lt;=Fits!$B$6),$O37,($L37*$O37-Fits!$B$6*Fits!$B$7)/($L37-Fits!$B$6)))</f>
        <v>-6.39</v>
      </c>
      <c r="X37" s="16" t="n">
        <f aca="false">IF($W37="","",$W37-Fits!$B$20*($L37-Fits!$B$16))</f>
        <v>-6.39</v>
      </c>
      <c r="Y37" s="22" t="n">
        <f aca="false">IF($W37="","",IF(OR(Fits!$B$38="Row",$BI37=""),$A37,$BI37))</f>
        <v>32</v>
      </c>
      <c r="Z37" s="16" t="n">
        <f aca="false">IF($X37="","",$X37-Fits!$B$39*($Y37-Fits!$B$40))</f>
        <v>-6.4161038499902</v>
      </c>
      <c r="AA37" s="23" t="n">
        <f aca="false">IF(OR($Z37="",Fits!$B$55&lt;2),"",Fits!$B$56*$Z37+Fits!$B$57)</f>
        <v>-5.55948862794712</v>
      </c>
      <c r="AB37" s="16" t="n">
        <f aca="false">IF($R37="","",IF(OR(Fits!$C$9&lt;&gt;"Yes",$D37="Blank",$P37&lt;=Fits!$B$10),$R37,($P37*$R37-Fits!$B$10*Fits!$B$11)/($P37-Fits!$B$10)))</f>
        <v>-9.702</v>
      </c>
      <c r="AC37" s="16" t="n">
        <f aca="false">IF($AB37="","",$AB37-Fits!$B$28*($P37-Fits!$B$24))</f>
        <v>-9.57818368469252</v>
      </c>
      <c r="AD37" s="22" t="n">
        <f aca="false">IF($AB37="","",IF(OR(Fits!$B$50="Row",$BI37=""),$A37,$BI37))</f>
        <v>32</v>
      </c>
      <c r="AE37" s="16" t="n">
        <f aca="false">IF($AC37="","",$AC37-Fits!$B$51*($AD37-Fits!$B$52))</f>
        <v>-9.57358781199374</v>
      </c>
      <c r="AF37" s="23" t="n">
        <f aca="false">IF(OR($AE37="",Fits!$B$62&lt;2),"",Fits!$B$63*$AE37+Fits!$B$64)</f>
        <v>-26.7013006406962</v>
      </c>
      <c r="AG37" s="21" t="n">
        <f aca="false">IF(OR($L37="",Fits!$B$69&lt;3),"",($L37-Fits!$B$71)/Fits!$B$70)</f>
        <v>16.9223715676126</v>
      </c>
      <c r="AH37" s="21" t="n">
        <f aca="false">IF(OR($P37="",Fits!$B$75&lt;3),"",($P37-Fits!$B$77)/Fits!$B$76)</f>
        <v>123.811201970449</v>
      </c>
      <c r="AI37" s="23" t="str">
        <f aca="false">IF(OR($AG37="",$G37="",$G37=0),"",$AG37/($G37*1000)*100)</f>
        <v/>
      </c>
      <c r="AJ37" s="23" t="str">
        <f aca="false">IF(OR($AH37="",$G37="",$G37=0),"",$AH37/($G37*1000)*100)</f>
        <v/>
      </c>
      <c r="AK37" s="23" t="n">
        <f aca="false">IF(OR($AG37="",$AH37="",$AG37&lt;=0),"",($AH37/Setup!$B$52)/($AG37/Setup!$B$53))</f>
        <v>8.53227166422768</v>
      </c>
      <c r="AL37" s="23" t="n">
        <f aca="false">IF(OR($AG37="",$AH37="",$AG37&lt;=0),"",$AH37/$AG37)</f>
        <v>7.31642142921673</v>
      </c>
      <c r="AM37" s="9" t="str">
        <f aca="false">IF($D37="Linearity",IF($L37="","",$L37),"")</f>
        <v/>
      </c>
      <c r="AN37" s="9" t="str">
        <f aca="false">IF($D37="Linearity",IF($W37="","",$W37),"")</f>
        <v/>
      </c>
      <c r="AO37" s="9" t="str">
        <f aca="false">IF($D37="Linearity",IF($P37="","",$P37),"")</f>
        <v/>
      </c>
      <c r="AP37" s="9" t="str">
        <f aca="false">IF($D37="Linearity",IF($AB37="","",$AB37),"")</f>
        <v/>
      </c>
      <c r="AQ37" s="9" t="str">
        <f aca="false">IF($D37="Drift",IF($A37&lt;IF(Setup!$B$14="",0,Setup!$B$14),"",$A37),"")</f>
        <v/>
      </c>
      <c r="AR37" s="9" t="str">
        <f aca="false">IF($D37="Drift",IF($A37&lt;IF(Setup!$B$14="",0,Setup!$B$14),"",IF($BI37="","",$BI37)),"")</f>
        <v/>
      </c>
      <c r="AS37" s="9" t="str">
        <f aca="false">IF($D37="Drift",IF($A37&lt;IF(Setup!$B$14="",0,Setup!$B$14),"",IF(OR($X37="",$BX37=1),"",$X37)),"")</f>
        <v/>
      </c>
      <c r="AT37" s="9" t="str">
        <f aca="false">IF($D37="Drift",IF($A37&lt;IF(Setup!$B$14="",0,Setup!$B$14),"",IF(OR($AC37="",$BY37=1),"",$AC37)),"")</f>
        <v/>
      </c>
      <c r="AU37" s="9" t="str">
        <f aca="false">IF($D37="Anchor",IF(OR($Z37="",$S37=""),"",$Z37),"")</f>
        <v/>
      </c>
      <c r="AV37" s="9" t="str">
        <f aca="false">IF($D37="Anchor",IF(OR($Z37="",$S37=""),"",$S37),"")</f>
        <v/>
      </c>
      <c r="AW37" s="9" t="str">
        <f aca="false">IF($D37="Anchor",IF(OR($AE37="",$T37=""),"",$AE37),"")</f>
        <v/>
      </c>
      <c r="AX37" s="9" t="str">
        <f aca="false">IF($D37="Anchor",IF(OR($AE37="",$T37=""),"",$T37),"")</f>
        <v/>
      </c>
      <c r="AY37" s="9" t="str">
        <f aca="false">IF(OR($D37="Blank",$D37="Exclude",$D37="Sample",$D37="",$G37="",$U37="",$L37=""),"",$G37*1000*$U37/100)</f>
        <v/>
      </c>
      <c r="AZ37" s="9" t="str">
        <f aca="false">IF($AY37="","",$L37)</f>
        <v/>
      </c>
      <c r="BA37" s="9" t="str">
        <f aca="false">IF(OR($D37="Blank",$D37="Exclude",$D37="Sample",$D37="",$G37="",$V37="",$P37=""),"",$G37*1000*$V37/100)</f>
        <v/>
      </c>
      <c r="BB37" s="9" t="str">
        <f aca="false">IF($BA37="","",$P37)</f>
        <v/>
      </c>
      <c r="BC37" s="9" t="str">
        <f aca="false">IF(AND($D37="Blank",$L37&lt;&gt;""),$O37,"")</f>
        <v/>
      </c>
      <c r="BD37" s="9" t="str">
        <f aca="false">IF($BC37="","",$L37)</f>
        <v/>
      </c>
      <c r="BE37" s="9" t="str">
        <f aca="false">IF(AND($D37="Blank",$P37&lt;&gt;""),$R37,"")</f>
        <v/>
      </c>
      <c r="BF37" s="9" t="str">
        <f aca="false">IF($BE37="","",$P37)</f>
        <v/>
      </c>
      <c r="BG37" s="9" t="str">
        <f aca="false">IF(AND($D37="Drift",$BX37&lt;&gt;1),IF($AA37="","",$AA37),"")</f>
        <v/>
      </c>
      <c r="BH37" s="9" t="str">
        <f aca="false">IF(AND($D37="Drift",$BY37&lt;&gt;1),IF($AF37="","",$AF37),"")</f>
        <v/>
      </c>
      <c r="BI37" s="20" t="n">
        <f aca="false">IF($B37="","",IFERROR(INDEX(Raw!$G$2:$G$1001,MATCH($A37&amp;"|N|"&amp;SUMPRODUCT(MAX((Raw!$A$2:$A$1001=$A37)*(Raw!$R$2:$R$1001="N")*(Raw!$I$2:$I$1001=1)*Raw!$D$2:$D$1001)),Raw!$S$2:$S$1001,0)),""))</f>
        <v>23.9</v>
      </c>
      <c r="BJ37" s="21" t="n">
        <f aca="false">IF(OR($BI37="",Fits!$B$85&lt;=0),"",($BI37-Fits!$B$83)/Fits!$B$85)</f>
        <v>0.0720720720720718</v>
      </c>
      <c r="BK37" s="9" t="str">
        <f aca="false">IF($AS37="","",IF($A37&gt;=Fits!$B$86,"",$A37))</f>
        <v/>
      </c>
      <c r="BL37" s="9" t="str">
        <f aca="false">IF($BK37="","",$X37)</f>
        <v/>
      </c>
      <c r="BM37" s="9" t="str">
        <f aca="false">IF($AS37="","",IF($A37&lt;Fits!$B$86,"",$A37))</f>
        <v/>
      </c>
      <c r="BN37" s="9" t="str">
        <f aca="false">IF($BM37="","",$X37)</f>
        <v/>
      </c>
      <c r="BO37" s="9" t="str">
        <f aca="false">IF(AND($D37="Drift",$BX37&lt;&gt;1),IF($O37="","",$O37),"")</f>
        <v/>
      </c>
      <c r="BP37" s="9" t="str">
        <f aca="false">IF(AND($D37="Drift",$BX37&lt;&gt;1),IF($W37="","",$W37),"")</f>
        <v/>
      </c>
      <c r="BQ37" s="9" t="str">
        <f aca="false">IF(AND($D37="Drift",$BX37&lt;&gt;1),IF($X37="","",$X37),"")</f>
        <v/>
      </c>
      <c r="BR37" s="9" t="str">
        <f aca="false">IF(AND($D37="Drift",$BX37&lt;&gt;1),IF($Z37="","",$Z37),"")</f>
        <v/>
      </c>
      <c r="BS37" s="9" t="n">
        <f aca="false">IF(OR($B37="",$H37=""),"",SUMPRODUCT(MIN((Raw!$A$2:$A$1001=$A37)*(Raw!$R$2:$R$1001="N")*(Raw!$I$2:$I$1001=0)*(Raw!$D$2:$D$1001&lt;$H37)*Raw!$D$2:$D$1001+(1-(Raw!$A$2:$A$1001=$A37)*(Raw!$R$2:$R$1001="N")*(Raw!$I$2:$I$1001=0)*(Raw!$D$2:$D$1001&lt;$H37))*9999)))</f>
        <v>1</v>
      </c>
      <c r="BT37" s="16" t="n">
        <f aca="false">IF(OR($BS37="",$BS37=9999,$BS37=0),"",IFERROR(INDEX(Raw!$N$2:$N$1001,MATCH($A37&amp;"|N|"&amp;$BS37,Raw!$S$2:$S$1001,0)),""))</f>
        <v>-1.253</v>
      </c>
      <c r="BU37" s="9" t="n">
        <f aca="false">IF($B37="","",SUMPRODUCT(MIN((Raw!$A$2:$A$1001=$A37)*(Raw!$R$2:$R$1001="C")*(Raw!$I$2:$I$1001=1)*Raw!$D$2:$D$1001+(1-(Raw!$A$2:$A$1001=$A37)*(Raw!$R$2:$R$1001="C")*(Raw!$I$2:$I$1001=1))*9999)))</f>
        <v>5</v>
      </c>
      <c r="BV37" s="9" t="n">
        <f aca="false">IF(OR($BU37="",$BU37=9999),"",SUMPRODUCT(MIN((Raw!$A$2:$A$1001=$A37)*(Raw!$R$2:$R$1001="C")*(Raw!$I$2:$I$1001=0)*(Raw!$D$2:$D$1001&gt;$BU37)*Raw!$D$2:$D$1001+(1-(Raw!$A$2:$A$1001=$A37)*(Raw!$R$2:$R$1001="C")*(Raw!$I$2:$I$1001=0)*(Raw!$D$2:$D$1001&gt;$BU37))*9999)))</f>
        <v>6</v>
      </c>
      <c r="BW37" s="16" t="n">
        <f aca="false">IF(OR($BV37="",$BV37=9999,$BV37=0),"",IFERROR(INDEX(Raw!$O$2:$O$1001,MATCH($A37&amp;"|C|"&amp;$BV37,Raw!$S$2:$S$1001,0)),""))</f>
        <v>-25.392</v>
      </c>
      <c r="BX37" s="9" t="n">
        <f aca="false">IF($B37="","",IF(ISNUMBER(SEARCH(","&amp;$A37&amp;",",","&amp;SUBSTITUTE(Setup!$B$16," ","")&amp;",")),1,0))</f>
        <v>0</v>
      </c>
      <c r="BY37" s="9" t="n">
        <f aca="false">IF($B37="","",IF(ISNUMBER(SEARCH(","&amp;$A37&amp;",",","&amp;SUBSTITUTE(Setup!$B$17," ","")&amp;",")),1,0))</f>
        <v>0</v>
      </c>
      <c r="BZ37" s="22" t="str">
        <f aca="false">IF($AS37="","",IF(Fits!$B$38="Row",$AQ37,IF($AR37="","",$AR37)))</f>
        <v/>
      </c>
      <c r="CA37" s="22" t="str">
        <f aca="false">IF($AT37="","",IF(Fits!$B$50="Row",$AQ37,IF($AR37="","",$AR37)))</f>
        <v/>
      </c>
      <c r="CB37" s="20" t="str">
        <f aca="false">IF(OR($D37&lt;&gt;"Drift",$X37="",$A37&lt;IF(Setup!$B$14="",0,Setup!$B$14),Fits!$B$107&lt;3,Fits!$B$110="",Fits!$B$109=0,IF(Fits!$B$38="Row",$AQ37,$AR37)=""),"",IF($BX37=1,IF(OR(Fits!$B$111="",Fits!$B$111=0),"",($X37-(IF(Fits!$B$38="Row",Fits!$B$32,Fits!$B$35)*IF(Fits!$B$38="Row",$AQ37,$AR37)+Fits!$B$110))/(Fits!$B$111*SQRT(1+(1/Fits!$B$107+(IF(Fits!$B$38="Row",$AQ37,$AR37)-Fits!$B$108)^2/Fits!$B$109)))),IF(OR(Fits!$B$107&lt;4,(1/Fits!$B$107+(IF(Fits!$B$38="Row",$AQ37,$AR37)-Fits!$B$108)^2/Fits!$B$109)&gt;=1),"",IF((Fits!$B$116-($X37-(IF(Fits!$B$38="Row",Fits!$B$32,Fits!$B$35)*IF(Fits!$B$38="Row",$AQ37,$AR37)+Fits!$B$110))^2/(1-(1/Fits!$B$107+(IF(Fits!$B$38="Row",$AQ37,$AR37)-Fits!$B$108)^2/Fits!$B$109)))&lt;=0,"",($X37-(IF(Fits!$B$38="Row",Fits!$B$32,Fits!$B$35)*IF(Fits!$B$38="Row",$AQ37,$AR37)+Fits!$B$110))/(SQRT((Fits!$B$116-($X37-(IF(Fits!$B$38="Row",Fits!$B$32,Fits!$B$35)*IF(Fits!$B$38="Row",$AQ37,$AR37)+Fits!$B$110))^2/(1-(1/Fits!$B$107+(IF(Fits!$B$38="Row",$AQ37,$AR37)-Fits!$B$108)^2/Fits!$B$109)))/(Fits!$B$107-3))*SQRT(1-(1/Fits!$B$107+(IF(Fits!$B$38="Row",$AQ37,$AR37)-Fits!$B$108)^2/Fits!$B$109)))))))</f>
        <v/>
      </c>
      <c r="CC37" s="20" t="str">
        <f aca="false">IF(OR($D37&lt;&gt;"Drift",$AC37="",$A37&lt;IF(Setup!$B$14="",0,Setup!$B$14),Fits!$B$120&lt;3,Fits!$B$123="",Fits!$B$122=0,IF(Fits!$B$50="Row",$AQ37,$AR37)=""),"",IF($BY37=1,IF(OR(Fits!$B$124="",Fits!$B$124=0),"",($AC37-(IF(Fits!$B$50="Row",Fits!$B$44,Fits!$B$47)*IF(Fits!$B$50="Row",$AQ37,$AR37)+Fits!$B$123))/(Fits!$B$124*SQRT(1+(1/Fits!$B$120+(IF(Fits!$B$50="Row",$AQ37,$AR37)-Fits!$B$121)^2/Fits!$B$122)))),IF(OR(Fits!$B$120&lt;4,(1/Fits!$B$120+(IF(Fits!$B$50="Row",$AQ37,$AR37)-Fits!$B$121)^2/Fits!$B$122)&gt;=1),"",IF((Fits!$B$129-($AC37-(IF(Fits!$B$50="Row",Fits!$B$44,Fits!$B$47)*IF(Fits!$B$50="Row",$AQ37,$AR37)+Fits!$B$123))^2/(1-(1/Fits!$B$120+(IF(Fits!$B$50="Row",$AQ37,$AR37)-Fits!$B$121)^2/Fits!$B$122)))&lt;=0,"",($AC37-(IF(Fits!$B$50="Row",Fits!$B$44,Fits!$B$47)*IF(Fits!$B$50="Row",$AQ37,$AR37)+Fits!$B$123))/(SQRT((Fits!$B$129-($AC37-(IF(Fits!$B$50="Row",Fits!$B$44,Fits!$B$47)*IF(Fits!$B$50="Row",$AQ37,$AR37)+Fits!$B$123))^2/(1-(1/Fits!$B$120+(IF(Fits!$B$50="Row",$AQ37,$AR37)-Fits!$B$121)^2/Fits!$B$122)))/(Fits!$B$120-3))*SQRT(1-(1/Fits!$B$120+(IF(Fits!$B$50="Row",$AQ37,$AR37)-Fits!$B$121)^2/Fits!$B$122)))))))</f>
        <v/>
      </c>
      <c r="CD37" s="9" t="str">
        <f aca="false">IF($AU37="","",1)</f>
        <v/>
      </c>
      <c r="CE37" s="24" t="str">
        <f aca="false">IF($AU37="","",$AU37-Fits!$B$133)</f>
        <v/>
      </c>
      <c r="CF37" s="24" t="str">
        <f aca="false">IF($AU37="","",($AV37-(Fits!$B$56*$AU37+Fits!$B$57))-Fits!$B$56*($AU37-Fits!$B$133))</f>
        <v/>
      </c>
      <c r="CG37" s="25" t="str">
        <f aca="false">IF($AU37="","",$AU37^2)</f>
        <v/>
      </c>
      <c r="CH37" s="9" t="str">
        <f aca="false">IF($AW37="","",1)</f>
        <v/>
      </c>
      <c r="CI37" s="24" t="str">
        <f aca="false">IF($AW37="","",$AW37-Fits!$B$153)</f>
        <v/>
      </c>
      <c r="CJ37" s="24" t="str">
        <f aca="false">IF($AW37="","",($AX37-(Fits!$B$63*$AW37+Fits!$B$64))-Fits!$B$63*($AW37-Fits!$B$153))</f>
        <v/>
      </c>
      <c r="CK37" s="25" t="str">
        <f aca="false">IF($AW37="","",$AW37^2)</f>
        <v/>
      </c>
      <c r="CL37" s="26" t="n">
        <f aca="false">IF(OR($Z37="",Fits!$B$55&lt;3,Fits!$B$133="",Fits!$B$134="",Fits!$B$134=0,Fits!$B$136=""),"",SQRT((Fits!$B$136*Fits!$B$56)^2+SUMPRODUCT((Fits!$J$163:$J$175*(Fits!$B$163:$B$175/Fits!$B$55+Fits!$H$163:$H$175*($Z37-Fits!$B$133)/Fits!$B$134))^2)+SUMPRODUCT((Fits!$G$163:$G$175*(($Z37-Fits!$B$133)*Fits!$I$163:$I$175/Fits!$B$134-Fits!$B$163:$B$175*Fits!$B$56/Fits!$B$55))^2)))</f>
        <v>0.257817934729882</v>
      </c>
      <c r="CM37" s="26" t="n">
        <f aca="false">IF($CL37="","",Setup!$B$32*$CL37)</f>
        <v>0.515635869459765</v>
      </c>
      <c r="CN37" s="26" t="n">
        <f aca="false">IF(OR($AE37="",Fits!$B$62&lt;3,Fits!$B$153="",Fits!$B$154="",Fits!$B$154=0,Fits!$B$156=""),"",SQRT((Fits!$B$156*Fits!$B$63)^2+SUMPRODUCT((Fits!$J$183:$J$195*(Fits!$B$183:$B$195/Fits!$B$62+Fits!$H$183:$H$195*($AE37-Fits!$B$153)/Fits!$B$154))^2)+SUMPRODUCT((Fits!$G$183:$G$195*(($AE37-Fits!$B$153)*Fits!$I$183:$I$195/Fits!$B$154-Fits!$B$183:$B$195*Fits!$B$63/Fits!$B$62))^2)))</f>
        <v>0.0378069066888486</v>
      </c>
      <c r="CO37" s="26" t="n">
        <f aca="false">IF($CN37="","",Setup!$B$32*$CN37)</f>
        <v>0.0756138133776972</v>
      </c>
      <c r="CP37" s="9" t="n">
        <f aca="false">IF(OR(NOT(ISNUMBER($BJ37)),$EK37=1),$CP36,IF($BJ37&lt;=Setup!$B$26,$CP36+1,0))</f>
        <v>4</v>
      </c>
      <c r="CQ37" s="9" t="n">
        <f aca="false">IF($BT37="","",$A37)</f>
        <v>32</v>
      </c>
      <c r="CR37" s="9" t="n">
        <f aca="false">IF($BW37="","",$A37)</f>
        <v>32</v>
      </c>
      <c r="CS37" s="9" t="n">
        <f aca="false">IF($B37="","",IF(Setup!$A$37="",0,IF(ISNUMBER(SEARCH(Setup!$A$37,$B37)),37,0)))</f>
        <v>0</v>
      </c>
      <c r="CT37" s="9" t="n">
        <f aca="false">IF($B37="","",IF(Setup!$A$38="",0,IF(ISNUMBER(SEARCH(Setup!$A$38,$B37)),38,0)))</f>
        <v>0</v>
      </c>
      <c r="CU37" s="9" t="n">
        <f aca="false">IF($B37="","",IF(Setup!$A$39="",0,IF(ISNUMBER(SEARCH(Setup!$A$39,$B37)),39,0)))</f>
        <v>0</v>
      </c>
      <c r="CV37" s="9" t="n">
        <f aca="false">IF($B37="","",IF(Setup!$A$40="",0,IF(ISNUMBER(SEARCH(Setup!$A$40,$B37)),40,0)))</f>
        <v>0</v>
      </c>
      <c r="CW37" s="9" t="n">
        <f aca="false">IF($B37="","",IF(Setup!$A$41="",0,IF(ISNUMBER(SEARCH(Setup!$A$41,$B37)),41,0)))</f>
        <v>0</v>
      </c>
      <c r="CX37" s="9" t="n">
        <f aca="false">IF($B37="","",IF(Setup!$A$42="",0,IF(ISNUMBER(SEARCH(Setup!$A$42,$B37)),42,0)))</f>
        <v>0</v>
      </c>
      <c r="CY37" s="9" t="n">
        <f aca="false">IF($B37="","",IF(Setup!$A$43="",0,IF(ISNUMBER(SEARCH(Setup!$A$43,$B37)),43,0)))</f>
        <v>0</v>
      </c>
      <c r="CZ37" s="9" t="n">
        <f aca="false">IF($B37="","",IF(Setup!$A$44="",0,IF(ISNUMBER(SEARCH(Setup!$A$44,$B37)),44,0)))</f>
        <v>0</v>
      </c>
      <c r="DA37" s="9" t="n">
        <f aca="false">IF($B37="","",IF(Setup!$A$45="",0,IF(ISNUMBER(SEARCH(Setup!$A$45,$B37)),45,0)))</f>
        <v>0</v>
      </c>
      <c r="DB37" s="9" t="n">
        <f aca="false">IF($B37="","",IF(Setup!$A$46="",0,IF(ISNUMBER(SEARCH(Setup!$A$46,$B37)),46,0)))</f>
        <v>0</v>
      </c>
      <c r="DC37" s="9" t="n">
        <f aca="false">IF($B37="","",IF(Setup!$A$47="",0,IF(ISNUMBER(SEARCH(Setup!$A$47,$B37)),47,0)))</f>
        <v>0</v>
      </c>
      <c r="DD37" s="9" t="n">
        <f aca="false">IF($B37="","",IF(Setup!$A$48="",0,IF(ISNUMBER(SEARCH(Setup!$A$48,$B37)),48,0)))</f>
        <v>0</v>
      </c>
      <c r="DE37" s="9" t="n">
        <f aca="false">IF($B37="","",IF(Setup!$A$49="",0,IF(ISNUMBER(SEARCH(Setup!$A$49,$B37)),49,0)))</f>
        <v>0</v>
      </c>
      <c r="DF37" s="9" t="n">
        <f aca="false">IF($B37="",NA(),$A37)</f>
        <v>32</v>
      </c>
      <c r="DG37" s="22" t="n">
        <f aca="false">IF($BI37="",NA(),$BI37)</f>
        <v>23.9</v>
      </c>
      <c r="DH37" s="22" t="n">
        <f aca="false">IF($N37="",NA(),$N37)</f>
        <v>24.9</v>
      </c>
      <c r="DI37" s="9" t="e">
        <f aca="false">IF(AND($D37="Drift",$N37&lt;&gt;""),$N37,NA())</f>
        <v>#N/A</v>
      </c>
      <c r="DJ37" s="9" t="str">
        <f aca="false">IF(AND($D37="Drift",$N37&lt;&gt;""),$N37,"")</f>
        <v/>
      </c>
      <c r="DK37" s="9" t="str">
        <f aca="false">IF($DJ37="","",$A37)</f>
        <v/>
      </c>
      <c r="DL37" s="9" t="e">
        <f aca="false">IF($AN37="",NA(),$AM37)</f>
        <v>#N/A</v>
      </c>
      <c r="DM37" s="9" t="e">
        <f aca="false">IF($AN37="",NA(),$AN37)</f>
        <v>#N/A</v>
      </c>
      <c r="DN37" s="24" t="n">
        <f aca="false">IF(AND($D37="Sample",$L37&lt;&gt;""),$L37,NA())</f>
        <v>12.229</v>
      </c>
      <c r="DO37" s="24" t="n">
        <f aca="false">IF(AND($D37="Sample",$L37&lt;&gt;"",Fits!$B$98&lt;&gt;""),Fits!$B$98,NA())</f>
        <v>-6.0577</v>
      </c>
      <c r="DP37" s="9" t="e">
        <f aca="false">IF($AS37="",NA(),$AS37)</f>
        <v>#N/A</v>
      </c>
      <c r="DQ37" s="9" t="e">
        <f aca="false">IF(AND($D37="Drift",$AS37="",$X37&lt;&gt;""),$X37,NA())</f>
        <v>#N/A</v>
      </c>
      <c r="DR37" s="9" t="e">
        <f aca="false">IF(AND($D37="Drift",$Z37&lt;&gt;""),$Z37,NA())</f>
        <v>#N/A</v>
      </c>
      <c r="DS37" s="25" t="n">
        <f aca="false">IF(AND(OR($D37="Sample",$D37="Check"),$AA37&lt;&gt;""),$AA37,NA())</f>
        <v>-5.55948862794712</v>
      </c>
      <c r="DT37" s="25" t="n">
        <f aca="false">IF(OR($B37="",Fits!$B$138=""),NA(),Fits!$B$138)</f>
        <v>1.76</v>
      </c>
      <c r="DU37" s="25" t="n">
        <f aca="false">IF(OR($B37="",Fits!$B$139=""),NA(),Fits!$B$139)</f>
        <v>20.68</v>
      </c>
      <c r="DV37" s="24" t="n">
        <f aca="false">IF($BT37="",NA(),$BT37)</f>
        <v>-1.253</v>
      </c>
      <c r="DW37" s="9" t="e">
        <f aca="false">IF($AP37="",NA(),$AO37)</f>
        <v>#N/A</v>
      </c>
      <c r="DX37" s="9" t="e">
        <f aca="false">IF($AP37="",NA(),$AP37)</f>
        <v>#N/A</v>
      </c>
      <c r="DY37" s="24" t="n">
        <f aca="false">IF(AND($D37="Sample",$P37&lt;&gt;""),$P37,NA())</f>
        <v>56.107</v>
      </c>
      <c r="DZ37" s="24" t="n">
        <f aca="false">IF(AND($D37="Sample",$P37&lt;&gt;"",Fits!$B$105&lt;&gt;""),Fits!$B$105,NA())</f>
        <v>-9.717</v>
      </c>
      <c r="EA37" s="9" t="e">
        <f aca="false">IF($AT37="",NA(),$AT37)</f>
        <v>#N/A</v>
      </c>
      <c r="EB37" s="9" t="e">
        <f aca="false">IF(AND($D37="Drift",$AT37="",$AC37&lt;&gt;""),$AC37,NA())</f>
        <v>#N/A</v>
      </c>
      <c r="EC37" s="9" t="e">
        <f aca="false">IF(AND($D37="Drift",$AE37&lt;&gt;""),$AE37,NA())</f>
        <v>#N/A</v>
      </c>
      <c r="ED37" s="25" t="n">
        <f aca="false">IF(AND(OR($D37="Sample",$D37="Check"),$AF37&lt;&gt;""),$AF37,NA())</f>
        <v>-26.7013006406962</v>
      </c>
      <c r="EE37" s="25" t="n">
        <f aca="false">IF(OR($B37="",Fits!$B$158=""),NA(),Fits!$B$158)</f>
        <v>-40.81</v>
      </c>
      <c r="EF37" s="25" t="n">
        <f aca="false">IF(OR($B37="",Fits!$B$159=""),NA(),Fits!$B$159)</f>
        <v>-20.29</v>
      </c>
      <c r="EG37" s="24" t="n">
        <f aca="false">IF($BW37="",NA(),$BW37)</f>
        <v>-25.392</v>
      </c>
      <c r="EH37" s="9" t="e">
        <f aca="false">IF(AND($EN37=1,ISNUMBER($N37)),$N37,NA())</f>
        <v>#N/A</v>
      </c>
      <c r="EI37" s="9" t="n">
        <f aca="false">IF($B37="","",$A37)</f>
        <v>32</v>
      </c>
      <c r="EJ37" s="9" t="n">
        <f aca="false">IF(OR(AND(ISNUMBER($L37),Fits!$B$97&gt;0,$L37&gt;Fits!$B$97),AND(ISNUMBER($P37),Fits!$B$104&gt;0,$P37&gt;Fits!$B$104)),1,0)</f>
        <v>0</v>
      </c>
      <c r="EK37" s="9" t="n">
        <f aca="false">IF(OR($EJ36=1,$EJ35=1),1,0)</f>
        <v>0</v>
      </c>
      <c r="EL37" s="22" t="n">
        <f aca="false">IF(AND($EK37=0,ISNUMBER($N37)),$N37,$EL36)</f>
        <v>24.9</v>
      </c>
      <c r="EM37" s="9" t="str">
        <f aca="false">IF(AND($EK37=1,ISNUMBER($N37),ISNUMBER($EL37)),$N37-$EL37,"")</f>
        <v/>
      </c>
      <c r="EN37" s="9" t="n">
        <f aca="false">IF(Setup!$B$28="",0,IF(ISNUMBER($EM37),IF($EM37&gt;Setup!$B$28,1,0),0))</f>
        <v>0</v>
      </c>
      <c r="EO37" s="9" t="str">
        <f aca="false">IF($EN37=1,COUNTIF($EN$6:$EN37,1),"")</f>
        <v/>
      </c>
      <c r="EP37" s="9" t="n">
        <f aca="false">IF(AND($EJ36=1,OR($D37="Sample",$D37="Check")),1,0)</f>
        <v>0</v>
      </c>
      <c r="EQ37" s="9" t="str">
        <f aca="false">IF(ISNUMBER($BI37),IF(COUNT($BI$6:$BI37)&lt;=5,$BI37,""),"")</f>
        <v/>
      </c>
      <c r="ER37" s="9" t="n">
        <f aca="false">IF(OR(NOT(ISNUMBER($BJ37)),$EK37=1),$ER36,IF($BJ37&lt;=Setup!$B$26,IF($CP36=0,$A37,$ER36),""))</f>
        <v>27</v>
      </c>
    </row>
    <row r="38" customFormat="false" ht="15" hidden="false" customHeight="false" outlineLevel="0" collapsed="false">
      <c r="A38" s="8" t="n">
        <v>33</v>
      </c>
      <c r="B38" s="8" t="str">
        <f aca="false">IFERROR(INDEX(Raw!$B$2:$B$1001,MATCH($A38,Raw!$A$2:$A$1001,0)),"")</f>
        <v>Random</v>
      </c>
      <c r="C38" s="9" t="n">
        <f aca="false">IF($B38="","",MAX($CS38:$DE38))</f>
        <v>0</v>
      </c>
      <c r="D38" s="8" t="str">
        <f aca="false">IF($B38="","",IF($C38=0,"Sample",INDEX(Setup!$B$37:$B$49,$C38-36)))</f>
        <v>Sample</v>
      </c>
      <c r="E38" s="16" t="str">
        <f aca="false">IF($B38="","",IFERROR(IF(INDEX(Raw!$E$2:$E$1001,MATCH($A38,Raw!$A$2:$A$1001,0))=0,"",INDEX(Raw!$E$2:$E$1001,MATCH($A38,Raw!$A$2:$A$1001,0))),""))</f>
        <v/>
      </c>
      <c r="F38" s="18"/>
      <c r="G38" s="16" t="str">
        <f aca="false">IF($B38="","",IF($F38&lt;&gt;"",$F38,IF($E38="","",$E38)))</f>
        <v/>
      </c>
      <c r="H38" s="9" t="n">
        <f aca="false">IF($B38="","",SUMPRODUCT(MAX((Raw!$A$2:$A$1001=$A38)*(Raw!$R$2:$R$1001="N")*Raw!$D$2:$D$1001)))</f>
        <v>3</v>
      </c>
      <c r="I38" s="9" t="str">
        <f aca="false">IF(OR($H38="",$H38=0),"",$A38&amp;"|N|"&amp;$H38)</f>
        <v>33|N|3</v>
      </c>
      <c r="J38" s="9" t="n">
        <f aca="false">IF($B38="","",SUMPRODUCT(MIN((Raw!$A$2:$A$1001=$A38)*(Raw!$R$2:$R$1001="C")*Raw!$D$2:$D$1001+(1-(Raw!$A$2:$A$1001=$A38)*(Raw!$R$2:$R$1001="C"))*9999)))</f>
        <v>4</v>
      </c>
      <c r="K38" s="9" t="str">
        <f aca="false">IF(OR($J38="",$J38=0,$J38=9999),"",$A38&amp;"|C|"&amp;$J38)</f>
        <v>33|C|4</v>
      </c>
      <c r="L38" s="16" t="n">
        <f aca="false">IF($I38="","",IF(INDEX(Raw!$I$2:$I$1001,MATCH($I38,Raw!$S$2:$S$1001,0))&lt;&gt;0,"",INDEX(Raw!$H$2:$H$1001,MATCH($I38,Raw!$S$2:$S$1001,0))))</f>
        <v>64.233</v>
      </c>
      <c r="M38" s="19" t="n">
        <f aca="false">IF($I38="","",IF(INDEX(Raw!$I$2:$I$1001,MATCH($I38,Raw!$S$2:$S$1001,0))&lt;&gt;0,"",INDEX(Raw!$F$2:$F$1001,MATCH($I38,Raw!$S$2:$S$1001,0))))</f>
        <v>3810</v>
      </c>
      <c r="N38" s="20" t="n">
        <f aca="false">IF($I38="","",IF(INDEX(Raw!$I$2:$I$1001,MATCH($I38,Raw!$S$2:$S$1001,0))&lt;&gt;0,"",INDEX(Raw!$G$2:$G$1001,MATCH($I38,Raw!$S$2:$S$1001,0))))</f>
        <v>24.7</v>
      </c>
      <c r="O38" s="16" t="n">
        <f aca="false">IF($I38="","",IF(INDEX(Raw!$I$2:$I$1001,MATCH($I38,Raw!$S$2:$S$1001,0))&lt;&gt;0,"",INDEX(Raw!$N$2:$N$1001,MATCH($I38,Raw!$S$2:$S$1001,0))))</f>
        <v>-5.821</v>
      </c>
      <c r="P38" s="16" t="n">
        <f aca="false">IF($K38="","",IF(INDEX(Raw!$I$2:$I$1001,MATCH($K38,Raw!$S$2:$S$1001,0))&lt;&gt;0,"",INDEX(Raw!$K$2:$K$1001,MATCH($K38,Raw!$S$2:$S$1001,0))))</f>
        <v>302.204</v>
      </c>
      <c r="Q38" s="19" t="n">
        <f aca="false">IF($K38="","",IF(INDEX(Raw!$I$2:$I$1001,MATCH($K38,Raw!$S$2:$S$1001,0))&lt;&gt;0,"",INDEX(Raw!$J$2:$J$1001,MATCH($K38,Raw!$S$2:$S$1001,0))))</f>
        <v>12392</v>
      </c>
      <c r="R38" s="16" t="n">
        <f aca="false">IF($K38="","",IF(INDEX(Raw!$I$2:$I$1001,MATCH($K38,Raw!$S$2:$S$1001,0))&lt;&gt;0,"",INDEX(Raw!$O$2:$O$1001,MATCH($K38,Raw!$S$2:$S$1001,0))))</f>
        <v>-9.333</v>
      </c>
      <c r="S38" s="21" t="str">
        <f aca="false">IF($B38="","",IF($C38=0,"",IF(INDEX(Setup!$D$37:$D$49,$C38-36)="","",INDEX(Setup!$D$37:$D$49,$C38-36))))</f>
        <v/>
      </c>
      <c r="T38" s="21" t="str">
        <f aca="false">IF($B38="","",IF($C38=0,"",IF(INDEX(Setup!$C$37:$C$49,$C38-36)="","",INDEX(Setup!$C$37:$C$49,$C38-36))))</f>
        <v/>
      </c>
      <c r="U38" s="21" t="str">
        <f aca="false">IF($B38="","",IF($C38=0,"",IF(INDEX(Setup!$F$37:$F$49,$C38-36)="","",INDEX(Setup!$F$37:$F$49,$C38-36))))</f>
        <v/>
      </c>
      <c r="V38" s="21" t="str">
        <f aca="false">IF($B38="","",IF($C38=0,"",IF(INDEX(Setup!$E$37:$E$49,$C38-36)="","",INDEX(Setup!$E$37:$E$49,$C38-36))))</f>
        <v/>
      </c>
      <c r="W38" s="16" t="n">
        <f aca="false">IF($O38="","",IF(OR(Fits!$C$5&lt;&gt;"Yes",$D38="Blank",$L38&lt;=Fits!$B$6),$O38,($L38*$O38-Fits!$B$6*Fits!$B$7)/($L38-Fits!$B$6)))</f>
        <v>-5.821</v>
      </c>
      <c r="X38" s="16" t="n">
        <f aca="false">IF($W38="","",$W38-Fits!$B$20*($L38-Fits!$B$16))</f>
        <v>-5.821</v>
      </c>
      <c r="Y38" s="22" t="n">
        <f aca="false">IF($W38="","",IF(OR(Fits!$B$38="Row",$BI38=""),$A38,$BI38))</f>
        <v>33</v>
      </c>
      <c r="Z38" s="16" t="n">
        <f aca="false">IF($X38="","",$X38-Fits!$B$39*($Y38-Fits!$B$40))</f>
        <v>-5.83234949999574</v>
      </c>
      <c r="AA38" s="23" t="n">
        <f aca="false">IF(OR($Z38="",Fits!$B$55&lt;2),"",Fits!$B$56*$Z38+Fits!$B$57)</f>
        <v>-4.96020772975006</v>
      </c>
      <c r="AB38" s="16" t="n">
        <f aca="false">IF($R38="","",IF(OR(Fits!$C$9&lt;&gt;"Yes",$D38="Blank",$P38&lt;=Fits!$B$10),$R38,($P38*$R38-Fits!$B$10*Fits!$B$11)/($P38-Fits!$B$10)))</f>
        <v>-9.333</v>
      </c>
      <c r="AC38" s="16" t="n">
        <f aca="false">IF($AB38="","",$AB38-Fits!$B$28*($P38-Fits!$B$24))</f>
        <v>-9.63560848507073</v>
      </c>
      <c r="AD38" s="22" t="n">
        <f aca="false">IF($AB38="","",IF(OR(Fits!$B$50="Row",$BI38=""),$A38,$BI38))</f>
        <v>33</v>
      </c>
      <c r="AE38" s="16" t="n">
        <f aca="false">IF($AC38="","",$AC38-Fits!$B$51*($AD38-Fits!$B$52))</f>
        <v>-9.63361027954953</v>
      </c>
      <c r="AF38" s="23" t="n">
        <f aca="false">IF(OR($AE38="",Fits!$B$62&lt;2),"",Fits!$B$63*$AE38+Fits!$B$64)</f>
        <v>-26.7621724616234</v>
      </c>
      <c r="AG38" s="21" t="n">
        <f aca="false">IF(OR($L38="",Fits!$B$69&lt;3),"",($L38-Fits!$B$71)/Fits!$B$70)</f>
        <v>102.828214895475</v>
      </c>
      <c r="AH38" s="21" t="n">
        <f aca="false">IF(OR($P38="",Fits!$B$75&lt;3),"",($P38-Fits!$B$77)/Fits!$B$76)</f>
        <v>684.334952991228</v>
      </c>
      <c r="AI38" s="23" t="str">
        <f aca="false">IF(OR($AG38="",$G38="",$G38=0),"",$AG38/($G38*1000)*100)</f>
        <v/>
      </c>
      <c r="AJ38" s="23" t="str">
        <f aca="false">IF(OR($AH38="",$G38="",$G38=0),"",$AH38/($G38*1000)*100)</f>
        <v/>
      </c>
      <c r="AK38" s="23" t="n">
        <f aca="false">IF(OR($AG38="",$AH38="",$AG38&lt;=0),"",($AH38/Setup!$B$52)/($AG38/Setup!$B$53))</f>
        <v>7.76108406761966</v>
      </c>
      <c r="AL38" s="23" t="n">
        <f aca="false">IF(OR($AG38="",$AH38="",$AG38&lt;=0),"",$AH38/$AG38)</f>
        <v>6.65512820276859</v>
      </c>
      <c r="AM38" s="9" t="str">
        <f aca="false">IF($D38="Linearity",IF($L38="","",$L38),"")</f>
        <v/>
      </c>
      <c r="AN38" s="9" t="str">
        <f aca="false">IF($D38="Linearity",IF($W38="","",$W38),"")</f>
        <v/>
      </c>
      <c r="AO38" s="9" t="str">
        <f aca="false">IF($D38="Linearity",IF($P38="","",$P38),"")</f>
        <v/>
      </c>
      <c r="AP38" s="9" t="str">
        <f aca="false">IF($D38="Linearity",IF($AB38="","",$AB38),"")</f>
        <v/>
      </c>
      <c r="AQ38" s="9" t="str">
        <f aca="false">IF($D38="Drift",IF($A38&lt;IF(Setup!$B$14="",0,Setup!$B$14),"",$A38),"")</f>
        <v/>
      </c>
      <c r="AR38" s="9" t="str">
        <f aca="false">IF($D38="Drift",IF($A38&lt;IF(Setup!$B$14="",0,Setup!$B$14),"",IF($BI38="","",$BI38)),"")</f>
        <v/>
      </c>
      <c r="AS38" s="9" t="str">
        <f aca="false">IF($D38="Drift",IF($A38&lt;IF(Setup!$B$14="",0,Setup!$B$14),"",IF(OR($X38="",$BX38=1),"",$X38)),"")</f>
        <v/>
      </c>
      <c r="AT38" s="9" t="str">
        <f aca="false">IF($D38="Drift",IF($A38&lt;IF(Setup!$B$14="",0,Setup!$B$14),"",IF(OR($AC38="",$BY38=1),"",$AC38)),"")</f>
        <v/>
      </c>
      <c r="AU38" s="9" t="str">
        <f aca="false">IF($D38="Anchor",IF(OR($Z38="",$S38=""),"",$Z38),"")</f>
        <v/>
      </c>
      <c r="AV38" s="9" t="str">
        <f aca="false">IF($D38="Anchor",IF(OR($Z38="",$S38=""),"",$S38),"")</f>
        <v/>
      </c>
      <c r="AW38" s="9" t="str">
        <f aca="false">IF($D38="Anchor",IF(OR($AE38="",$T38=""),"",$AE38),"")</f>
        <v/>
      </c>
      <c r="AX38" s="9" t="str">
        <f aca="false">IF($D38="Anchor",IF(OR($AE38="",$T38=""),"",$T38),"")</f>
        <v/>
      </c>
      <c r="AY38" s="9" t="str">
        <f aca="false">IF(OR($D38="Blank",$D38="Exclude",$D38="Sample",$D38="",$G38="",$U38="",$L38=""),"",$G38*1000*$U38/100)</f>
        <v/>
      </c>
      <c r="AZ38" s="9" t="str">
        <f aca="false">IF($AY38="","",$L38)</f>
        <v/>
      </c>
      <c r="BA38" s="9" t="str">
        <f aca="false">IF(OR($D38="Blank",$D38="Exclude",$D38="Sample",$D38="",$G38="",$V38="",$P38=""),"",$G38*1000*$V38/100)</f>
        <v/>
      </c>
      <c r="BB38" s="9" t="str">
        <f aca="false">IF($BA38="","",$P38)</f>
        <v/>
      </c>
      <c r="BC38" s="9" t="str">
        <f aca="false">IF(AND($D38="Blank",$L38&lt;&gt;""),$O38,"")</f>
        <v/>
      </c>
      <c r="BD38" s="9" t="str">
        <f aca="false">IF($BC38="","",$L38)</f>
        <v/>
      </c>
      <c r="BE38" s="9" t="str">
        <f aca="false">IF(AND($D38="Blank",$P38&lt;&gt;""),$R38,"")</f>
        <v/>
      </c>
      <c r="BF38" s="9" t="str">
        <f aca="false">IF($BE38="","",$P38)</f>
        <v/>
      </c>
      <c r="BG38" s="9" t="str">
        <f aca="false">IF(AND($D38="Drift",$BX38&lt;&gt;1),IF($AA38="","",$AA38),"")</f>
        <v/>
      </c>
      <c r="BH38" s="9" t="str">
        <f aca="false">IF(AND($D38="Drift",$BY38&lt;&gt;1),IF($AF38="","",$AF38),"")</f>
        <v/>
      </c>
      <c r="BI38" s="20" t="n">
        <f aca="false">IF($B38="","",IFERROR(INDEX(Raw!$G$2:$G$1001,MATCH($A38&amp;"|N|"&amp;SUMPRODUCT(MAX((Raw!$A$2:$A$1001=$A38)*(Raw!$R$2:$R$1001="N")*(Raw!$I$2:$I$1001=1)*Raw!$D$2:$D$1001)),Raw!$S$2:$S$1001,0)),""))</f>
        <v>23.7</v>
      </c>
      <c r="BJ38" s="21" t="n">
        <f aca="false">IF(OR($BI38="",Fits!$B$85&lt;=0),"",($BI38-Fits!$B$83)/Fits!$B$85)</f>
        <v>0.0540540540540539</v>
      </c>
      <c r="BK38" s="9" t="str">
        <f aca="false">IF($AS38="","",IF($A38&gt;=Fits!$B$86,"",$A38))</f>
        <v/>
      </c>
      <c r="BL38" s="9" t="str">
        <f aca="false">IF($BK38="","",$X38)</f>
        <v/>
      </c>
      <c r="BM38" s="9" t="str">
        <f aca="false">IF($AS38="","",IF($A38&lt;Fits!$B$86,"",$A38))</f>
        <v/>
      </c>
      <c r="BN38" s="9" t="str">
        <f aca="false">IF($BM38="","",$X38)</f>
        <v/>
      </c>
      <c r="BO38" s="9" t="str">
        <f aca="false">IF(AND($D38="Drift",$BX38&lt;&gt;1),IF($O38="","",$O38),"")</f>
        <v/>
      </c>
      <c r="BP38" s="9" t="str">
        <f aca="false">IF(AND($D38="Drift",$BX38&lt;&gt;1),IF($W38="","",$W38),"")</f>
        <v/>
      </c>
      <c r="BQ38" s="9" t="str">
        <f aca="false">IF(AND($D38="Drift",$BX38&lt;&gt;1),IF($X38="","",$X38),"")</f>
        <v/>
      </c>
      <c r="BR38" s="9" t="str">
        <f aca="false">IF(AND($D38="Drift",$BX38&lt;&gt;1),IF($Z38="","",$Z38),"")</f>
        <v/>
      </c>
      <c r="BS38" s="9" t="n">
        <f aca="false">IF(OR($B38="",$H38=""),"",SUMPRODUCT(MIN((Raw!$A$2:$A$1001=$A38)*(Raw!$R$2:$R$1001="N")*(Raw!$I$2:$I$1001=0)*(Raw!$D$2:$D$1001&lt;$H38)*Raw!$D$2:$D$1001+(1-(Raw!$A$2:$A$1001=$A38)*(Raw!$R$2:$R$1001="N")*(Raw!$I$2:$I$1001=0)*(Raw!$D$2:$D$1001&lt;$H38))*9999)))</f>
        <v>1</v>
      </c>
      <c r="BT38" s="16" t="n">
        <f aca="false">IF(OR($BS38="",$BS38=9999,$BS38=0),"",IFERROR(INDEX(Raw!$N$2:$N$1001,MATCH($A38&amp;"|N|"&amp;$BS38,Raw!$S$2:$S$1001,0)),""))</f>
        <v>-1.263</v>
      </c>
      <c r="BU38" s="9" t="n">
        <f aca="false">IF($B38="","",SUMPRODUCT(MIN((Raw!$A$2:$A$1001=$A38)*(Raw!$R$2:$R$1001="C")*(Raw!$I$2:$I$1001=1)*Raw!$D$2:$D$1001+(1-(Raw!$A$2:$A$1001=$A38)*(Raw!$R$2:$R$1001="C")*(Raw!$I$2:$I$1001=1))*9999)))</f>
        <v>5</v>
      </c>
      <c r="BV38" s="9" t="n">
        <f aca="false">IF(OR($BU38="",$BU38=9999),"",SUMPRODUCT(MIN((Raw!$A$2:$A$1001=$A38)*(Raw!$R$2:$R$1001="C")*(Raw!$I$2:$I$1001=0)*(Raw!$D$2:$D$1001&gt;$BU38)*Raw!$D$2:$D$1001+(1-(Raw!$A$2:$A$1001=$A38)*(Raw!$R$2:$R$1001="C")*(Raw!$I$2:$I$1001=0)*(Raw!$D$2:$D$1001&gt;$BU38))*9999)))</f>
        <v>6</v>
      </c>
      <c r="BW38" s="16" t="n">
        <f aca="false">IF(OR($BV38="",$BV38=9999,$BV38=0),"",IFERROR(INDEX(Raw!$O$2:$O$1001,MATCH($A38&amp;"|C|"&amp;$BV38,Raw!$S$2:$S$1001,0)),""))</f>
        <v>-25.314</v>
      </c>
      <c r="BX38" s="9" t="n">
        <f aca="false">IF($B38="","",IF(ISNUMBER(SEARCH(","&amp;$A38&amp;",",","&amp;SUBSTITUTE(Setup!$B$16," ","")&amp;",")),1,0))</f>
        <v>0</v>
      </c>
      <c r="BY38" s="9" t="n">
        <f aca="false">IF($B38="","",IF(ISNUMBER(SEARCH(","&amp;$A38&amp;",",","&amp;SUBSTITUTE(Setup!$B$17," ","")&amp;",")),1,0))</f>
        <v>0</v>
      </c>
      <c r="BZ38" s="22" t="str">
        <f aca="false">IF($AS38="","",IF(Fits!$B$38="Row",$AQ38,IF($AR38="","",$AR38)))</f>
        <v/>
      </c>
      <c r="CA38" s="22" t="str">
        <f aca="false">IF($AT38="","",IF(Fits!$B$50="Row",$AQ38,IF($AR38="","",$AR38)))</f>
        <v/>
      </c>
      <c r="CB38" s="20" t="str">
        <f aca="false">IF(OR($D38&lt;&gt;"Drift",$X38="",$A38&lt;IF(Setup!$B$14="",0,Setup!$B$14),Fits!$B$107&lt;3,Fits!$B$110="",Fits!$B$109=0,IF(Fits!$B$38="Row",$AQ38,$AR38)=""),"",IF($BX38=1,IF(OR(Fits!$B$111="",Fits!$B$111=0),"",($X38-(IF(Fits!$B$38="Row",Fits!$B$32,Fits!$B$35)*IF(Fits!$B$38="Row",$AQ38,$AR38)+Fits!$B$110))/(Fits!$B$111*SQRT(1+(1/Fits!$B$107+(IF(Fits!$B$38="Row",$AQ38,$AR38)-Fits!$B$108)^2/Fits!$B$109)))),IF(OR(Fits!$B$107&lt;4,(1/Fits!$B$107+(IF(Fits!$B$38="Row",$AQ38,$AR38)-Fits!$B$108)^2/Fits!$B$109)&gt;=1),"",IF((Fits!$B$116-($X38-(IF(Fits!$B$38="Row",Fits!$B$32,Fits!$B$35)*IF(Fits!$B$38="Row",$AQ38,$AR38)+Fits!$B$110))^2/(1-(1/Fits!$B$107+(IF(Fits!$B$38="Row",$AQ38,$AR38)-Fits!$B$108)^2/Fits!$B$109)))&lt;=0,"",($X38-(IF(Fits!$B$38="Row",Fits!$B$32,Fits!$B$35)*IF(Fits!$B$38="Row",$AQ38,$AR38)+Fits!$B$110))/(SQRT((Fits!$B$116-($X38-(IF(Fits!$B$38="Row",Fits!$B$32,Fits!$B$35)*IF(Fits!$B$38="Row",$AQ38,$AR38)+Fits!$B$110))^2/(1-(1/Fits!$B$107+(IF(Fits!$B$38="Row",$AQ38,$AR38)-Fits!$B$108)^2/Fits!$B$109)))/(Fits!$B$107-3))*SQRT(1-(1/Fits!$B$107+(IF(Fits!$B$38="Row",$AQ38,$AR38)-Fits!$B$108)^2/Fits!$B$109)))))))</f>
        <v/>
      </c>
      <c r="CC38" s="20" t="str">
        <f aca="false">IF(OR($D38&lt;&gt;"Drift",$AC38="",$A38&lt;IF(Setup!$B$14="",0,Setup!$B$14),Fits!$B$120&lt;3,Fits!$B$123="",Fits!$B$122=0,IF(Fits!$B$50="Row",$AQ38,$AR38)=""),"",IF($BY38=1,IF(OR(Fits!$B$124="",Fits!$B$124=0),"",($AC38-(IF(Fits!$B$50="Row",Fits!$B$44,Fits!$B$47)*IF(Fits!$B$50="Row",$AQ38,$AR38)+Fits!$B$123))/(Fits!$B$124*SQRT(1+(1/Fits!$B$120+(IF(Fits!$B$50="Row",$AQ38,$AR38)-Fits!$B$121)^2/Fits!$B$122)))),IF(OR(Fits!$B$120&lt;4,(1/Fits!$B$120+(IF(Fits!$B$50="Row",$AQ38,$AR38)-Fits!$B$121)^2/Fits!$B$122)&gt;=1),"",IF((Fits!$B$129-($AC38-(IF(Fits!$B$50="Row",Fits!$B$44,Fits!$B$47)*IF(Fits!$B$50="Row",$AQ38,$AR38)+Fits!$B$123))^2/(1-(1/Fits!$B$120+(IF(Fits!$B$50="Row",$AQ38,$AR38)-Fits!$B$121)^2/Fits!$B$122)))&lt;=0,"",($AC38-(IF(Fits!$B$50="Row",Fits!$B$44,Fits!$B$47)*IF(Fits!$B$50="Row",$AQ38,$AR38)+Fits!$B$123))/(SQRT((Fits!$B$129-($AC38-(IF(Fits!$B$50="Row",Fits!$B$44,Fits!$B$47)*IF(Fits!$B$50="Row",$AQ38,$AR38)+Fits!$B$123))^2/(1-(1/Fits!$B$120+(IF(Fits!$B$50="Row",$AQ38,$AR38)-Fits!$B$121)^2/Fits!$B$122)))/(Fits!$B$120-3))*SQRT(1-(1/Fits!$B$120+(IF(Fits!$B$50="Row",$AQ38,$AR38)-Fits!$B$121)^2/Fits!$B$122)))))))</f>
        <v/>
      </c>
      <c r="CD38" s="9" t="str">
        <f aca="false">IF($AU38="","",1)</f>
        <v/>
      </c>
      <c r="CE38" s="24" t="str">
        <f aca="false">IF($AU38="","",$AU38-Fits!$B$133)</f>
        <v/>
      </c>
      <c r="CF38" s="24" t="str">
        <f aca="false">IF($AU38="","",($AV38-(Fits!$B$56*$AU38+Fits!$B$57))-Fits!$B$56*($AU38-Fits!$B$133))</f>
        <v/>
      </c>
      <c r="CG38" s="25" t="str">
        <f aca="false">IF($AU38="","",$AU38^2)</f>
        <v/>
      </c>
      <c r="CH38" s="9" t="str">
        <f aca="false">IF($AW38="","",1)</f>
        <v/>
      </c>
      <c r="CI38" s="24" t="str">
        <f aca="false">IF($AW38="","",$AW38-Fits!$B$153)</f>
        <v/>
      </c>
      <c r="CJ38" s="24" t="str">
        <f aca="false">IF($AW38="","",($AX38-(Fits!$B$63*$AW38+Fits!$B$64))-Fits!$B$63*($AW38-Fits!$B$153))</f>
        <v/>
      </c>
      <c r="CK38" s="25" t="str">
        <f aca="false">IF($AW38="","",$AW38^2)</f>
        <v/>
      </c>
      <c r="CL38" s="26" t="n">
        <f aca="false">IF(OR($Z38="",Fits!$B$55&lt;3,Fits!$B$133="",Fits!$B$134="",Fits!$B$134=0,Fits!$B$136=""),"",SQRT((Fits!$B$136*Fits!$B$56)^2+SUMPRODUCT((Fits!$J$163:$J$175*(Fits!$B$163:$B$175/Fits!$B$55+Fits!$H$163:$H$175*($Z38-Fits!$B$133)/Fits!$B$134))^2)+SUMPRODUCT((Fits!$G$163:$G$175*(($Z38-Fits!$B$133)*Fits!$I$163:$I$175/Fits!$B$134-Fits!$B$163:$B$175*Fits!$B$56/Fits!$B$55))^2)))</f>
        <v>0.254312249083942</v>
      </c>
      <c r="CM38" s="26" t="n">
        <f aca="false">IF($CL38="","",Setup!$B$32*$CL38)</f>
        <v>0.508624498167884</v>
      </c>
      <c r="CN38" s="26" t="n">
        <f aca="false">IF(OR($AE38="",Fits!$B$62&lt;3,Fits!$B$153="",Fits!$B$154="",Fits!$B$154=0,Fits!$B$156=""),"",SQRT((Fits!$B$156*Fits!$B$63)^2+SUMPRODUCT((Fits!$J$183:$J$195*(Fits!$B$183:$B$195/Fits!$B$62+Fits!$H$183:$H$195*($AE38-Fits!$B$153)/Fits!$B$154))^2)+SUMPRODUCT((Fits!$G$183:$G$195*(($AE38-Fits!$B$153)*Fits!$I$183:$I$195/Fits!$B$154-Fits!$B$183:$B$195*Fits!$B$63/Fits!$B$62))^2)))</f>
        <v>0.0377559386580192</v>
      </c>
      <c r="CO38" s="26" t="n">
        <f aca="false">IF($CN38="","",Setup!$B$32*$CN38)</f>
        <v>0.0755118773160385</v>
      </c>
      <c r="CP38" s="9" t="n">
        <f aca="false">IF(OR(NOT(ISNUMBER($BJ38)),$EK38=1),$CP37,IF($BJ38&lt;=Setup!$B$26,$CP37+1,0))</f>
        <v>5</v>
      </c>
      <c r="CQ38" s="9" t="n">
        <f aca="false">IF($BT38="","",$A38)</f>
        <v>33</v>
      </c>
      <c r="CR38" s="9" t="n">
        <f aca="false">IF($BW38="","",$A38)</f>
        <v>33</v>
      </c>
      <c r="CS38" s="9" t="n">
        <f aca="false">IF($B38="","",IF(Setup!$A$37="",0,IF(ISNUMBER(SEARCH(Setup!$A$37,$B38)),37,0)))</f>
        <v>0</v>
      </c>
      <c r="CT38" s="9" t="n">
        <f aca="false">IF($B38="","",IF(Setup!$A$38="",0,IF(ISNUMBER(SEARCH(Setup!$A$38,$B38)),38,0)))</f>
        <v>0</v>
      </c>
      <c r="CU38" s="9" t="n">
        <f aca="false">IF($B38="","",IF(Setup!$A$39="",0,IF(ISNUMBER(SEARCH(Setup!$A$39,$B38)),39,0)))</f>
        <v>0</v>
      </c>
      <c r="CV38" s="9" t="n">
        <f aca="false">IF($B38="","",IF(Setup!$A$40="",0,IF(ISNUMBER(SEARCH(Setup!$A$40,$B38)),40,0)))</f>
        <v>0</v>
      </c>
      <c r="CW38" s="9" t="n">
        <f aca="false">IF($B38="","",IF(Setup!$A$41="",0,IF(ISNUMBER(SEARCH(Setup!$A$41,$B38)),41,0)))</f>
        <v>0</v>
      </c>
      <c r="CX38" s="9" t="n">
        <f aca="false">IF($B38="","",IF(Setup!$A$42="",0,IF(ISNUMBER(SEARCH(Setup!$A$42,$B38)),42,0)))</f>
        <v>0</v>
      </c>
      <c r="CY38" s="9" t="n">
        <f aca="false">IF($B38="","",IF(Setup!$A$43="",0,IF(ISNUMBER(SEARCH(Setup!$A$43,$B38)),43,0)))</f>
        <v>0</v>
      </c>
      <c r="CZ38" s="9" t="n">
        <f aca="false">IF($B38="","",IF(Setup!$A$44="",0,IF(ISNUMBER(SEARCH(Setup!$A$44,$B38)),44,0)))</f>
        <v>0</v>
      </c>
      <c r="DA38" s="9" t="n">
        <f aca="false">IF($B38="","",IF(Setup!$A$45="",0,IF(ISNUMBER(SEARCH(Setup!$A$45,$B38)),45,0)))</f>
        <v>0</v>
      </c>
      <c r="DB38" s="9" t="n">
        <f aca="false">IF($B38="","",IF(Setup!$A$46="",0,IF(ISNUMBER(SEARCH(Setup!$A$46,$B38)),46,0)))</f>
        <v>0</v>
      </c>
      <c r="DC38" s="9" t="n">
        <f aca="false">IF($B38="","",IF(Setup!$A$47="",0,IF(ISNUMBER(SEARCH(Setup!$A$47,$B38)),47,0)))</f>
        <v>0</v>
      </c>
      <c r="DD38" s="9" t="n">
        <f aca="false">IF($B38="","",IF(Setup!$A$48="",0,IF(ISNUMBER(SEARCH(Setup!$A$48,$B38)),48,0)))</f>
        <v>0</v>
      </c>
      <c r="DE38" s="9" t="n">
        <f aca="false">IF($B38="","",IF(Setup!$A$49="",0,IF(ISNUMBER(SEARCH(Setup!$A$49,$B38)),49,0)))</f>
        <v>0</v>
      </c>
      <c r="DF38" s="9" t="n">
        <f aca="false">IF($B38="",NA(),$A38)</f>
        <v>33</v>
      </c>
      <c r="DG38" s="22" t="n">
        <f aca="false">IF($BI38="",NA(),$BI38)</f>
        <v>23.7</v>
      </c>
      <c r="DH38" s="22" t="n">
        <f aca="false">IF($N38="",NA(),$N38)</f>
        <v>24.7</v>
      </c>
      <c r="DI38" s="9" t="e">
        <f aca="false">IF(AND($D38="Drift",$N38&lt;&gt;""),$N38,NA())</f>
        <v>#N/A</v>
      </c>
      <c r="DJ38" s="9" t="str">
        <f aca="false">IF(AND($D38="Drift",$N38&lt;&gt;""),$N38,"")</f>
        <v/>
      </c>
      <c r="DK38" s="9" t="str">
        <f aca="false">IF($DJ38="","",$A38)</f>
        <v/>
      </c>
      <c r="DL38" s="9" t="e">
        <f aca="false">IF($AN38="",NA(),$AM38)</f>
        <v>#N/A</v>
      </c>
      <c r="DM38" s="9" t="e">
        <f aca="false">IF($AN38="",NA(),$AN38)</f>
        <v>#N/A</v>
      </c>
      <c r="DN38" s="24" t="n">
        <f aca="false">IF(AND($D38="Sample",$L38&lt;&gt;""),$L38,NA())</f>
        <v>64.233</v>
      </c>
      <c r="DO38" s="24" t="n">
        <f aca="false">IF(AND($D38="Sample",$L38&lt;&gt;"",Fits!$B$98&lt;&gt;""),Fits!$B$98,NA())</f>
        <v>-6.0577</v>
      </c>
      <c r="DP38" s="9" t="e">
        <f aca="false">IF($AS38="",NA(),$AS38)</f>
        <v>#N/A</v>
      </c>
      <c r="DQ38" s="9" t="e">
        <f aca="false">IF(AND($D38="Drift",$AS38="",$X38&lt;&gt;""),$X38,NA())</f>
        <v>#N/A</v>
      </c>
      <c r="DR38" s="9" t="e">
        <f aca="false">IF(AND($D38="Drift",$Z38&lt;&gt;""),$Z38,NA())</f>
        <v>#N/A</v>
      </c>
      <c r="DS38" s="25" t="n">
        <f aca="false">IF(AND(OR($D38="Sample",$D38="Check"),$AA38&lt;&gt;""),$AA38,NA())</f>
        <v>-4.96020772975006</v>
      </c>
      <c r="DT38" s="25" t="n">
        <f aca="false">IF(OR($B38="",Fits!$B$138=""),NA(),Fits!$B$138)</f>
        <v>1.76</v>
      </c>
      <c r="DU38" s="25" t="n">
        <f aca="false">IF(OR($B38="",Fits!$B$139=""),NA(),Fits!$B$139)</f>
        <v>20.68</v>
      </c>
      <c r="DV38" s="24" t="n">
        <f aca="false">IF($BT38="",NA(),$BT38)</f>
        <v>-1.263</v>
      </c>
      <c r="DW38" s="9" t="e">
        <f aca="false">IF($AP38="",NA(),$AO38)</f>
        <v>#N/A</v>
      </c>
      <c r="DX38" s="9" t="e">
        <f aca="false">IF($AP38="",NA(),$AP38)</f>
        <v>#N/A</v>
      </c>
      <c r="DY38" s="24" t="n">
        <f aca="false">IF(AND($D38="Sample",$P38&lt;&gt;""),$P38,NA())</f>
        <v>302.204</v>
      </c>
      <c r="DZ38" s="24" t="n">
        <f aca="false">IF(AND($D38="Sample",$P38&lt;&gt;"",Fits!$B$105&lt;&gt;""),Fits!$B$105,NA())</f>
        <v>-9.717</v>
      </c>
      <c r="EA38" s="9" t="e">
        <f aca="false">IF($AT38="",NA(),$AT38)</f>
        <v>#N/A</v>
      </c>
      <c r="EB38" s="9" t="e">
        <f aca="false">IF(AND($D38="Drift",$AT38="",$AC38&lt;&gt;""),$AC38,NA())</f>
        <v>#N/A</v>
      </c>
      <c r="EC38" s="9" t="e">
        <f aca="false">IF(AND($D38="Drift",$AE38&lt;&gt;""),$AE38,NA())</f>
        <v>#N/A</v>
      </c>
      <c r="ED38" s="25" t="n">
        <f aca="false">IF(AND(OR($D38="Sample",$D38="Check"),$AF38&lt;&gt;""),$AF38,NA())</f>
        <v>-26.7621724616234</v>
      </c>
      <c r="EE38" s="25" t="n">
        <f aca="false">IF(OR($B38="",Fits!$B$158=""),NA(),Fits!$B$158)</f>
        <v>-40.81</v>
      </c>
      <c r="EF38" s="25" t="n">
        <f aca="false">IF(OR($B38="",Fits!$B$159=""),NA(),Fits!$B$159)</f>
        <v>-20.29</v>
      </c>
      <c r="EG38" s="24" t="n">
        <f aca="false">IF($BW38="",NA(),$BW38)</f>
        <v>-25.314</v>
      </c>
      <c r="EH38" s="9" t="e">
        <f aca="false">IF(AND($EN38=1,ISNUMBER($N38)),$N38,NA())</f>
        <v>#N/A</v>
      </c>
      <c r="EI38" s="9" t="n">
        <f aca="false">IF($B38="","",$A38)</f>
        <v>33</v>
      </c>
      <c r="EJ38" s="9" t="n">
        <f aca="false">IF(OR(AND(ISNUMBER($L38),Fits!$B$97&gt;0,$L38&gt;Fits!$B$97),AND(ISNUMBER($P38),Fits!$B$104&gt;0,$P38&gt;Fits!$B$104)),1,0)</f>
        <v>1</v>
      </c>
      <c r="EK38" s="9" t="n">
        <f aca="false">IF(OR($EJ37=1,$EJ36=1),1,0)</f>
        <v>0</v>
      </c>
      <c r="EL38" s="22" t="n">
        <f aca="false">IF(AND($EK38=0,ISNUMBER($N38)),$N38,$EL37)</f>
        <v>24.7</v>
      </c>
      <c r="EM38" s="9" t="str">
        <f aca="false">IF(AND($EK38=1,ISNUMBER($N38),ISNUMBER($EL38)),$N38-$EL38,"")</f>
        <v/>
      </c>
      <c r="EN38" s="9" t="n">
        <f aca="false">IF(Setup!$B$28="",0,IF(ISNUMBER($EM38),IF($EM38&gt;Setup!$B$28,1,0),0))</f>
        <v>0</v>
      </c>
      <c r="EO38" s="9" t="str">
        <f aca="false">IF($EN38=1,COUNTIF($EN$6:$EN38,1),"")</f>
        <v/>
      </c>
      <c r="EP38" s="9" t="n">
        <f aca="false">IF(AND($EJ37=1,OR($D38="Sample",$D38="Check")),1,0)</f>
        <v>0</v>
      </c>
      <c r="EQ38" s="9" t="str">
        <f aca="false">IF(ISNUMBER($BI38),IF(COUNT($BI$6:$BI38)&lt;=5,$BI38,""),"")</f>
        <v/>
      </c>
      <c r="ER38" s="9" t="n">
        <f aca="false">IF(OR(NOT(ISNUMBER($BJ38)),$EK38=1),$ER37,IF($BJ38&lt;=Setup!$B$26,IF($CP37=0,$A38,$ER37),""))</f>
        <v>27</v>
      </c>
    </row>
    <row r="39" customFormat="false" ht="15" hidden="false" customHeight="false" outlineLevel="0" collapsed="false">
      <c r="A39" s="8" t="n">
        <v>34</v>
      </c>
      <c r="B39" s="8" t="str">
        <f aca="false">IFERROR(INDEX(Raw!$B$2:$B$1001,MATCH($A39,Raw!$A$2:$A$1001,0)),"")</f>
        <v>Ace Drift7</v>
      </c>
      <c r="C39" s="9" t="n">
        <f aca="false">IF($B39="","",MAX($CS39:$DE39))</f>
        <v>43</v>
      </c>
      <c r="D39" s="8" t="str">
        <f aca="false">IF($B39="","",IF($C39=0,"Sample",INDEX(Setup!$B$37:$B$49,$C39-36)))</f>
        <v>Drift</v>
      </c>
      <c r="E39" s="16" t="n">
        <f aca="false">IF($B39="","",IFERROR(IF(INDEX(Raw!$E$2:$E$1001,MATCH($A39,Raw!$A$2:$A$1001,0))=0,"",INDEX(Raw!$E$2:$E$1001,MATCH($A39,Raw!$A$2:$A$1001,0))),""))</f>
        <v>0.399</v>
      </c>
      <c r="F39" s="18"/>
      <c r="G39" s="16" t="n">
        <f aca="false">IF($B39="","",IF($F39&lt;&gt;"",$F39,IF($E39="","",$E39)))</f>
        <v>0.399</v>
      </c>
      <c r="H39" s="9" t="n">
        <f aca="false">IF($B39="","",SUMPRODUCT(MAX((Raw!$A$2:$A$1001=$A39)*(Raw!$R$2:$R$1001="N")*Raw!$D$2:$D$1001)))</f>
        <v>3</v>
      </c>
      <c r="I39" s="9" t="str">
        <f aca="false">IF(OR($H39="",$H39=0),"",$A39&amp;"|N|"&amp;$H39)</f>
        <v>34|N|3</v>
      </c>
      <c r="J39" s="9" t="n">
        <f aca="false">IF($B39="","",SUMPRODUCT(MIN((Raw!$A$2:$A$1001=$A39)*(Raw!$R$2:$R$1001="C")*Raw!$D$2:$D$1001+(1-(Raw!$A$2:$A$1001=$A39)*(Raw!$R$2:$R$1001="C"))*9999)))</f>
        <v>4</v>
      </c>
      <c r="K39" s="9" t="str">
        <f aca="false">IF(OR($J39="",$J39=0,$J39=9999),"",$A39&amp;"|C|"&amp;$J39)</f>
        <v>34|C|4</v>
      </c>
      <c r="L39" s="16" t="n">
        <f aca="false">IF($I39="","",IF(INDEX(Raw!$I$2:$I$1001,MATCH($I39,Raw!$S$2:$S$1001,0))&lt;&gt;0,"",INDEX(Raw!$H$2:$H$1001,MATCH($I39,Raw!$S$2:$S$1001,0))))</f>
        <v>27.2</v>
      </c>
      <c r="M39" s="19" t="n">
        <f aca="false">IF($I39="","",IF(INDEX(Raw!$I$2:$I$1001,MATCH($I39,Raw!$S$2:$S$1001,0))&lt;&gt;0,"",INDEX(Raw!$F$2:$F$1001,MATCH($I39,Raw!$S$2:$S$1001,0))))</f>
        <v>1544</v>
      </c>
      <c r="N39" s="20" t="n">
        <f aca="false">IF($I39="","",IF(INDEX(Raw!$I$2:$I$1001,MATCH($I39,Raw!$S$2:$S$1001,0))&lt;&gt;0,"",INDEX(Raw!$G$2:$G$1001,MATCH($I39,Raw!$S$2:$S$1001,0))))</f>
        <v>24.8</v>
      </c>
      <c r="O39" s="16" t="n">
        <f aca="false">IF($I39="","",IF(INDEX(Raw!$I$2:$I$1001,MATCH($I39,Raw!$S$2:$S$1001,0))&lt;&gt;0,"",INDEX(Raw!$N$2:$N$1001,MATCH($I39,Raw!$S$2:$S$1001,0))))</f>
        <v>-6.213</v>
      </c>
      <c r="P39" s="16" t="n">
        <f aca="false">IF($K39="","",IF(INDEX(Raw!$I$2:$I$1001,MATCH($K39,Raw!$S$2:$S$1001,0))&lt;&gt;0,"",INDEX(Raw!$K$2:$K$1001,MATCH($K39,Raw!$S$2:$S$1001,0))))</f>
        <v>127.619</v>
      </c>
      <c r="Q39" s="19" t="n">
        <f aca="false">IF($K39="","",IF(INDEX(Raw!$I$2:$I$1001,MATCH($K39,Raw!$S$2:$S$1001,0))&lt;&gt;0,"",INDEX(Raw!$J$2:$J$1001,MATCH($K39,Raw!$S$2:$S$1001,0))))</f>
        <v>5661</v>
      </c>
      <c r="R39" s="16" t="n">
        <f aca="false">IF($K39="","",IF(INDEX(Raw!$I$2:$I$1001,MATCH($K39,Raw!$S$2:$S$1001,0))&lt;&gt;0,"",INDEX(Raw!$O$2:$O$1001,MATCH($K39,Raw!$S$2:$S$1001,0))))</f>
        <v>-9.469</v>
      </c>
      <c r="S39" s="21" t="str">
        <f aca="false">IF($B39="","",IF($C39=0,"",IF(INDEX(Setup!$D$37:$D$49,$C39-36)="","",INDEX(Setup!$D$37:$D$49,$C39-36))))</f>
        <v/>
      </c>
      <c r="T39" s="21" t="str">
        <f aca="false">IF($B39="","",IF($C39=0,"",IF(INDEX(Setup!$C$37:$C$49,$C39-36)="","",INDEX(Setup!$C$37:$C$49,$C39-36))))</f>
        <v/>
      </c>
      <c r="U39" s="21" t="n">
        <f aca="false">IF($B39="","",IF($C39=0,"",IF(INDEX(Setup!$F$37:$F$49,$C39-36)="","",INDEX(Setup!$F$37:$F$49,$C39-36))))</f>
        <v>10.36</v>
      </c>
      <c r="V39" s="21" t="n">
        <f aca="false">IF($B39="","",IF($C39=0,"",IF(INDEX(Setup!$E$37:$E$49,$C39-36)="","",INDEX(Setup!$E$37:$E$49,$C39-36))))</f>
        <v>71.09</v>
      </c>
      <c r="W39" s="16" t="n">
        <f aca="false">IF($O39="","",IF(OR(Fits!$C$5&lt;&gt;"Yes",$D39="Blank",$L39&lt;=Fits!$B$6),$O39,($L39*$O39-Fits!$B$6*Fits!$B$7)/($L39-Fits!$B$6)))</f>
        <v>-6.213</v>
      </c>
      <c r="X39" s="16" t="n">
        <f aca="false">IF($W39="","",$W39-Fits!$B$20*($L39-Fits!$B$16))</f>
        <v>-6.213</v>
      </c>
      <c r="Y39" s="22" t="n">
        <f aca="false">IF($W39="","",IF(OR(Fits!$B$38="Row",$BI39=""),$A39,$BI39))</f>
        <v>34</v>
      </c>
      <c r="Z39" s="16" t="n">
        <f aca="false">IF($X39="","",$X39-Fits!$B$39*($Y39-Fits!$B$40))</f>
        <v>-6.20959515000128</v>
      </c>
      <c r="AA39" s="23" t="n">
        <f aca="false">IF(OR($Z39="",Fits!$B$55&lt;2),"",Fits!$B$56*$Z39+Fits!$B$57)</f>
        <v>-5.34748726261932</v>
      </c>
      <c r="AB39" s="16" t="n">
        <f aca="false">IF($R39="","",IF(OR(Fits!$C$9&lt;&gt;"Yes",$D39="Blank",$P39&lt;=Fits!$B$10),$R39,($P39*$R39-Fits!$B$10*Fits!$B$11)/($P39-Fits!$B$10)))</f>
        <v>-9.469</v>
      </c>
      <c r="AC39" s="16" t="n">
        <f aca="false">IF($AB39="","",$AB39-Fits!$B$28*($P39-Fits!$B$24))</f>
        <v>-9.46909616767543</v>
      </c>
      <c r="AD39" s="22" t="n">
        <f aca="false">IF($AB39="","",IF(OR(Fits!$B$50="Row",$BI39=""),$A39,$BI39))</f>
        <v>34</v>
      </c>
      <c r="AE39" s="16" t="n">
        <f aca="false">IF($AC39="","",$AC39-Fits!$B$51*($AD39-Fits!$B$52))</f>
        <v>-9.4696956293318</v>
      </c>
      <c r="AF39" s="23" t="n">
        <f aca="false">IF(OR($AE39="",Fits!$B$62&lt;2),"",Fits!$B$63*$AE39+Fits!$B$64)</f>
        <v>-26.5959383222801</v>
      </c>
      <c r="AG39" s="21" t="n">
        <f aca="false">IF(OR($L39="",Fits!$B$69&lt;3),"",($L39-Fits!$B$71)/Fits!$B$70)</f>
        <v>41.6530919056911</v>
      </c>
      <c r="AH39" s="21" t="n">
        <f aca="false">IF(OR($P39="",Fits!$B$75&lt;3),"",($P39-Fits!$B$77)/Fits!$B$76)</f>
        <v>286.690775809211</v>
      </c>
      <c r="AI39" s="23" t="n">
        <f aca="false">IF(OR($AG39="",$G39="",$G39=0),"",$AG39/($G39*1000)*100)</f>
        <v>10.4393714049351</v>
      </c>
      <c r="AJ39" s="23" t="n">
        <f aca="false">IF(OR($AH39="",$G39="",$G39=0),"",$AH39/($G39*1000)*100)</f>
        <v>71.8523247642133</v>
      </c>
      <c r="AK39" s="23" t="n">
        <f aca="false">IF(OR($AG39="",$AH39="",$AG39&lt;=0),"",($AH39/Setup!$B$52)/($AG39/Setup!$B$53))</f>
        <v>8.02661508528021</v>
      </c>
      <c r="AL39" s="23" t="n">
        <f aca="false">IF(OR($AG39="",$AH39="",$AG39&lt;=0),"",$AH39/$AG39)</f>
        <v>6.88282100301996</v>
      </c>
      <c r="AM39" s="9" t="str">
        <f aca="false">IF($D39="Linearity",IF($L39="","",$L39),"")</f>
        <v/>
      </c>
      <c r="AN39" s="9" t="str">
        <f aca="false">IF($D39="Linearity",IF($W39="","",$W39),"")</f>
        <v/>
      </c>
      <c r="AO39" s="9" t="str">
        <f aca="false">IF($D39="Linearity",IF($P39="","",$P39),"")</f>
        <v/>
      </c>
      <c r="AP39" s="9" t="str">
        <f aca="false">IF($D39="Linearity",IF($AB39="","",$AB39),"")</f>
        <v/>
      </c>
      <c r="AQ39" s="9" t="n">
        <f aca="false">IF($D39="Drift",IF($A39&lt;IF(Setup!$B$14="",0,Setup!$B$14),"",$A39),"")</f>
        <v>34</v>
      </c>
      <c r="AR39" s="22" t="n">
        <f aca="false">IF($D39="Drift",IF($A39&lt;IF(Setup!$B$14="",0,Setup!$B$14),"",IF($BI39="","",$BI39)),"")</f>
        <v>23.9</v>
      </c>
      <c r="AS39" s="24" t="n">
        <f aca="false">IF($D39="Drift",IF($A39&lt;IF(Setup!$B$14="",0,Setup!$B$14),"",IF(OR($X39="",$BX39=1),"",$X39)),"")</f>
        <v>-6.213</v>
      </c>
      <c r="AT39" s="24" t="n">
        <f aca="false">IF($D39="Drift",IF($A39&lt;IF(Setup!$B$14="",0,Setup!$B$14),"",IF(OR($AC39="",$BY39=1),"",$AC39)),"")</f>
        <v>-9.46909616767543</v>
      </c>
      <c r="AU39" s="9" t="str">
        <f aca="false">IF($D39="Anchor",IF(OR($Z39="",$S39=""),"",$Z39),"")</f>
        <v/>
      </c>
      <c r="AV39" s="9" t="str">
        <f aca="false">IF($D39="Anchor",IF(OR($Z39="",$S39=""),"",$S39),"")</f>
        <v/>
      </c>
      <c r="AW39" s="9" t="str">
        <f aca="false">IF($D39="Anchor",IF(OR($AE39="",$T39=""),"",$AE39),"")</f>
        <v/>
      </c>
      <c r="AX39" s="9" t="str">
        <f aca="false">IF($D39="Anchor",IF(OR($AE39="",$T39=""),"",$T39),"")</f>
        <v/>
      </c>
      <c r="AY39" s="9" t="n">
        <f aca="false">IF(OR($D39="Blank",$D39="Exclude",$D39="Sample",$D39="",$G39="",$U39="",$L39=""),"",$G39*1000*$U39/100)</f>
        <v>41.3364</v>
      </c>
      <c r="AZ39" s="24" t="n">
        <f aca="false">IF($AY39="","",$L39)</f>
        <v>27.2</v>
      </c>
      <c r="BA39" s="9" t="n">
        <f aca="false">IF(OR($D39="Blank",$D39="Exclude",$D39="Sample",$D39="",$G39="",$V39="",$P39=""),"",$G39*1000*$V39/100)</f>
        <v>283.6491</v>
      </c>
      <c r="BB39" s="24" t="n">
        <f aca="false">IF($BA39="","",$P39)</f>
        <v>127.619</v>
      </c>
      <c r="BC39" s="9" t="str">
        <f aca="false">IF(AND($D39="Blank",$L39&lt;&gt;""),$O39,"")</f>
        <v/>
      </c>
      <c r="BD39" s="9" t="str">
        <f aca="false">IF($BC39="","",$L39)</f>
        <v/>
      </c>
      <c r="BE39" s="9" t="str">
        <f aca="false">IF(AND($D39="Blank",$P39&lt;&gt;""),$R39,"")</f>
        <v/>
      </c>
      <c r="BF39" s="9" t="str">
        <f aca="false">IF($BE39="","",$P39)</f>
        <v/>
      </c>
      <c r="BG39" s="25" t="n">
        <f aca="false">IF(AND($D39="Drift",$BX39&lt;&gt;1),IF($AA39="","",$AA39),"")</f>
        <v>-5.34748726261932</v>
      </c>
      <c r="BH39" s="25" t="n">
        <f aca="false">IF(AND($D39="Drift",$BY39&lt;&gt;1),IF($AF39="","",$AF39),"")</f>
        <v>-26.5959383222801</v>
      </c>
      <c r="BI39" s="20" t="n">
        <f aca="false">IF($B39="","",IFERROR(INDEX(Raw!$G$2:$G$1001,MATCH($A39&amp;"|N|"&amp;SUMPRODUCT(MAX((Raw!$A$2:$A$1001=$A39)*(Raw!$R$2:$R$1001="N")*(Raw!$I$2:$I$1001=1)*Raw!$D$2:$D$1001)),Raw!$S$2:$S$1001,0)),""))</f>
        <v>23.9</v>
      </c>
      <c r="BJ39" s="21" t="n">
        <f aca="false">IF(OR($BI39="",Fits!$B$85&lt;=0),"",($BI39-Fits!$B$83)/Fits!$B$85)</f>
        <v>0.0720720720720718</v>
      </c>
      <c r="BK39" s="9" t="str">
        <f aca="false">IF($AS39="","",IF($A39&gt;=Fits!$B$86,"",$A39))</f>
        <v/>
      </c>
      <c r="BL39" s="9" t="str">
        <f aca="false">IF($BK39="","",$X39)</f>
        <v/>
      </c>
      <c r="BM39" s="9" t="n">
        <f aca="false">IF($AS39="","",IF($A39&lt;Fits!$B$86,"",$A39))</f>
        <v>34</v>
      </c>
      <c r="BN39" s="24" t="n">
        <f aca="false">IF($BM39="","",$X39)</f>
        <v>-6.213</v>
      </c>
      <c r="BO39" s="24" t="n">
        <f aca="false">IF(AND($D39="Drift",$BX39&lt;&gt;1),IF($O39="","",$O39),"")</f>
        <v>-6.213</v>
      </c>
      <c r="BP39" s="24" t="n">
        <f aca="false">IF(AND($D39="Drift",$BX39&lt;&gt;1),IF($W39="","",$W39),"")</f>
        <v>-6.213</v>
      </c>
      <c r="BQ39" s="24" t="n">
        <f aca="false">IF(AND($D39="Drift",$BX39&lt;&gt;1),IF($X39="","",$X39),"")</f>
        <v>-6.213</v>
      </c>
      <c r="BR39" s="24" t="n">
        <f aca="false">IF(AND($D39="Drift",$BX39&lt;&gt;1),IF($Z39="","",$Z39),"")</f>
        <v>-6.20959515000128</v>
      </c>
      <c r="BS39" s="9" t="n">
        <f aca="false">IF(OR($B39="",$H39=""),"",SUMPRODUCT(MIN((Raw!$A$2:$A$1001=$A39)*(Raw!$R$2:$R$1001="N")*(Raw!$I$2:$I$1001=0)*(Raw!$D$2:$D$1001&lt;$H39)*Raw!$D$2:$D$1001+(1-(Raw!$A$2:$A$1001=$A39)*(Raw!$R$2:$R$1001="N")*(Raw!$I$2:$I$1001=0)*(Raw!$D$2:$D$1001&lt;$H39))*9999)))</f>
        <v>1</v>
      </c>
      <c r="BT39" s="16" t="n">
        <f aca="false">IF(OR($BS39="",$BS39=9999,$BS39=0),"",IFERROR(INDEX(Raw!$N$2:$N$1001,MATCH($A39&amp;"|N|"&amp;$BS39,Raw!$S$2:$S$1001,0)),""))</f>
        <v>-1.205</v>
      </c>
      <c r="BU39" s="9" t="n">
        <f aca="false">IF($B39="","",SUMPRODUCT(MIN((Raw!$A$2:$A$1001=$A39)*(Raw!$R$2:$R$1001="C")*(Raw!$I$2:$I$1001=1)*Raw!$D$2:$D$1001+(1-(Raw!$A$2:$A$1001=$A39)*(Raw!$R$2:$R$1001="C")*(Raw!$I$2:$I$1001=1))*9999)))</f>
        <v>5</v>
      </c>
      <c r="BV39" s="9" t="n">
        <f aca="false">IF(OR($BU39="",$BU39=9999),"",SUMPRODUCT(MIN((Raw!$A$2:$A$1001=$A39)*(Raw!$R$2:$R$1001="C")*(Raw!$I$2:$I$1001=0)*(Raw!$D$2:$D$1001&gt;$BU39)*Raw!$D$2:$D$1001+(1-(Raw!$A$2:$A$1001=$A39)*(Raw!$R$2:$R$1001="C")*(Raw!$I$2:$I$1001=0)*(Raw!$D$2:$D$1001&gt;$BU39))*9999)))</f>
        <v>6</v>
      </c>
      <c r="BW39" s="16" t="n">
        <f aca="false">IF(OR($BV39="",$BV39=9999,$BV39=0),"",IFERROR(INDEX(Raw!$O$2:$O$1001,MATCH($A39&amp;"|C|"&amp;$BV39,Raw!$S$2:$S$1001,0)),""))</f>
        <v>-25.34</v>
      </c>
      <c r="BX39" s="9" t="n">
        <f aca="false">IF($B39="","",IF(ISNUMBER(SEARCH(","&amp;$A39&amp;",",","&amp;SUBSTITUTE(Setup!$B$16," ","")&amp;",")),1,0))</f>
        <v>0</v>
      </c>
      <c r="BY39" s="9" t="n">
        <f aca="false">IF($B39="","",IF(ISNUMBER(SEARCH(","&amp;$A39&amp;",",","&amp;SUBSTITUTE(Setup!$B$17," ","")&amp;",")),1,0))</f>
        <v>0</v>
      </c>
      <c r="BZ39" s="22" t="n">
        <f aca="false">IF($AS39="","",IF(Fits!$B$38="Row",$AQ39,IF($AR39="","",$AR39)))</f>
        <v>34</v>
      </c>
      <c r="CA39" s="22" t="n">
        <f aca="false">IF($AT39="","",IF(Fits!$B$50="Row",$AQ39,IF($AR39="","",$AR39)))</f>
        <v>34</v>
      </c>
      <c r="CB39" s="20" t="n">
        <f aca="false">IF(OR($D39&lt;&gt;"Drift",$X39="",$A39&lt;IF(Setup!$B$14="",0,Setup!$B$14),Fits!$B$107&lt;3,Fits!$B$110="",Fits!$B$109=0,IF(Fits!$B$38="Row",$AQ39,$AR39)=""),"",IF($BX39=1,IF(OR(Fits!$B$111="",Fits!$B$111=0),"",($X39-(IF(Fits!$B$38="Row",Fits!$B$32,Fits!$B$35)*IF(Fits!$B$38="Row",$AQ39,$AR39)+Fits!$B$110))/(Fits!$B$111*SQRT(1+(1/Fits!$B$107+(IF(Fits!$B$38="Row",$AQ39,$AR39)-Fits!$B$108)^2/Fits!$B$109)))),IF(OR(Fits!$B$107&lt;4,(1/Fits!$B$107+(IF(Fits!$B$38="Row",$AQ39,$AR39)-Fits!$B$108)^2/Fits!$B$109)&gt;=1),"",IF((Fits!$B$116-($X39-(IF(Fits!$B$38="Row",Fits!$B$32,Fits!$B$35)*IF(Fits!$B$38="Row",$AQ39,$AR39)+Fits!$B$110))^2/(1-(1/Fits!$B$107+(IF(Fits!$B$38="Row",$AQ39,$AR39)-Fits!$B$108)^2/Fits!$B$109)))&lt;=0,"",($X39-(IF(Fits!$B$38="Row",Fits!$B$32,Fits!$B$35)*IF(Fits!$B$38="Row",$AQ39,$AR39)+Fits!$B$110))/(SQRT((Fits!$B$116-($X39-(IF(Fits!$B$38="Row",Fits!$B$32,Fits!$B$35)*IF(Fits!$B$38="Row",$AQ39,$AR39)+Fits!$B$110))^2/(1-(1/Fits!$B$107+(IF(Fits!$B$38="Row",$AQ39,$AR39)-Fits!$B$108)^2/Fits!$B$109)))/(Fits!$B$107-3))*SQRT(1-(1/Fits!$B$107+(IF(Fits!$B$38="Row",$AQ39,$AR39)-Fits!$B$108)^2/Fits!$B$109)))))))</f>
        <v>-0.766410209678687</v>
      </c>
      <c r="CC39" s="20" t="n">
        <f aca="false">IF(OR($D39&lt;&gt;"Drift",$AC39="",$A39&lt;IF(Setup!$B$14="",0,Setup!$B$14),Fits!$B$120&lt;3,Fits!$B$123="",Fits!$B$122=0,IF(Fits!$B$50="Row",$AQ39,$AR39)=""),"",IF($BY39=1,IF(OR(Fits!$B$124="",Fits!$B$124=0),"",($AC39-(IF(Fits!$B$50="Row",Fits!$B$44,Fits!$B$47)*IF(Fits!$B$50="Row",$AQ39,$AR39)+Fits!$B$123))/(Fits!$B$124*SQRT(1+(1/Fits!$B$120+(IF(Fits!$B$50="Row",$AQ39,$AR39)-Fits!$B$121)^2/Fits!$B$122)))),IF(OR(Fits!$B$120&lt;4,(1/Fits!$B$120+(IF(Fits!$B$50="Row",$AQ39,$AR39)-Fits!$B$121)^2/Fits!$B$122)&gt;=1),"",IF((Fits!$B$129-($AC39-(IF(Fits!$B$50="Row",Fits!$B$44,Fits!$B$47)*IF(Fits!$B$50="Row",$AQ39,$AR39)+Fits!$B$123))^2/(1-(1/Fits!$B$120+(IF(Fits!$B$50="Row",$AQ39,$AR39)-Fits!$B$121)^2/Fits!$B$122)))&lt;=0,"",($AC39-(IF(Fits!$B$50="Row",Fits!$B$44,Fits!$B$47)*IF(Fits!$B$50="Row",$AQ39,$AR39)+Fits!$B$123))/(SQRT((Fits!$B$129-($AC39-(IF(Fits!$B$50="Row",Fits!$B$44,Fits!$B$47)*IF(Fits!$B$50="Row",$AQ39,$AR39)+Fits!$B$123))^2/(1-(1/Fits!$B$120+(IF(Fits!$B$50="Row",$AQ39,$AR39)-Fits!$B$121)^2/Fits!$B$122)))/(Fits!$B$120-3))*SQRT(1-(1/Fits!$B$120+(IF(Fits!$B$50="Row",$AQ39,$AR39)-Fits!$B$121)^2/Fits!$B$122)))))))</f>
        <v>0.20520188705052</v>
      </c>
      <c r="CD39" s="9" t="str">
        <f aca="false">IF($AU39="","",1)</f>
        <v/>
      </c>
      <c r="CE39" s="24" t="str">
        <f aca="false">IF($AU39="","",$AU39-Fits!$B$133)</f>
        <v/>
      </c>
      <c r="CF39" s="24" t="str">
        <f aca="false">IF($AU39="","",($AV39-(Fits!$B$56*$AU39+Fits!$B$57))-Fits!$B$56*($AU39-Fits!$B$133))</f>
        <v/>
      </c>
      <c r="CG39" s="25" t="str">
        <f aca="false">IF($AU39="","",$AU39^2)</f>
        <v/>
      </c>
      <c r="CH39" s="9" t="str">
        <f aca="false">IF($AW39="","",1)</f>
        <v/>
      </c>
      <c r="CI39" s="24" t="str">
        <f aca="false">IF($AW39="","",$AW39-Fits!$B$153)</f>
        <v/>
      </c>
      <c r="CJ39" s="24" t="str">
        <f aca="false">IF($AW39="","",($AX39-(Fits!$B$63*$AW39+Fits!$B$64))-Fits!$B$63*($AW39-Fits!$B$153))</f>
        <v/>
      </c>
      <c r="CK39" s="25" t="str">
        <f aca="false">IF($AW39="","",$AW39^2)</f>
        <v/>
      </c>
      <c r="CL39" s="26" t="n">
        <f aca="false">IF(OR($Z39="",Fits!$B$55&lt;3,Fits!$B$133="",Fits!$B$134="",Fits!$B$134=0,Fits!$B$136=""),"",SQRT((Fits!$B$136*Fits!$B$56)^2+SUMPRODUCT((Fits!$J$163:$J$175*(Fits!$B$163:$B$175/Fits!$B$55+Fits!$H$163:$H$175*($Z39-Fits!$B$133)/Fits!$B$134))^2)+SUMPRODUCT((Fits!$G$163:$G$175*(($Z39-Fits!$B$133)*Fits!$I$163:$I$175/Fits!$B$134-Fits!$B$163:$B$175*Fits!$B$56/Fits!$B$55))^2)))</f>
        <v>0.256571075849667</v>
      </c>
      <c r="CM39" s="26" t="n">
        <f aca="false">IF($CL39="","",Setup!$B$32*$CL39)</f>
        <v>0.513142151699333</v>
      </c>
      <c r="CN39" s="26" t="n">
        <f aca="false">IF(OR($AE39="",Fits!$B$62&lt;3,Fits!$B$153="",Fits!$B$154="",Fits!$B$154=0,Fits!$B$156=""),"",SQRT((Fits!$B$156*Fits!$B$63)^2+SUMPRODUCT((Fits!$J$183:$J$195*(Fits!$B$183:$B$195/Fits!$B$62+Fits!$H$183:$H$195*($AE39-Fits!$B$153)/Fits!$B$154))^2)+SUMPRODUCT((Fits!$G$183:$G$195*(($AE39-Fits!$B$153)*Fits!$I$183:$I$195/Fits!$B$154-Fits!$B$183:$B$195*Fits!$B$63/Fits!$B$62))^2)))</f>
        <v>0.0378968797527942</v>
      </c>
      <c r="CO39" s="26" t="n">
        <f aca="false">IF($CN39="","",Setup!$B$32*$CN39)</f>
        <v>0.0757937595055884</v>
      </c>
      <c r="CP39" s="9" t="n">
        <f aca="false">IF(OR(NOT(ISNUMBER($BJ39)),$EK39=1),$CP38,IF($BJ39&lt;=Setup!$B$26,$CP38+1,0))</f>
        <v>5</v>
      </c>
      <c r="CQ39" s="9" t="n">
        <f aca="false">IF($BT39="","",$A39)</f>
        <v>34</v>
      </c>
      <c r="CR39" s="9" t="n">
        <f aca="false">IF($BW39="","",$A39)</f>
        <v>34</v>
      </c>
      <c r="CS39" s="9" t="n">
        <f aca="false">IF($B39="","",IF(Setup!$A$37="",0,IF(ISNUMBER(SEARCH(Setup!$A$37,$B39)),37,0)))</f>
        <v>0</v>
      </c>
      <c r="CT39" s="9" t="n">
        <f aca="false">IF($B39="","",IF(Setup!$A$38="",0,IF(ISNUMBER(SEARCH(Setup!$A$38,$B39)),38,0)))</f>
        <v>0</v>
      </c>
      <c r="CU39" s="9" t="n">
        <f aca="false">IF($B39="","",IF(Setup!$A$39="",0,IF(ISNUMBER(SEARCH(Setup!$A$39,$B39)),39,0)))</f>
        <v>0</v>
      </c>
      <c r="CV39" s="9" t="n">
        <f aca="false">IF($B39="","",IF(Setup!$A$40="",0,IF(ISNUMBER(SEARCH(Setup!$A$40,$B39)),40,0)))</f>
        <v>0</v>
      </c>
      <c r="CW39" s="9" t="n">
        <f aca="false">IF($B39="","",IF(Setup!$A$41="",0,IF(ISNUMBER(SEARCH(Setup!$A$41,$B39)),41,0)))</f>
        <v>0</v>
      </c>
      <c r="CX39" s="9" t="n">
        <f aca="false">IF($B39="","",IF(Setup!$A$42="",0,IF(ISNUMBER(SEARCH(Setup!$A$42,$B39)),42,0)))</f>
        <v>0</v>
      </c>
      <c r="CY39" s="9" t="n">
        <f aca="false">IF($B39="","",IF(Setup!$A$43="",0,IF(ISNUMBER(SEARCH(Setup!$A$43,$B39)),43,0)))</f>
        <v>43</v>
      </c>
      <c r="CZ39" s="9" t="n">
        <f aca="false">IF($B39="","",IF(Setup!$A$44="",0,IF(ISNUMBER(SEARCH(Setup!$A$44,$B39)),44,0)))</f>
        <v>0</v>
      </c>
      <c r="DA39" s="9" t="n">
        <f aca="false">IF($B39="","",IF(Setup!$A$45="",0,IF(ISNUMBER(SEARCH(Setup!$A$45,$B39)),45,0)))</f>
        <v>0</v>
      </c>
      <c r="DB39" s="9" t="n">
        <f aca="false">IF($B39="","",IF(Setup!$A$46="",0,IF(ISNUMBER(SEARCH(Setup!$A$46,$B39)),46,0)))</f>
        <v>0</v>
      </c>
      <c r="DC39" s="9" t="n">
        <f aca="false">IF($B39="","",IF(Setup!$A$47="",0,IF(ISNUMBER(SEARCH(Setup!$A$47,$B39)),47,0)))</f>
        <v>0</v>
      </c>
      <c r="DD39" s="9" t="n">
        <f aca="false">IF($B39="","",IF(Setup!$A$48="",0,IF(ISNUMBER(SEARCH(Setup!$A$48,$B39)),48,0)))</f>
        <v>0</v>
      </c>
      <c r="DE39" s="9" t="n">
        <f aca="false">IF($B39="","",IF(Setup!$A$49="",0,IF(ISNUMBER(SEARCH(Setup!$A$49,$B39)),49,0)))</f>
        <v>0</v>
      </c>
      <c r="DF39" s="9" t="n">
        <f aca="false">IF($B39="",NA(),$A39)</f>
        <v>34</v>
      </c>
      <c r="DG39" s="22" t="n">
        <f aca="false">IF($BI39="",NA(),$BI39)</f>
        <v>23.9</v>
      </c>
      <c r="DH39" s="22" t="n">
        <f aca="false">IF($N39="",NA(),$N39)</f>
        <v>24.8</v>
      </c>
      <c r="DI39" s="22" t="n">
        <f aca="false">IF(AND($D39="Drift",$N39&lt;&gt;""),$N39,NA())</f>
        <v>24.8</v>
      </c>
      <c r="DJ39" s="22" t="n">
        <f aca="false">IF(AND($D39="Drift",$N39&lt;&gt;""),$N39,"")</f>
        <v>24.8</v>
      </c>
      <c r="DK39" s="9" t="n">
        <f aca="false">IF($DJ39="","",$A39)</f>
        <v>34</v>
      </c>
      <c r="DL39" s="9" t="e">
        <f aca="false">IF($AN39="",NA(),$AM39)</f>
        <v>#N/A</v>
      </c>
      <c r="DM39" s="9" t="e">
        <f aca="false">IF($AN39="",NA(),$AN39)</f>
        <v>#N/A</v>
      </c>
      <c r="DN39" s="9" t="e">
        <f aca="false">IF(AND($D39="Sample",$L39&lt;&gt;""),$L39,NA())</f>
        <v>#N/A</v>
      </c>
      <c r="DO39" s="9" t="e">
        <f aca="false">IF(AND($D39="Sample",$L39&lt;&gt;"",Fits!$B$98&lt;&gt;""),Fits!$B$98,NA())</f>
        <v>#N/A</v>
      </c>
      <c r="DP39" s="24" t="n">
        <f aca="false">IF($AS39="",NA(),$AS39)</f>
        <v>-6.213</v>
      </c>
      <c r="DQ39" s="9" t="e">
        <f aca="false">IF(AND($D39="Drift",$AS39="",$X39&lt;&gt;""),$X39,NA())</f>
        <v>#N/A</v>
      </c>
      <c r="DR39" s="24" t="n">
        <f aca="false">IF(AND($D39="Drift",$Z39&lt;&gt;""),$Z39,NA())</f>
        <v>-6.20959515000128</v>
      </c>
      <c r="DS39" s="9" t="e">
        <f aca="false">IF(AND(OR($D39="Sample",$D39="Check"),$AA39&lt;&gt;""),$AA39,NA())</f>
        <v>#N/A</v>
      </c>
      <c r="DT39" s="25" t="n">
        <f aca="false">IF(OR($B39="",Fits!$B$138=""),NA(),Fits!$B$138)</f>
        <v>1.76</v>
      </c>
      <c r="DU39" s="25" t="n">
        <f aca="false">IF(OR($B39="",Fits!$B$139=""),NA(),Fits!$B$139)</f>
        <v>20.68</v>
      </c>
      <c r="DV39" s="24" t="n">
        <f aca="false">IF($BT39="",NA(),$BT39)</f>
        <v>-1.205</v>
      </c>
      <c r="DW39" s="9" t="e">
        <f aca="false">IF($AP39="",NA(),$AO39)</f>
        <v>#N/A</v>
      </c>
      <c r="DX39" s="9" t="e">
        <f aca="false">IF($AP39="",NA(),$AP39)</f>
        <v>#N/A</v>
      </c>
      <c r="DY39" s="9" t="e">
        <f aca="false">IF(AND($D39="Sample",$P39&lt;&gt;""),$P39,NA())</f>
        <v>#N/A</v>
      </c>
      <c r="DZ39" s="9" t="e">
        <f aca="false">IF(AND($D39="Sample",$P39&lt;&gt;"",Fits!$B$105&lt;&gt;""),Fits!$B$105,NA())</f>
        <v>#N/A</v>
      </c>
      <c r="EA39" s="24" t="n">
        <f aca="false">IF($AT39="",NA(),$AT39)</f>
        <v>-9.46909616767543</v>
      </c>
      <c r="EB39" s="9" t="e">
        <f aca="false">IF(AND($D39="Drift",$AT39="",$AC39&lt;&gt;""),$AC39,NA())</f>
        <v>#N/A</v>
      </c>
      <c r="EC39" s="24" t="n">
        <f aca="false">IF(AND($D39="Drift",$AE39&lt;&gt;""),$AE39,NA())</f>
        <v>-9.4696956293318</v>
      </c>
      <c r="ED39" s="9" t="e">
        <f aca="false">IF(AND(OR($D39="Sample",$D39="Check"),$AF39&lt;&gt;""),$AF39,NA())</f>
        <v>#N/A</v>
      </c>
      <c r="EE39" s="25" t="n">
        <f aca="false">IF(OR($B39="",Fits!$B$158=""),NA(),Fits!$B$158)</f>
        <v>-40.81</v>
      </c>
      <c r="EF39" s="25" t="n">
        <f aca="false">IF(OR($B39="",Fits!$B$159=""),NA(),Fits!$B$159)</f>
        <v>-20.29</v>
      </c>
      <c r="EG39" s="24" t="n">
        <f aca="false">IF($BW39="",NA(),$BW39)</f>
        <v>-25.34</v>
      </c>
      <c r="EH39" s="9" t="e">
        <f aca="false">IF(AND($EN39=1,ISNUMBER($N39)),$N39,NA())</f>
        <v>#N/A</v>
      </c>
      <c r="EI39" s="9" t="n">
        <f aca="false">IF($B39="","",$A39)</f>
        <v>34</v>
      </c>
      <c r="EJ39" s="9" t="n">
        <f aca="false">IF(OR(AND(ISNUMBER($L39),Fits!$B$97&gt;0,$L39&gt;Fits!$B$97),AND(ISNUMBER($P39),Fits!$B$104&gt;0,$P39&gt;Fits!$B$104)),1,0)</f>
        <v>0</v>
      </c>
      <c r="EK39" s="9" t="n">
        <f aca="false">IF(OR($EJ38=1,$EJ37=1),1,0)</f>
        <v>1</v>
      </c>
      <c r="EL39" s="22" t="n">
        <f aca="false">IF(AND($EK39=0,ISNUMBER($N39)),$N39,$EL38)</f>
        <v>24.7</v>
      </c>
      <c r="EM39" s="9" t="n">
        <f aca="false">IF(AND($EK39=1,ISNUMBER($N39),ISNUMBER($EL39)),$N39-$EL39,"")</f>
        <v>0.100000000000001</v>
      </c>
      <c r="EN39" s="9" t="n">
        <f aca="false">IF(Setup!$B$28="",0,IF(ISNUMBER($EM39),IF($EM39&gt;Setup!$B$28,1,0),0))</f>
        <v>0</v>
      </c>
      <c r="EO39" s="9" t="str">
        <f aca="false">IF($EN39=1,COUNTIF($EN$6:$EN39,1),"")</f>
        <v/>
      </c>
      <c r="EP39" s="9" t="n">
        <f aca="false">IF(AND($EJ38=1,OR($D39="Sample",$D39="Check")),1,0)</f>
        <v>0</v>
      </c>
      <c r="EQ39" s="9" t="str">
        <f aca="false">IF(ISNUMBER($BI39),IF(COUNT($BI$6:$BI39)&lt;=5,$BI39,""),"")</f>
        <v/>
      </c>
      <c r="ER39" s="9" t="n">
        <f aca="false">IF(OR(NOT(ISNUMBER($BJ39)),$EK39=1),$ER38,IF($BJ39&lt;=Setup!$B$26,IF($CP38=0,$A39,$ER38),""))</f>
        <v>27</v>
      </c>
    </row>
    <row r="40" customFormat="false" ht="15" hidden="false" customHeight="false" outlineLevel="0" collapsed="false">
      <c r="A40" s="8" t="n">
        <v>35</v>
      </c>
      <c r="B40" s="8" t="str">
        <f aca="false">IFERROR(INDEX(Raw!$B$2:$B$1001,MATCH($A40,Raw!$A$2:$A$1001,0)),"")</f>
        <v>Random</v>
      </c>
      <c r="C40" s="9" t="n">
        <f aca="false">IF($B40="","",MAX($CS40:$DE40))</f>
        <v>0</v>
      </c>
      <c r="D40" s="8" t="str">
        <f aca="false">IF($B40="","",IF($C40=0,"Sample",INDEX(Setup!$B$37:$B$49,$C40-36)))</f>
        <v>Sample</v>
      </c>
      <c r="E40" s="16" t="str">
        <f aca="false">IF($B40="","",IFERROR(IF(INDEX(Raw!$E$2:$E$1001,MATCH($A40,Raw!$A$2:$A$1001,0))=0,"",INDEX(Raw!$E$2:$E$1001,MATCH($A40,Raw!$A$2:$A$1001,0))),""))</f>
        <v/>
      </c>
      <c r="F40" s="18"/>
      <c r="G40" s="16" t="str">
        <f aca="false">IF($B40="","",IF($F40&lt;&gt;"",$F40,IF($E40="","",$E40)))</f>
        <v/>
      </c>
      <c r="H40" s="9" t="n">
        <f aca="false">IF($B40="","",SUMPRODUCT(MAX((Raw!$A$2:$A$1001=$A40)*(Raw!$R$2:$R$1001="N")*Raw!$D$2:$D$1001)))</f>
        <v>3</v>
      </c>
      <c r="I40" s="9" t="str">
        <f aca="false">IF(OR($H40="",$H40=0),"",$A40&amp;"|N|"&amp;$H40)</f>
        <v>35|N|3</v>
      </c>
      <c r="J40" s="9" t="n">
        <f aca="false">IF($B40="","",SUMPRODUCT(MIN((Raw!$A$2:$A$1001=$A40)*(Raw!$R$2:$R$1001="C")*Raw!$D$2:$D$1001+(1-(Raw!$A$2:$A$1001=$A40)*(Raw!$R$2:$R$1001="C"))*9999)))</f>
        <v>4</v>
      </c>
      <c r="K40" s="9" t="str">
        <f aca="false">IF(OR($J40="",$J40=0,$J40=9999),"",$A40&amp;"|C|"&amp;$J40)</f>
        <v>35|C|4</v>
      </c>
      <c r="L40" s="16" t="n">
        <f aca="false">IF($I40="","",IF(INDEX(Raw!$I$2:$I$1001,MATCH($I40,Raw!$S$2:$S$1001,0))&lt;&gt;0,"",INDEX(Raw!$H$2:$H$1001,MATCH($I40,Raw!$S$2:$S$1001,0))))</f>
        <v>23.414</v>
      </c>
      <c r="M40" s="19" t="n">
        <f aca="false">IF($I40="","",IF(INDEX(Raw!$I$2:$I$1001,MATCH($I40,Raw!$S$2:$S$1001,0))&lt;&gt;0,"",INDEX(Raw!$F$2:$F$1001,MATCH($I40,Raw!$S$2:$S$1001,0))))</f>
        <v>1317</v>
      </c>
      <c r="N40" s="20" t="n">
        <f aca="false">IF($I40="","",IF(INDEX(Raw!$I$2:$I$1001,MATCH($I40,Raw!$S$2:$S$1001,0))&lt;&gt;0,"",INDEX(Raw!$G$2:$G$1001,MATCH($I40,Raw!$S$2:$S$1001,0))))</f>
        <v>24.6</v>
      </c>
      <c r="O40" s="16" t="n">
        <f aca="false">IF($I40="","",IF(INDEX(Raw!$I$2:$I$1001,MATCH($I40,Raw!$S$2:$S$1001,0))&lt;&gt;0,"",INDEX(Raw!$N$2:$N$1001,MATCH($I40,Raw!$S$2:$S$1001,0))))</f>
        <v>-6.033</v>
      </c>
      <c r="P40" s="16" t="n">
        <f aca="false">IF($K40="","",IF(INDEX(Raw!$I$2:$I$1001,MATCH($K40,Raw!$S$2:$S$1001,0))&lt;&gt;0,"",INDEX(Raw!$K$2:$K$1001,MATCH($K40,Raw!$S$2:$S$1001,0))))</f>
        <v>109.657</v>
      </c>
      <c r="Q40" s="19" t="n">
        <f aca="false">IF($K40="","",IF(INDEX(Raw!$I$2:$I$1001,MATCH($K40,Raw!$S$2:$S$1001,0))&lt;&gt;0,"",INDEX(Raw!$J$2:$J$1001,MATCH($K40,Raw!$S$2:$S$1001,0))))</f>
        <v>4857</v>
      </c>
      <c r="R40" s="16" t="n">
        <f aca="false">IF($K40="","",IF(INDEX(Raw!$I$2:$I$1001,MATCH($K40,Raw!$S$2:$S$1001,0))&lt;&gt;0,"",INDEX(Raw!$O$2:$O$1001,MATCH($K40,Raw!$S$2:$S$1001,0))))</f>
        <v>-9.637</v>
      </c>
      <c r="S40" s="21" t="str">
        <f aca="false">IF($B40="","",IF($C40=0,"",IF(INDEX(Setup!$D$37:$D$49,$C40-36)="","",INDEX(Setup!$D$37:$D$49,$C40-36))))</f>
        <v/>
      </c>
      <c r="T40" s="21" t="str">
        <f aca="false">IF($B40="","",IF($C40=0,"",IF(INDEX(Setup!$C$37:$C$49,$C40-36)="","",INDEX(Setup!$C$37:$C$49,$C40-36))))</f>
        <v/>
      </c>
      <c r="U40" s="21" t="str">
        <f aca="false">IF($B40="","",IF($C40=0,"",IF(INDEX(Setup!$F$37:$F$49,$C40-36)="","",INDEX(Setup!$F$37:$F$49,$C40-36))))</f>
        <v/>
      </c>
      <c r="V40" s="21" t="str">
        <f aca="false">IF($B40="","",IF($C40=0,"",IF(INDEX(Setup!$E$37:$E$49,$C40-36)="","",INDEX(Setup!$E$37:$E$49,$C40-36))))</f>
        <v/>
      </c>
      <c r="W40" s="16" t="n">
        <f aca="false">IF($O40="","",IF(OR(Fits!$C$5&lt;&gt;"Yes",$D40="Blank",$L40&lt;=Fits!$B$6),$O40,($L40*$O40-Fits!$B$6*Fits!$B$7)/($L40-Fits!$B$6)))</f>
        <v>-6.033</v>
      </c>
      <c r="X40" s="16" t="n">
        <f aca="false">IF($W40="","",$W40-Fits!$B$20*($L40-Fits!$B$16))</f>
        <v>-6.033</v>
      </c>
      <c r="Y40" s="22" t="n">
        <f aca="false">IF($W40="","",IF(OR(Fits!$B$38="Row",$BI40=""),$A40,$BI40))</f>
        <v>35</v>
      </c>
      <c r="Z40" s="16" t="n">
        <f aca="false">IF($X40="","",$X40-Fits!$B$39*($Y40-Fits!$B$40))</f>
        <v>-6.01484080000682</v>
      </c>
      <c r="AA40" s="23" t="n">
        <f aca="false">IF(OR($Z40="",Fits!$B$55&lt;2),"",Fits!$B$56*$Z40+Fits!$B$57)</f>
        <v>-5.1475528864668</v>
      </c>
      <c r="AB40" s="16" t="n">
        <f aca="false">IF($R40="","",IF(OR(Fits!$C$9&lt;&gt;"Yes",$D40="Blank",$P40&lt;=Fits!$B$10),$R40,($P40*$R40-Fits!$B$10*Fits!$B$11)/($P40-Fits!$B$10)))</f>
        <v>-9.637</v>
      </c>
      <c r="AC40" s="16" t="n">
        <f aca="false">IF($AB40="","",$AB40-Fits!$B$28*($P40-Fits!$B$24))</f>
        <v>-9.60597249585337</v>
      </c>
      <c r="AD40" s="22" t="n">
        <f aca="false">IF($AB40="","",IF(OR(Fits!$B$50="Row",$BI40=""),$A40,$BI40))</f>
        <v>35</v>
      </c>
      <c r="AE40" s="16" t="n">
        <f aca="false">IF($AC40="","",$AC40-Fits!$B$51*($AD40-Fits!$B$52))</f>
        <v>-9.6091696246873</v>
      </c>
      <c r="AF40" s="23" t="n">
        <f aca="false">IF(OR($AE40="",Fits!$B$62&lt;2),"",Fits!$B$63*$AE40+Fits!$B$64)</f>
        <v>-26.7373859570577</v>
      </c>
      <c r="AG40" s="21" t="n">
        <f aca="false">IF(OR($L40="",Fits!$B$69&lt;3),"",($L40-Fits!$B$71)/Fits!$B$70)</f>
        <v>35.3989667837911</v>
      </c>
      <c r="AH40" s="21" t="n">
        <f aca="false">IF(OR($P40="",Fits!$B$75&lt;3),"",($P40-Fits!$B$77)/Fits!$B$76)</f>
        <v>245.779559435849</v>
      </c>
      <c r="AI40" s="23" t="str">
        <f aca="false">IF(OR($AG40="",$G40="",$G40=0),"",$AG40/($G40*1000)*100)</f>
        <v/>
      </c>
      <c r="AJ40" s="23" t="str">
        <f aca="false">IF(OR($AH40="",$G40="",$G40=0),"",$AH40/($G40*1000)*100)</f>
        <v/>
      </c>
      <c r="AK40" s="23" t="n">
        <f aca="false">IF(OR($AG40="",$AH40="",$AG40&lt;=0),"",($AH40/Setup!$B$52)/($AG40/Setup!$B$53))</f>
        <v>8.096944024871</v>
      </c>
      <c r="AL40" s="23" t="n">
        <f aca="false">IF(OR($AG40="",$AH40="",$AG40&lt;=0),"",$AH40/$AG40)</f>
        <v>6.9431280561666</v>
      </c>
      <c r="AM40" s="9" t="str">
        <f aca="false">IF($D40="Linearity",IF($L40="","",$L40),"")</f>
        <v/>
      </c>
      <c r="AN40" s="9" t="str">
        <f aca="false">IF($D40="Linearity",IF($W40="","",$W40),"")</f>
        <v/>
      </c>
      <c r="AO40" s="9" t="str">
        <f aca="false">IF($D40="Linearity",IF($P40="","",$P40),"")</f>
        <v/>
      </c>
      <c r="AP40" s="9" t="str">
        <f aca="false">IF($D40="Linearity",IF($AB40="","",$AB40),"")</f>
        <v/>
      </c>
      <c r="AQ40" s="9" t="str">
        <f aca="false">IF($D40="Drift",IF($A40&lt;IF(Setup!$B$14="",0,Setup!$B$14),"",$A40),"")</f>
        <v/>
      </c>
      <c r="AR40" s="9" t="str">
        <f aca="false">IF($D40="Drift",IF($A40&lt;IF(Setup!$B$14="",0,Setup!$B$14),"",IF($BI40="","",$BI40)),"")</f>
        <v/>
      </c>
      <c r="AS40" s="9" t="str">
        <f aca="false">IF($D40="Drift",IF($A40&lt;IF(Setup!$B$14="",0,Setup!$B$14),"",IF(OR($X40="",$BX40=1),"",$X40)),"")</f>
        <v/>
      </c>
      <c r="AT40" s="9" t="str">
        <f aca="false">IF($D40="Drift",IF($A40&lt;IF(Setup!$B$14="",0,Setup!$B$14),"",IF(OR($AC40="",$BY40=1),"",$AC40)),"")</f>
        <v/>
      </c>
      <c r="AU40" s="9" t="str">
        <f aca="false">IF($D40="Anchor",IF(OR($Z40="",$S40=""),"",$Z40),"")</f>
        <v/>
      </c>
      <c r="AV40" s="9" t="str">
        <f aca="false">IF($D40="Anchor",IF(OR($Z40="",$S40=""),"",$S40),"")</f>
        <v/>
      </c>
      <c r="AW40" s="9" t="str">
        <f aca="false">IF($D40="Anchor",IF(OR($AE40="",$T40=""),"",$AE40),"")</f>
        <v/>
      </c>
      <c r="AX40" s="9" t="str">
        <f aca="false">IF($D40="Anchor",IF(OR($AE40="",$T40=""),"",$T40),"")</f>
        <v/>
      </c>
      <c r="AY40" s="9" t="str">
        <f aca="false">IF(OR($D40="Blank",$D40="Exclude",$D40="Sample",$D40="",$G40="",$U40="",$L40=""),"",$G40*1000*$U40/100)</f>
        <v/>
      </c>
      <c r="AZ40" s="9" t="str">
        <f aca="false">IF($AY40="","",$L40)</f>
        <v/>
      </c>
      <c r="BA40" s="9" t="str">
        <f aca="false">IF(OR($D40="Blank",$D40="Exclude",$D40="Sample",$D40="",$G40="",$V40="",$P40=""),"",$G40*1000*$V40/100)</f>
        <v/>
      </c>
      <c r="BB40" s="9" t="str">
        <f aca="false">IF($BA40="","",$P40)</f>
        <v/>
      </c>
      <c r="BC40" s="9" t="str">
        <f aca="false">IF(AND($D40="Blank",$L40&lt;&gt;""),$O40,"")</f>
        <v/>
      </c>
      <c r="BD40" s="9" t="str">
        <f aca="false">IF($BC40="","",$L40)</f>
        <v/>
      </c>
      <c r="BE40" s="9" t="str">
        <f aca="false">IF(AND($D40="Blank",$P40&lt;&gt;""),$R40,"")</f>
        <v/>
      </c>
      <c r="BF40" s="9" t="str">
        <f aca="false">IF($BE40="","",$P40)</f>
        <v/>
      </c>
      <c r="BG40" s="9" t="str">
        <f aca="false">IF(AND($D40="Drift",$BX40&lt;&gt;1),IF($AA40="","",$AA40),"")</f>
        <v/>
      </c>
      <c r="BH40" s="9" t="str">
        <f aca="false">IF(AND($D40="Drift",$BY40&lt;&gt;1),IF($AF40="","",$AF40),"")</f>
        <v/>
      </c>
      <c r="BI40" s="20" t="n">
        <f aca="false">IF($B40="","",IFERROR(INDEX(Raw!$G$2:$G$1001,MATCH($A40&amp;"|N|"&amp;SUMPRODUCT(MAX((Raw!$A$2:$A$1001=$A40)*(Raw!$R$2:$R$1001="N")*(Raw!$I$2:$I$1001=1)*Raw!$D$2:$D$1001)),Raw!$S$2:$S$1001,0)),""))</f>
        <v>23.7</v>
      </c>
      <c r="BJ40" s="21" t="n">
        <f aca="false">IF(OR($BI40="",Fits!$B$85&lt;=0),"",($BI40-Fits!$B$83)/Fits!$B$85)</f>
        <v>0.0540540540540539</v>
      </c>
      <c r="BK40" s="9" t="str">
        <f aca="false">IF($AS40="","",IF($A40&gt;=Fits!$B$86,"",$A40))</f>
        <v/>
      </c>
      <c r="BL40" s="9" t="str">
        <f aca="false">IF($BK40="","",$X40)</f>
        <v/>
      </c>
      <c r="BM40" s="9" t="str">
        <f aca="false">IF($AS40="","",IF($A40&lt;Fits!$B$86,"",$A40))</f>
        <v/>
      </c>
      <c r="BN40" s="9" t="str">
        <f aca="false">IF($BM40="","",$X40)</f>
        <v/>
      </c>
      <c r="BO40" s="9" t="str">
        <f aca="false">IF(AND($D40="Drift",$BX40&lt;&gt;1),IF($O40="","",$O40),"")</f>
        <v/>
      </c>
      <c r="BP40" s="9" t="str">
        <f aca="false">IF(AND($D40="Drift",$BX40&lt;&gt;1),IF($W40="","",$W40),"")</f>
        <v/>
      </c>
      <c r="BQ40" s="9" t="str">
        <f aca="false">IF(AND($D40="Drift",$BX40&lt;&gt;1),IF($X40="","",$X40),"")</f>
        <v/>
      </c>
      <c r="BR40" s="9" t="str">
        <f aca="false">IF(AND($D40="Drift",$BX40&lt;&gt;1),IF($Z40="","",$Z40),"")</f>
        <v/>
      </c>
      <c r="BS40" s="9" t="n">
        <f aca="false">IF(OR($B40="",$H40=""),"",SUMPRODUCT(MIN((Raw!$A$2:$A$1001=$A40)*(Raw!$R$2:$R$1001="N")*(Raw!$I$2:$I$1001=0)*(Raw!$D$2:$D$1001&lt;$H40)*Raw!$D$2:$D$1001+(1-(Raw!$A$2:$A$1001=$A40)*(Raw!$R$2:$R$1001="N")*(Raw!$I$2:$I$1001=0)*(Raw!$D$2:$D$1001&lt;$H40))*9999)))</f>
        <v>1</v>
      </c>
      <c r="BT40" s="16" t="n">
        <f aca="false">IF(OR($BS40="",$BS40=9999,$BS40=0),"",IFERROR(INDEX(Raw!$N$2:$N$1001,MATCH($A40&amp;"|N|"&amp;$BS40,Raw!$S$2:$S$1001,0)),""))</f>
        <v>-1.269</v>
      </c>
      <c r="BU40" s="9" t="n">
        <f aca="false">IF($B40="","",SUMPRODUCT(MIN((Raw!$A$2:$A$1001=$A40)*(Raw!$R$2:$R$1001="C")*(Raw!$I$2:$I$1001=1)*Raw!$D$2:$D$1001+(1-(Raw!$A$2:$A$1001=$A40)*(Raw!$R$2:$R$1001="C")*(Raw!$I$2:$I$1001=1))*9999)))</f>
        <v>5</v>
      </c>
      <c r="BV40" s="9" t="n">
        <f aca="false">IF(OR($BU40="",$BU40=9999),"",SUMPRODUCT(MIN((Raw!$A$2:$A$1001=$A40)*(Raw!$R$2:$R$1001="C")*(Raw!$I$2:$I$1001=0)*(Raw!$D$2:$D$1001&gt;$BU40)*Raw!$D$2:$D$1001+(1-(Raw!$A$2:$A$1001=$A40)*(Raw!$R$2:$R$1001="C")*(Raw!$I$2:$I$1001=0)*(Raw!$D$2:$D$1001&gt;$BU40))*9999)))</f>
        <v>6</v>
      </c>
      <c r="BW40" s="16" t="n">
        <f aca="false">IF(OR($BV40="",$BV40=9999,$BV40=0),"",IFERROR(INDEX(Raw!$O$2:$O$1001,MATCH($A40&amp;"|C|"&amp;$BV40,Raw!$S$2:$S$1001,0)),""))</f>
        <v>-25.345</v>
      </c>
      <c r="BX40" s="9" t="n">
        <f aca="false">IF($B40="","",IF(ISNUMBER(SEARCH(","&amp;$A40&amp;",",","&amp;SUBSTITUTE(Setup!$B$16," ","")&amp;",")),1,0))</f>
        <v>0</v>
      </c>
      <c r="BY40" s="9" t="n">
        <f aca="false">IF($B40="","",IF(ISNUMBER(SEARCH(","&amp;$A40&amp;",",","&amp;SUBSTITUTE(Setup!$B$17," ","")&amp;",")),1,0))</f>
        <v>0</v>
      </c>
      <c r="BZ40" s="22" t="str">
        <f aca="false">IF($AS40="","",IF(Fits!$B$38="Row",$AQ40,IF($AR40="","",$AR40)))</f>
        <v/>
      </c>
      <c r="CA40" s="22" t="str">
        <f aca="false">IF($AT40="","",IF(Fits!$B$50="Row",$AQ40,IF($AR40="","",$AR40)))</f>
        <v/>
      </c>
      <c r="CB40" s="20" t="str">
        <f aca="false">IF(OR($D40&lt;&gt;"Drift",$X40="",$A40&lt;IF(Setup!$B$14="",0,Setup!$B$14),Fits!$B$107&lt;3,Fits!$B$110="",Fits!$B$109=0,IF(Fits!$B$38="Row",$AQ40,$AR40)=""),"",IF($BX40=1,IF(OR(Fits!$B$111="",Fits!$B$111=0),"",($X40-(IF(Fits!$B$38="Row",Fits!$B$32,Fits!$B$35)*IF(Fits!$B$38="Row",$AQ40,$AR40)+Fits!$B$110))/(Fits!$B$111*SQRT(1+(1/Fits!$B$107+(IF(Fits!$B$38="Row",$AQ40,$AR40)-Fits!$B$108)^2/Fits!$B$109)))),IF(OR(Fits!$B$107&lt;4,(1/Fits!$B$107+(IF(Fits!$B$38="Row",$AQ40,$AR40)-Fits!$B$108)^2/Fits!$B$109)&gt;=1),"",IF((Fits!$B$116-($X40-(IF(Fits!$B$38="Row",Fits!$B$32,Fits!$B$35)*IF(Fits!$B$38="Row",$AQ40,$AR40)+Fits!$B$110))^2/(1-(1/Fits!$B$107+(IF(Fits!$B$38="Row",$AQ40,$AR40)-Fits!$B$108)^2/Fits!$B$109)))&lt;=0,"",($X40-(IF(Fits!$B$38="Row",Fits!$B$32,Fits!$B$35)*IF(Fits!$B$38="Row",$AQ40,$AR40)+Fits!$B$110))/(SQRT((Fits!$B$116-($X40-(IF(Fits!$B$38="Row",Fits!$B$32,Fits!$B$35)*IF(Fits!$B$38="Row",$AQ40,$AR40)+Fits!$B$110))^2/(1-(1/Fits!$B$107+(IF(Fits!$B$38="Row",$AQ40,$AR40)-Fits!$B$108)^2/Fits!$B$109)))/(Fits!$B$107-3))*SQRT(1-(1/Fits!$B$107+(IF(Fits!$B$38="Row",$AQ40,$AR40)-Fits!$B$108)^2/Fits!$B$109)))))))</f>
        <v/>
      </c>
      <c r="CC40" s="20" t="str">
        <f aca="false">IF(OR($D40&lt;&gt;"Drift",$AC40="",$A40&lt;IF(Setup!$B$14="",0,Setup!$B$14),Fits!$B$120&lt;3,Fits!$B$123="",Fits!$B$122=0,IF(Fits!$B$50="Row",$AQ40,$AR40)=""),"",IF($BY40=1,IF(OR(Fits!$B$124="",Fits!$B$124=0),"",($AC40-(IF(Fits!$B$50="Row",Fits!$B$44,Fits!$B$47)*IF(Fits!$B$50="Row",$AQ40,$AR40)+Fits!$B$123))/(Fits!$B$124*SQRT(1+(1/Fits!$B$120+(IF(Fits!$B$50="Row",$AQ40,$AR40)-Fits!$B$121)^2/Fits!$B$122)))),IF(OR(Fits!$B$120&lt;4,(1/Fits!$B$120+(IF(Fits!$B$50="Row",$AQ40,$AR40)-Fits!$B$121)^2/Fits!$B$122)&gt;=1),"",IF((Fits!$B$129-($AC40-(IF(Fits!$B$50="Row",Fits!$B$44,Fits!$B$47)*IF(Fits!$B$50="Row",$AQ40,$AR40)+Fits!$B$123))^2/(1-(1/Fits!$B$120+(IF(Fits!$B$50="Row",$AQ40,$AR40)-Fits!$B$121)^2/Fits!$B$122)))&lt;=0,"",($AC40-(IF(Fits!$B$50="Row",Fits!$B$44,Fits!$B$47)*IF(Fits!$B$50="Row",$AQ40,$AR40)+Fits!$B$123))/(SQRT((Fits!$B$129-($AC40-(IF(Fits!$B$50="Row",Fits!$B$44,Fits!$B$47)*IF(Fits!$B$50="Row",$AQ40,$AR40)+Fits!$B$123))^2/(1-(1/Fits!$B$120+(IF(Fits!$B$50="Row",$AQ40,$AR40)-Fits!$B$121)^2/Fits!$B$122)))/(Fits!$B$120-3))*SQRT(1-(1/Fits!$B$120+(IF(Fits!$B$50="Row",$AQ40,$AR40)-Fits!$B$121)^2/Fits!$B$122)))))))</f>
        <v/>
      </c>
      <c r="CD40" s="9" t="str">
        <f aca="false">IF($AU40="","",1)</f>
        <v/>
      </c>
      <c r="CE40" s="24" t="str">
        <f aca="false">IF($AU40="","",$AU40-Fits!$B$133)</f>
        <v/>
      </c>
      <c r="CF40" s="24" t="str">
        <f aca="false">IF($AU40="","",($AV40-(Fits!$B$56*$AU40+Fits!$B$57))-Fits!$B$56*($AU40-Fits!$B$133))</f>
        <v/>
      </c>
      <c r="CG40" s="25" t="str">
        <f aca="false">IF($AU40="","",$AU40^2)</f>
        <v/>
      </c>
      <c r="CH40" s="9" t="str">
        <f aca="false">IF($AW40="","",1)</f>
        <v/>
      </c>
      <c r="CI40" s="24" t="str">
        <f aca="false">IF($AW40="","",$AW40-Fits!$B$153)</f>
        <v/>
      </c>
      <c r="CJ40" s="24" t="str">
        <f aca="false">IF($AW40="","",($AX40-(Fits!$B$63*$AW40+Fits!$B$64))-Fits!$B$63*($AW40-Fits!$B$153))</f>
        <v/>
      </c>
      <c r="CK40" s="25" t="str">
        <f aca="false">IF($AW40="","",$AW40^2)</f>
        <v/>
      </c>
      <c r="CL40" s="26" t="n">
        <f aca="false">IF(OR($Z40="",Fits!$B$55&lt;3,Fits!$B$133="",Fits!$B$134="",Fits!$B$134=0,Fits!$B$136=""),"",SQRT((Fits!$B$136*Fits!$B$56)^2+SUMPRODUCT((Fits!$J$163:$J$175*(Fits!$B$163:$B$175/Fits!$B$55+Fits!$H$163:$H$175*($Z40-Fits!$B$133)/Fits!$B$134))^2)+SUMPRODUCT((Fits!$G$163:$G$175*(($Z40-Fits!$B$133)*Fits!$I$163:$I$175/Fits!$B$134-Fits!$B$163:$B$175*Fits!$B$56/Fits!$B$55))^2)))</f>
        <v>0.255401868477114</v>
      </c>
      <c r="CM40" s="26" t="n">
        <f aca="false">IF($CL40="","",Setup!$B$32*$CL40)</f>
        <v>0.510803736954228</v>
      </c>
      <c r="CN40" s="26" t="n">
        <f aca="false">IF(OR($AE40="",Fits!$B$62&lt;3,Fits!$B$153="",Fits!$B$154="",Fits!$B$154=0,Fits!$B$156=""),"",SQRT((Fits!$B$156*Fits!$B$63)^2+SUMPRODUCT((Fits!$J$183:$J$195*(Fits!$B$183:$B$195/Fits!$B$62+Fits!$H$183:$H$195*($AE40-Fits!$B$153)/Fits!$B$154))^2)+SUMPRODUCT((Fits!$G$183:$G$195*(($AE40-Fits!$B$153)*Fits!$I$183:$I$195/Fits!$B$154-Fits!$B$183:$B$195*Fits!$B$63/Fits!$B$62))^2)))</f>
        <v>0.0377766026123961</v>
      </c>
      <c r="CO40" s="26" t="n">
        <f aca="false">IF($CN40="","",Setup!$B$32*$CN40)</f>
        <v>0.0755532052247922</v>
      </c>
      <c r="CP40" s="9" t="n">
        <f aca="false">IF(OR(NOT(ISNUMBER($BJ40)),$EK40=1),$CP39,IF($BJ40&lt;=Setup!$B$26,$CP39+1,0))</f>
        <v>5</v>
      </c>
      <c r="CQ40" s="9" t="n">
        <f aca="false">IF($BT40="","",$A40)</f>
        <v>35</v>
      </c>
      <c r="CR40" s="9" t="n">
        <f aca="false">IF($BW40="","",$A40)</f>
        <v>35</v>
      </c>
      <c r="CS40" s="9" t="n">
        <f aca="false">IF($B40="","",IF(Setup!$A$37="",0,IF(ISNUMBER(SEARCH(Setup!$A$37,$B40)),37,0)))</f>
        <v>0</v>
      </c>
      <c r="CT40" s="9" t="n">
        <f aca="false">IF($B40="","",IF(Setup!$A$38="",0,IF(ISNUMBER(SEARCH(Setup!$A$38,$B40)),38,0)))</f>
        <v>0</v>
      </c>
      <c r="CU40" s="9" t="n">
        <f aca="false">IF($B40="","",IF(Setup!$A$39="",0,IF(ISNUMBER(SEARCH(Setup!$A$39,$B40)),39,0)))</f>
        <v>0</v>
      </c>
      <c r="CV40" s="9" t="n">
        <f aca="false">IF($B40="","",IF(Setup!$A$40="",0,IF(ISNUMBER(SEARCH(Setup!$A$40,$B40)),40,0)))</f>
        <v>0</v>
      </c>
      <c r="CW40" s="9" t="n">
        <f aca="false">IF($B40="","",IF(Setup!$A$41="",0,IF(ISNUMBER(SEARCH(Setup!$A$41,$B40)),41,0)))</f>
        <v>0</v>
      </c>
      <c r="CX40" s="9" t="n">
        <f aca="false">IF($B40="","",IF(Setup!$A$42="",0,IF(ISNUMBER(SEARCH(Setup!$A$42,$B40)),42,0)))</f>
        <v>0</v>
      </c>
      <c r="CY40" s="9" t="n">
        <f aca="false">IF($B40="","",IF(Setup!$A$43="",0,IF(ISNUMBER(SEARCH(Setup!$A$43,$B40)),43,0)))</f>
        <v>0</v>
      </c>
      <c r="CZ40" s="9" t="n">
        <f aca="false">IF($B40="","",IF(Setup!$A$44="",0,IF(ISNUMBER(SEARCH(Setup!$A$44,$B40)),44,0)))</f>
        <v>0</v>
      </c>
      <c r="DA40" s="9" t="n">
        <f aca="false">IF($B40="","",IF(Setup!$A$45="",0,IF(ISNUMBER(SEARCH(Setup!$A$45,$B40)),45,0)))</f>
        <v>0</v>
      </c>
      <c r="DB40" s="9" t="n">
        <f aca="false">IF($B40="","",IF(Setup!$A$46="",0,IF(ISNUMBER(SEARCH(Setup!$A$46,$B40)),46,0)))</f>
        <v>0</v>
      </c>
      <c r="DC40" s="9" t="n">
        <f aca="false">IF($B40="","",IF(Setup!$A$47="",0,IF(ISNUMBER(SEARCH(Setup!$A$47,$B40)),47,0)))</f>
        <v>0</v>
      </c>
      <c r="DD40" s="9" t="n">
        <f aca="false">IF($B40="","",IF(Setup!$A$48="",0,IF(ISNUMBER(SEARCH(Setup!$A$48,$B40)),48,0)))</f>
        <v>0</v>
      </c>
      <c r="DE40" s="9" t="n">
        <f aca="false">IF($B40="","",IF(Setup!$A$49="",0,IF(ISNUMBER(SEARCH(Setup!$A$49,$B40)),49,0)))</f>
        <v>0</v>
      </c>
      <c r="DF40" s="9" t="n">
        <f aca="false">IF($B40="",NA(),$A40)</f>
        <v>35</v>
      </c>
      <c r="DG40" s="22" t="n">
        <f aca="false">IF($BI40="",NA(),$BI40)</f>
        <v>23.7</v>
      </c>
      <c r="DH40" s="22" t="n">
        <f aca="false">IF($N40="",NA(),$N40)</f>
        <v>24.6</v>
      </c>
      <c r="DI40" s="9" t="e">
        <f aca="false">IF(AND($D40="Drift",$N40&lt;&gt;""),$N40,NA())</f>
        <v>#N/A</v>
      </c>
      <c r="DJ40" s="9" t="str">
        <f aca="false">IF(AND($D40="Drift",$N40&lt;&gt;""),$N40,"")</f>
        <v/>
      </c>
      <c r="DK40" s="9" t="str">
        <f aca="false">IF($DJ40="","",$A40)</f>
        <v/>
      </c>
      <c r="DL40" s="9" t="e">
        <f aca="false">IF($AN40="",NA(),$AM40)</f>
        <v>#N/A</v>
      </c>
      <c r="DM40" s="9" t="e">
        <f aca="false">IF($AN40="",NA(),$AN40)</f>
        <v>#N/A</v>
      </c>
      <c r="DN40" s="24" t="n">
        <f aca="false">IF(AND($D40="Sample",$L40&lt;&gt;""),$L40,NA())</f>
        <v>23.414</v>
      </c>
      <c r="DO40" s="24" t="n">
        <f aca="false">IF(AND($D40="Sample",$L40&lt;&gt;"",Fits!$B$98&lt;&gt;""),Fits!$B$98,NA())</f>
        <v>-6.0577</v>
      </c>
      <c r="DP40" s="9" t="e">
        <f aca="false">IF($AS40="",NA(),$AS40)</f>
        <v>#N/A</v>
      </c>
      <c r="DQ40" s="9" t="e">
        <f aca="false">IF(AND($D40="Drift",$AS40="",$X40&lt;&gt;""),$X40,NA())</f>
        <v>#N/A</v>
      </c>
      <c r="DR40" s="9" t="e">
        <f aca="false">IF(AND($D40="Drift",$Z40&lt;&gt;""),$Z40,NA())</f>
        <v>#N/A</v>
      </c>
      <c r="DS40" s="25" t="n">
        <f aca="false">IF(AND(OR($D40="Sample",$D40="Check"),$AA40&lt;&gt;""),$AA40,NA())</f>
        <v>-5.1475528864668</v>
      </c>
      <c r="DT40" s="25" t="n">
        <f aca="false">IF(OR($B40="",Fits!$B$138=""),NA(),Fits!$B$138)</f>
        <v>1.76</v>
      </c>
      <c r="DU40" s="25" t="n">
        <f aca="false">IF(OR($B40="",Fits!$B$139=""),NA(),Fits!$B$139)</f>
        <v>20.68</v>
      </c>
      <c r="DV40" s="24" t="n">
        <f aca="false">IF($BT40="",NA(),$BT40)</f>
        <v>-1.269</v>
      </c>
      <c r="DW40" s="9" t="e">
        <f aca="false">IF($AP40="",NA(),$AO40)</f>
        <v>#N/A</v>
      </c>
      <c r="DX40" s="9" t="e">
        <f aca="false">IF($AP40="",NA(),$AP40)</f>
        <v>#N/A</v>
      </c>
      <c r="DY40" s="24" t="n">
        <f aca="false">IF(AND($D40="Sample",$P40&lt;&gt;""),$P40,NA())</f>
        <v>109.657</v>
      </c>
      <c r="DZ40" s="24" t="n">
        <f aca="false">IF(AND($D40="Sample",$P40&lt;&gt;"",Fits!$B$105&lt;&gt;""),Fits!$B$105,NA())</f>
        <v>-9.717</v>
      </c>
      <c r="EA40" s="9" t="e">
        <f aca="false">IF($AT40="",NA(),$AT40)</f>
        <v>#N/A</v>
      </c>
      <c r="EB40" s="9" t="e">
        <f aca="false">IF(AND($D40="Drift",$AT40="",$AC40&lt;&gt;""),$AC40,NA())</f>
        <v>#N/A</v>
      </c>
      <c r="EC40" s="9" t="e">
        <f aca="false">IF(AND($D40="Drift",$AE40&lt;&gt;""),$AE40,NA())</f>
        <v>#N/A</v>
      </c>
      <c r="ED40" s="25" t="n">
        <f aca="false">IF(AND(OR($D40="Sample",$D40="Check"),$AF40&lt;&gt;""),$AF40,NA())</f>
        <v>-26.7373859570577</v>
      </c>
      <c r="EE40" s="25" t="n">
        <f aca="false">IF(OR($B40="",Fits!$B$158=""),NA(),Fits!$B$158)</f>
        <v>-40.81</v>
      </c>
      <c r="EF40" s="25" t="n">
        <f aca="false">IF(OR($B40="",Fits!$B$159=""),NA(),Fits!$B$159)</f>
        <v>-20.29</v>
      </c>
      <c r="EG40" s="24" t="n">
        <f aca="false">IF($BW40="",NA(),$BW40)</f>
        <v>-25.345</v>
      </c>
      <c r="EH40" s="9" t="e">
        <f aca="false">IF(AND($EN40=1,ISNUMBER($N40)),$N40,NA())</f>
        <v>#N/A</v>
      </c>
      <c r="EI40" s="9" t="n">
        <f aca="false">IF($B40="","",$A40)</f>
        <v>35</v>
      </c>
      <c r="EJ40" s="9" t="n">
        <f aca="false">IF(OR(AND(ISNUMBER($L40),Fits!$B$97&gt;0,$L40&gt;Fits!$B$97),AND(ISNUMBER($P40),Fits!$B$104&gt;0,$P40&gt;Fits!$B$104)),1,0)</f>
        <v>0</v>
      </c>
      <c r="EK40" s="9" t="n">
        <f aca="false">IF(OR($EJ39=1,$EJ38=1),1,0)</f>
        <v>1</v>
      </c>
      <c r="EL40" s="22" t="n">
        <f aca="false">IF(AND($EK40=0,ISNUMBER($N40)),$N40,$EL39)</f>
        <v>24.7</v>
      </c>
      <c r="EM40" s="9" t="n">
        <f aca="false">IF(AND($EK40=1,ISNUMBER($N40),ISNUMBER($EL40)),$N40-$EL40,"")</f>
        <v>-0.0999999999999979</v>
      </c>
      <c r="EN40" s="9" t="n">
        <f aca="false">IF(Setup!$B$28="",0,IF(ISNUMBER($EM40),IF($EM40&gt;Setup!$B$28,1,0),0))</f>
        <v>0</v>
      </c>
      <c r="EO40" s="9" t="str">
        <f aca="false">IF($EN40=1,COUNTIF($EN$6:$EN40,1),"")</f>
        <v/>
      </c>
      <c r="EP40" s="9" t="n">
        <f aca="false">IF(AND($EJ39=1,OR($D40="Sample",$D40="Check")),1,0)</f>
        <v>0</v>
      </c>
      <c r="EQ40" s="9" t="str">
        <f aca="false">IF(ISNUMBER($BI40),IF(COUNT($BI$6:$BI40)&lt;=5,$BI40,""),"")</f>
        <v/>
      </c>
      <c r="ER40" s="9" t="n">
        <f aca="false">IF(OR(NOT(ISNUMBER($BJ40)),$EK40=1),$ER39,IF($BJ40&lt;=Setup!$B$26,IF($CP39=0,$A40,$ER39),""))</f>
        <v>27</v>
      </c>
    </row>
    <row r="41" customFormat="false" ht="15" hidden="false" customHeight="false" outlineLevel="0" collapsed="false">
      <c r="A41" s="8" t="n">
        <v>36</v>
      </c>
      <c r="B41" s="8" t="str">
        <f aca="false">IFERROR(INDEX(Raw!$B$2:$B$1001,MATCH($A41,Raw!$A$2:$A$1001,0)),"")</f>
        <v>Random</v>
      </c>
      <c r="C41" s="9" t="n">
        <f aca="false">IF($B41="","",MAX($CS41:$DE41))</f>
        <v>0</v>
      </c>
      <c r="D41" s="8" t="str">
        <f aca="false">IF($B41="","",IF($C41=0,"Sample",INDEX(Setup!$B$37:$B$49,$C41-36)))</f>
        <v>Sample</v>
      </c>
      <c r="E41" s="16" t="str">
        <f aca="false">IF($B41="","",IFERROR(IF(INDEX(Raw!$E$2:$E$1001,MATCH($A41,Raw!$A$2:$A$1001,0))=0,"",INDEX(Raw!$E$2:$E$1001,MATCH($A41,Raw!$A$2:$A$1001,0))),""))</f>
        <v/>
      </c>
      <c r="F41" s="18"/>
      <c r="G41" s="16" t="str">
        <f aca="false">IF($B41="","",IF($F41&lt;&gt;"",$F41,IF($E41="","",$E41)))</f>
        <v/>
      </c>
      <c r="H41" s="9" t="n">
        <f aca="false">IF($B41="","",SUMPRODUCT(MAX((Raw!$A$2:$A$1001=$A41)*(Raw!$R$2:$R$1001="N")*Raw!$D$2:$D$1001)))</f>
        <v>3</v>
      </c>
      <c r="I41" s="9" t="str">
        <f aca="false">IF(OR($H41="",$H41=0),"",$A41&amp;"|N|"&amp;$H41)</f>
        <v>36|N|3</v>
      </c>
      <c r="J41" s="9" t="n">
        <f aca="false">IF($B41="","",SUMPRODUCT(MIN((Raw!$A$2:$A$1001=$A41)*(Raw!$R$2:$R$1001="C")*Raw!$D$2:$D$1001+(1-(Raw!$A$2:$A$1001=$A41)*(Raw!$R$2:$R$1001="C"))*9999)))</f>
        <v>4</v>
      </c>
      <c r="K41" s="9" t="str">
        <f aca="false">IF(OR($J41="",$J41=0,$J41=9999),"",$A41&amp;"|C|"&amp;$J41)</f>
        <v>36|C|4</v>
      </c>
      <c r="L41" s="16" t="n">
        <f aca="false">IF($I41="","",IF(INDEX(Raw!$I$2:$I$1001,MATCH($I41,Raw!$S$2:$S$1001,0))&lt;&gt;0,"",INDEX(Raw!$H$2:$H$1001,MATCH($I41,Raw!$S$2:$S$1001,0))))</f>
        <v>22.876</v>
      </c>
      <c r="M41" s="19" t="n">
        <f aca="false">IF($I41="","",IF(INDEX(Raw!$I$2:$I$1001,MATCH($I41,Raw!$S$2:$S$1001,0))&lt;&gt;0,"",INDEX(Raw!$F$2:$F$1001,MATCH($I41,Raw!$S$2:$S$1001,0))))</f>
        <v>1292</v>
      </c>
      <c r="N41" s="20" t="n">
        <f aca="false">IF($I41="","",IF(INDEX(Raw!$I$2:$I$1001,MATCH($I41,Raw!$S$2:$S$1001,0))&lt;&gt;0,"",INDEX(Raw!$G$2:$G$1001,MATCH($I41,Raw!$S$2:$S$1001,0))))</f>
        <v>24.5</v>
      </c>
      <c r="O41" s="16" t="n">
        <f aca="false">IF($I41="","",IF(INDEX(Raw!$I$2:$I$1001,MATCH($I41,Raw!$S$2:$S$1001,0))&lt;&gt;0,"",INDEX(Raw!$N$2:$N$1001,MATCH($I41,Raw!$S$2:$S$1001,0))))</f>
        <v>-6.116</v>
      </c>
      <c r="P41" s="16" t="n">
        <f aca="false">IF($K41="","",IF(INDEX(Raw!$I$2:$I$1001,MATCH($K41,Raw!$S$2:$S$1001,0))&lt;&gt;0,"",INDEX(Raw!$K$2:$K$1001,MATCH($K41,Raw!$S$2:$S$1001,0))))</f>
        <v>107.199</v>
      </c>
      <c r="Q41" s="19" t="n">
        <f aca="false">IF($K41="","",IF(INDEX(Raw!$I$2:$I$1001,MATCH($K41,Raw!$S$2:$S$1001,0))&lt;&gt;0,"",INDEX(Raw!$J$2:$J$1001,MATCH($K41,Raw!$S$2:$S$1001,0))))</f>
        <v>4715</v>
      </c>
      <c r="R41" s="16" t="n">
        <f aca="false">IF($K41="","",IF(INDEX(Raw!$I$2:$I$1001,MATCH($K41,Raw!$S$2:$S$1001,0))&lt;&gt;0,"",INDEX(Raw!$O$2:$O$1001,MATCH($K41,Raw!$S$2:$S$1001,0))))</f>
        <v>-9.529</v>
      </c>
      <c r="S41" s="21" t="str">
        <f aca="false">IF($B41="","",IF($C41=0,"",IF(INDEX(Setup!$D$37:$D$49,$C41-36)="","",INDEX(Setup!$D$37:$D$49,$C41-36))))</f>
        <v/>
      </c>
      <c r="T41" s="21" t="str">
        <f aca="false">IF($B41="","",IF($C41=0,"",IF(INDEX(Setup!$C$37:$C$49,$C41-36)="","",INDEX(Setup!$C$37:$C$49,$C41-36))))</f>
        <v/>
      </c>
      <c r="U41" s="21" t="str">
        <f aca="false">IF($B41="","",IF($C41=0,"",IF(INDEX(Setup!$F$37:$F$49,$C41-36)="","",INDEX(Setup!$F$37:$F$49,$C41-36))))</f>
        <v/>
      </c>
      <c r="V41" s="21" t="str">
        <f aca="false">IF($B41="","",IF($C41=0,"",IF(INDEX(Setup!$E$37:$E$49,$C41-36)="","",INDEX(Setup!$E$37:$E$49,$C41-36))))</f>
        <v/>
      </c>
      <c r="W41" s="16" t="n">
        <f aca="false">IF($O41="","",IF(OR(Fits!$C$5&lt;&gt;"Yes",$D41="Blank",$L41&lt;=Fits!$B$6),$O41,($L41*$O41-Fits!$B$6*Fits!$B$7)/($L41-Fits!$B$6)))</f>
        <v>-6.116</v>
      </c>
      <c r="X41" s="16" t="n">
        <f aca="false">IF($W41="","",$W41-Fits!$B$20*($L41-Fits!$B$16))</f>
        <v>-6.116</v>
      </c>
      <c r="Y41" s="22" t="n">
        <f aca="false">IF($W41="","",IF(OR(Fits!$B$38="Row",$BI41=""),$A41,$BI41))</f>
        <v>36</v>
      </c>
      <c r="Z41" s="16" t="n">
        <f aca="false">IF($X41="","",$X41-Fits!$B$39*($Y41-Fits!$B$40))</f>
        <v>-6.08308645001236</v>
      </c>
      <c r="AA41" s="23" t="n">
        <f aca="false">IF(OR($Z41="",Fits!$B$55&lt;2),"",Fits!$B$56*$Z41+Fits!$B$57)</f>
        <v>-5.21761371673513</v>
      </c>
      <c r="AB41" s="16" t="n">
        <f aca="false">IF($R41="","",IF(OR(Fits!$C$9&lt;&gt;"Yes",$D41="Blank",$P41&lt;=Fits!$B$10),$R41,($P41*$R41-Fits!$B$10*Fits!$B$11)/($P41-Fits!$B$10)))</f>
        <v>-9.529</v>
      </c>
      <c r="AC41" s="16" t="n">
        <f aca="false">IF($AB41="","",$AB41-Fits!$B$28*($P41-Fits!$B$24))</f>
        <v>-9.49371339411979</v>
      </c>
      <c r="AD41" s="22" t="n">
        <f aca="false">IF($AB41="","",IF(OR(Fits!$B$50="Row",$BI41=""),$A41,$BI41))</f>
        <v>36</v>
      </c>
      <c r="AE41" s="16" t="n">
        <f aca="false">IF($AC41="","",$AC41-Fits!$B$51*($AD41-Fits!$B$52))</f>
        <v>-9.49950819013129</v>
      </c>
      <c r="AF41" s="23" t="n">
        <f aca="false">IF(OR($AE41="",Fits!$B$62&lt;2),"",Fits!$B$63*$AE41+Fits!$B$64)</f>
        <v>-26.6261727484253</v>
      </c>
      <c r="AG41" s="21" t="n">
        <f aca="false">IF(OR($L41="",Fits!$B$69&lt;3),"",($L41-Fits!$B$71)/Fits!$B$70)</f>
        <v>34.5102400760303</v>
      </c>
      <c r="AH41" s="21" t="n">
        <f aca="false">IF(OR($P41="",Fits!$B$75&lt;3),"",($P41-Fits!$B$77)/Fits!$B$76)</f>
        <v>240.181086557232</v>
      </c>
      <c r="AI41" s="23" t="str">
        <f aca="false">IF(OR($AG41="",$G41="",$G41=0),"",$AG41/($G41*1000)*100)</f>
        <v/>
      </c>
      <c r="AJ41" s="23" t="str">
        <f aca="false">IF(OR($AH41="",$G41="",$G41=0),"",$AH41/($G41*1000)*100)</f>
        <v/>
      </c>
      <c r="AK41" s="23" t="n">
        <f aca="false">IF(OR($AG41="",$AH41="",$AG41&lt;=0),"",($AH41/Setup!$B$52)/($AG41/Setup!$B$53))</f>
        <v>8.11627561168185</v>
      </c>
      <c r="AL41" s="23" t="n">
        <f aca="false">IF(OR($AG41="",$AH41="",$AG41&lt;=0),"",$AH41/$AG41)</f>
        <v>6.95970488840656</v>
      </c>
      <c r="AM41" s="9" t="str">
        <f aca="false">IF($D41="Linearity",IF($L41="","",$L41),"")</f>
        <v/>
      </c>
      <c r="AN41" s="9" t="str">
        <f aca="false">IF($D41="Linearity",IF($W41="","",$W41),"")</f>
        <v/>
      </c>
      <c r="AO41" s="9" t="str">
        <f aca="false">IF($D41="Linearity",IF($P41="","",$P41),"")</f>
        <v/>
      </c>
      <c r="AP41" s="9" t="str">
        <f aca="false">IF($D41="Linearity",IF($AB41="","",$AB41),"")</f>
        <v/>
      </c>
      <c r="AQ41" s="9" t="str">
        <f aca="false">IF($D41="Drift",IF($A41&lt;IF(Setup!$B$14="",0,Setup!$B$14),"",$A41),"")</f>
        <v/>
      </c>
      <c r="AR41" s="9" t="str">
        <f aca="false">IF($D41="Drift",IF($A41&lt;IF(Setup!$B$14="",0,Setup!$B$14),"",IF($BI41="","",$BI41)),"")</f>
        <v/>
      </c>
      <c r="AS41" s="9" t="str">
        <f aca="false">IF($D41="Drift",IF($A41&lt;IF(Setup!$B$14="",0,Setup!$B$14),"",IF(OR($X41="",$BX41=1),"",$X41)),"")</f>
        <v/>
      </c>
      <c r="AT41" s="9" t="str">
        <f aca="false">IF($D41="Drift",IF($A41&lt;IF(Setup!$B$14="",0,Setup!$B$14),"",IF(OR($AC41="",$BY41=1),"",$AC41)),"")</f>
        <v/>
      </c>
      <c r="AU41" s="9" t="str">
        <f aca="false">IF($D41="Anchor",IF(OR($Z41="",$S41=""),"",$Z41),"")</f>
        <v/>
      </c>
      <c r="AV41" s="9" t="str">
        <f aca="false">IF($D41="Anchor",IF(OR($Z41="",$S41=""),"",$S41),"")</f>
        <v/>
      </c>
      <c r="AW41" s="9" t="str">
        <f aca="false">IF($D41="Anchor",IF(OR($AE41="",$T41=""),"",$AE41),"")</f>
        <v/>
      </c>
      <c r="AX41" s="9" t="str">
        <f aca="false">IF($D41="Anchor",IF(OR($AE41="",$T41=""),"",$T41),"")</f>
        <v/>
      </c>
      <c r="AY41" s="9" t="str">
        <f aca="false">IF(OR($D41="Blank",$D41="Exclude",$D41="Sample",$D41="",$G41="",$U41="",$L41=""),"",$G41*1000*$U41/100)</f>
        <v/>
      </c>
      <c r="AZ41" s="9" t="str">
        <f aca="false">IF($AY41="","",$L41)</f>
        <v/>
      </c>
      <c r="BA41" s="9" t="str">
        <f aca="false">IF(OR($D41="Blank",$D41="Exclude",$D41="Sample",$D41="",$G41="",$V41="",$P41=""),"",$G41*1000*$V41/100)</f>
        <v/>
      </c>
      <c r="BB41" s="9" t="str">
        <f aca="false">IF($BA41="","",$P41)</f>
        <v/>
      </c>
      <c r="BC41" s="9" t="str">
        <f aca="false">IF(AND($D41="Blank",$L41&lt;&gt;""),$O41,"")</f>
        <v/>
      </c>
      <c r="BD41" s="9" t="str">
        <f aca="false">IF($BC41="","",$L41)</f>
        <v/>
      </c>
      <c r="BE41" s="9" t="str">
        <f aca="false">IF(AND($D41="Blank",$P41&lt;&gt;""),$R41,"")</f>
        <v/>
      </c>
      <c r="BF41" s="9" t="str">
        <f aca="false">IF($BE41="","",$P41)</f>
        <v/>
      </c>
      <c r="BG41" s="9" t="str">
        <f aca="false">IF(AND($D41="Drift",$BX41&lt;&gt;1),IF($AA41="","",$AA41),"")</f>
        <v/>
      </c>
      <c r="BH41" s="9" t="str">
        <f aca="false">IF(AND($D41="Drift",$BY41&lt;&gt;1),IF($AF41="","",$AF41),"")</f>
        <v/>
      </c>
      <c r="BI41" s="20" t="n">
        <f aca="false">IF($B41="","",IFERROR(INDEX(Raw!$G$2:$G$1001,MATCH($A41&amp;"|N|"&amp;SUMPRODUCT(MAX((Raw!$A$2:$A$1001=$A41)*(Raw!$R$2:$R$1001="N")*(Raw!$I$2:$I$1001=1)*Raw!$D$2:$D$1001)),Raw!$S$2:$S$1001,0)),""))</f>
        <v>23.6</v>
      </c>
      <c r="BJ41" s="21" t="n">
        <f aca="false">IF(OR($BI41="",Fits!$B$85&lt;=0),"",($BI41-Fits!$B$83)/Fits!$B$85)</f>
        <v>0.045045045045045</v>
      </c>
      <c r="BK41" s="9" t="str">
        <f aca="false">IF($AS41="","",IF($A41&gt;=Fits!$B$86,"",$A41))</f>
        <v/>
      </c>
      <c r="BL41" s="9" t="str">
        <f aca="false">IF($BK41="","",$X41)</f>
        <v/>
      </c>
      <c r="BM41" s="9" t="str">
        <f aca="false">IF($AS41="","",IF($A41&lt;Fits!$B$86,"",$A41))</f>
        <v/>
      </c>
      <c r="BN41" s="9" t="str">
        <f aca="false">IF($BM41="","",$X41)</f>
        <v/>
      </c>
      <c r="BO41" s="9" t="str">
        <f aca="false">IF(AND($D41="Drift",$BX41&lt;&gt;1),IF($O41="","",$O41),"")</f>
        <v/>
      </c>
      <c r="BP41" s="9" t="str">
        <f aca="false">IF(AND($D41="Drift",$BX41&lt;&gt;1),IF($W41="","",$W41),"")</f>
        <v/>
      </c>
      <c r="BQ41" s="9" t="str">
        <f aca="false">IF(AND($D41="Drift",$BX41&lt;&gt;1),IF($X41="","",$X41),"")</f>
        <v/>
      </c>
      <c r="BR41" s="9" t="str">
        <f aca="false">IF(AND($D41="Drift",$BX41&lt;&gt;1),IF($Z41="","",$Z41),"")</f>
        <v/>
      </c>
      <c r="BS41" s="9" t="n">
        <f aca="false">IF(OR($B41="",$H41=""),"",SUMPRODUCT(MIN((Raw!$A$2:$A$1001=$A41)*(Raw!$R$2:$R$1001="N")*(Raw!$I$2:$I$1001=0)*(Raw!$D$2:$D$1001&lt;$H41)*Raw!$D$2:$D$1001+(1-(Raw!$A$2:$A$1001=$A41)*(Raw!$R$2:$R$1001="N")*(Raw!$I$2:$I$1001=0)*(Raw!$D$2:$D$1001&lt;$H41))*9999)))</f>
        <v>1</v>
      </c>
      <c r="BT41" s="16" t="n">
        <f aca="false">IF(OR($BS41="",$BS41=9999,$BS41=0),"",IFERROR(INDEX(Raw!$N$2:$N$1001,MATCH($A41&amp;"|N|"&amp;$BS41,Raw!$S$2:$S$1001,0)),""))</f>
        <v>-1.155</v>
      </c>
      <c r="BU41" s="9" t="n">
        <f aca="false">IF($B41="","",SUMPRODUCT(MIN((Raw!$A$2:$A$1001=$A41)*(Raw!$R$2:$R$1001="C")*(Raw!$I$2:$I$1001=1)*Raw!$D$2:$D$1001+(1-(Raw!$A$2:$A$1001=$A41)*(Raw!$R$2:$R$1001="C")*(Raw!$I$2:$I$1001=1))*9999)))</f>
        <v>5</v>
      </c>
      <c r="BV41" s="9" t="n">
        <f aca="false">IF(OR($BU41="",$BU41=9999),"",SUMPRODUCT(MIN((Raw!$A$2:$A$1001=$A41)*(Raw!$R$2:$R$1001="C")*(Raw!$I$2:$I$1001=0)*(Raw!$D$2:$D$1001&gt;$BU41)*Raw!$D$2:$D$1001+(1-(Raw!$A$2:$A$1001=$A41)*(Raw!$R$2:$R$1001="C")*(Raw!$I$2:$I$1001=0)*(Raw!$D$2:$D$1001&gt;$BU41))*9999)))</f>
        <v>6</v>
      </c>
      <c r="BW41" s="16" t="n">
        <f aca="false">IF(OR($BV41="",$BV41=9999,$BV41=0),"",IFERROR(INDEX(Raw!$O$2:$O$1001,MATCH($A41&amp;"|C|"&amp;$BV41,Raw!$S$2:$S$1001,0)),""))</f>
        <v>-25.39</v>
      </c>
      <c r="BX41" s="9" t="n">
        <f aca="false">IF($B41="","",IF(ISNUMBER(SEARCH(","&amp;$A41&amp;",",","&amp;SUBSTITUTE(Setup!$B$16," ","")&amp;",")),1,0))</f>
        <v>0</v>
      </c>
      <c r="BY41" s="9" t="n">
        <f aca="false">IF($B41="","",IF(ISNUMBER(SEARCH(","&amp;$A41&amp;",",","&amp;SUBSTITUTE(Setup!$B$17," ","")&amp;",")),1,0))</f>
        <v>0</v>
      </c>
      <c r="BZ41" s="22" t="str">
        <f aca="false">IF($AS41="","",IF(Fits!$B$38="Row",$AQ41,IF($AR41="","",$AR41)))</f>
        <v/>
      </c>
      <c r="CA41" s="22" t="str">
        <f aca="false">IF($AT41="","",IF(Fits!$B$50="Row",$AQ41,IF($AR41="","",$AR41)))</f>
        <v/>
      </c>
      <c r="CB41" s="20" t="str">
        <f aca="false">IF(OR($D41&lt;&gt;"Drift",$X41="",$A41&lt;IF(Setup!$B$14="",0,Setup!$B$14),Fits!$B$107&lt;3,Fits!$B$110="",Fits!$B$109=0,IF(Fits!$B$38="Row",$AQ41,$AR41)=""),"",IF($BX41=1,IF(OR(Fits!$B$111="",Fits!$B$111=0),"",($X41-(IF(Fits!$B$38="Row",Fits!$B$32,Fits!$B$35)*IF(Fits!$B$38="Row",$AQ41,$AR41)+Fits!$B$110))/(Fits!$B$111*SQRT(1+(1/Fits!$B$107+(IF(Fits!$B$38="Row",$AQ41,$AR41)-Fits!$B$108)^2/Fits!$B$109)))),IF(OR(Fits!$B$107&lt;4,(1/Fits!$B$107+(IF(Fits!$B$38="Row",$AQ41,$AR41)-Fits!$B$108)^2/Fits!$B$109)&gt;=1),"",IF((Fits!$B$116-($X41-(IF(Fits!$B$38="Row",Fits!$B$32,Fits!$B$35)*IF(Fits!$B$38="Row",$AQ41,$AR41)+Fits!$B$110))^2/(1-(1/Fits!$B$107+(IF(Fits!$B$38="Row",$AQ41,$AR41)-Fits!$B$108)^2/Fits!$B$109)))&lt;=0,"",($X41-(IF(Fits!$B$38="Row",Fits!$B$32,Fits!$B$35)*IF(Fits!$B$38="Row",$AQ41,$AR41)+Fits!$B$110))/(SQRT((Fits!$B$116-($X41-(IF(Fits!$B$38="Row",Fits!$B$32,Fits!$B$35)*IF(Fits!$B$38="Row",$AQ41,$AR41)+Fits!$B$110))^2/(1-(1/Fits!$B$107+(IF(Fits!$B$38="Row",$AQ41,$AR41)-Fits!$B$108)^2/Fits!$B$109)))/(Fits!$B$107-3))*SQRT(1-(1/Fits!$B$107+(IF(Fits!$B$38="Row",$AQ41,$AR41)-Fits!$B$108)^2/Fits!$B$109)))))))</f>
        <v/>
      </c>
      <c r="CC41" s="20" t="str">
        <f aca="false">IF(OR($D41&lt;&gt;"Drift",$AC41="",$A41&lt;IF(Setup!$B$14="",0,Setup!$B$14),Fits!$B$120&lt;3,Fits!$B$123="",Fits!$B$122=0,IF(Fits!$B$50="Row",$AQ41,$AR41)=""),"",IF($BY41=1,IF(OR(Fits!$B$124="",Fits!$B$124=0),"",($AC41-(IF(Fits!$B$50="Row",Fits!$B$44,Fits!$B$47)*IF(Fits!$B$50="Row",$AQ41,$AR41)+Fits!$B$123))/(Fits!$B$124*SQRT(1+(1/Fits!$B$120+(IF(Fits!$B$50="Row",$AQ41,$AR41)-Fits!$B$121)^2/Fits!$B$122)))),IF(OR(Fits!$B$120&lt;4,(1/Fits!$B$120+(IF(Fits!$B$50="Row",$AQ41,$AR41)-Fits!$B$121)^2/Fits!$B$122)&gt;=1),"",IF((Fits!$B$129-($AC41-(IF(Fits!$B$50="Row",Fits!$B$44,Fits!$B$47)*IF(Fits!$B$50="Row",$AQ41,$AR41)+Fits!$B$123))^2/(1-(1/Fits!$B$120+(IF(Fits!$B$50="Row",$AQ41,$AR41)-Fits!$B$121)^2/Fits!$B$122)))&lt;=0,"",($AC41-(IF(Fits!$B$50="Row",Fits!$B$44,Fits!$B$47)*IF(Fits!$B$50="Row",$AQ41,$AR41)+Fits!$B$123))/(SQRT((Fits!$B$129-($AC41-(IF(Fits!$B$50="Row",Fits!$B$44,Fits!$B$47)*IF(Fits!$B$50="Row",$AQ41,$AR41)+Fits!$B$123))^2/(1-(1/Fits!$B$120+(IF(Fits!$B$50="Row",$AQ41,$AR41)-Fits!$B$121)^2/Fits!$B$122)))/(Fits!$B$120-3))*SQRT(1-(1/Fits!$B$120+(IF(Fits!$B$50="Row",$AQ41,$AR41)-Fits!$B$121)^2/Fits!$B$122)))))))</f>
        <v/>
      </c>
      <c r="CD41" s="9" t="str">
        <f aca="false">IF($AU41="","",1)</f>
        <v/>
      </c>
      <c r="CE41" s="24" t="str">
        <f aca="false">IF($AU41="","",$AU41-Fits!$B$133)</f>
        <v/>
      </c>
      <c r="CF41" s="24" t="str">
        <f aca="false">IF($AU41="","",($AV41-(Fits!$B$56*$AU41+Fits!$B$57))-Fits!$B$56*($AU41-Fits!$B$133))</f>
        <v/>
      </c>
      <c r="CG41" s="25" t="str">
        <f aca="false">IF($AU41="","",$AU41^2)</f>
        <v/>
      </c>
      <c r="CH41" s="9" t="str">
        <f aca="false">IF($AW41="","",1)</f>
        <v/>
      </c>
      <c r="CI41" s="24" t="str">
        <f aca="false">IF($AW41="","",$AW41-Fits!$B$153)</f>
        <v/>
      </c>
      <c r="CJ41" s="24" t="str">
        <f aca="false">IF($AW41="","",($AX41-(Fits!$B$63*$AW41+Fits!$B$64))-Fits!$B$63*($AW41-Fits!$B$153))</f>
        <v/>
      </c>
      <c r="CK41" s="25" t="str">
        <f aca="false">IF($AW41="","",$AW41^2)</f>
        <v/>
      </c>
      <c r="CL41" s="26" t="n">
        <f aca="false">IF(OR($Z41="",Fits!$B$55&lt;3,Fits!$B$133="",Fits!$B$134="",Fits!$B$134=0,Fits!$B$136=""),"",SQRT((Fits!$B$136*Fits!$B$56)^2+SUMPRODUCT((Fits!$J$163:$J$175*(Fits!$B$163:$B$175/Fits!$B$55+Fits!$H$163:$H$175*($Z41-Fits!$B$133)/Fits!$B$134))^2)+SUMPRODUCT((Fits!$G$163:$G$175*(($Z41-Fits!$B$133)*Fits!$I$163:$I$175/Fits!$B$134-Fits!$B$163:$B$175*Fits!$B$56/Fits!$B$55))^2)))</f>
        <v>0.255810837212918</v>
      </c>
      <c r="CM41" s="26" t="n">
        <f aca="false">IF($CL41="","",Setup!$B$32*$CL41)</f>
        <v>0.511621674425835</v>
      </c>
      <c r="CN41" s="26" t="n">
        <f aca="false">IF(OR($AE41="",Fits!$B$62&lt;3,Fits!$B$153="",Fits!$B$154="",Fits!$B$154=0,Fits!$B$156=""),"",SQRT((Fits!$B$156*Fits!$B$63)^2+SUMPRODUCT((Fits!$J$183:$J$195*(Fits!$B$183:$B$195/Fits!$B$62+Fits!$H$183:$H$195*($AE41-Fits!$B$153)/Fits!$B$154))^2)+SUMPRODUCT((Fits!$G$183:$G$195*(($AE41-Fits!$B$153)*Fits!$I$183:$I$195/Fits!$B$154-Fits!$B$183:$B$195*Fits!$B$63/Fits!$B$62))^2)))</f>
        <v>0.037870834715565</v>
      </c>
      <c r="CO41" s="26" t="n">
        <f aca="false">IF($CN41="","",Setup!$B$32*$CN41)</f>
        <v>0.0757416694311301</v>
      </c>
      <c r="CP41" s="9" t="n">
        <f aca="false">IF(OR(NOT(ISNUMBER($BJ41)),$EK41=1),$CP40,IF($BJ41&lt;=Setup!$B$26,$CP40+1,0))</f>
        <v>6</v>
      </c>
      <c r="CQ41" s="9" t="n">
        <f aca="false">IF($BT41="","",$A41)</f>
        <v>36</v>
      </c>
      <c r="CR41" s="9" t="n">
        <f aca="false">IF($BW41="","",$A41)</f>
        <v>36</v>
      </c>
      <c r="CS41" s="9" t="n">
        <f aca="false">IF($B41="","",IF(Setup!$A$37="",0,IF(ISNUMBER(SEARCH(Setup!$A$37,$B41)),37,0)))</f>
        <v>0</v>
      </c>
      <c r="CT41" s="9" t="n">
        <f aca="false">IF($B41="","",IF(Setup!$A$38="",0,IF(ISNUMBER(SEARCH(Setup!$A$38,$B41)),38,0)))</f>
        <v>0</v>
      </c>
      <c r="CU41" s="9" t="n">
        <f aca="false">IF($B41="","",IF(Setup!$A$39="",0,IF(ISNUMBER(SEARCH(Setup!$A$39,$B41)),39,0)))</f>
        <v>0</v>
      </c>
      <c r="CV41" s="9" t="n">
        <f aca="false">IF($B41="","",IF(Setup!$A$40="",0,IF(ISNUMBER(SEARCH(Setup!$A$40,$B41)),40,0)))</f>
        <v>0</v>
      </c>
      <c r="CW41" s="9" t="n">
        <f aca="false">IF($B41="","",IF(Setup!$A$41="",0,IF(ISNUMBER(SEARCH(Setup!$A$41,$B41)),41,0)))</f>
        <v>0</v>
      </c>
      <c r="CX41" s="9" t="n">
        <f aca="false">IF($B41="","",IF(Setup!$A$42="",0,IF(ISNUMBER(SEARCH(Setup!$A$42,$B41)),42,0)))</f>
        <v>0</v>
      </c>
      <c r="CY41" s="9" t="n">
        <f aca="false">IF($B41="","",IF(Setup!$A$43="",0,IF(ISNUMBER(SEARCH(Setup!$A$43,$B41)),43,0)))</f>
        <v>0</v>
      </c>
      <c r="CZ41" s="9" t="n">
        <f aca="false">IF($B41="","",IF(Setup!$A$44="",0,IF(ISNUMBER(SEARCH(Setup!$A$44,$B41)),44,0)))</f>
        <v>0</v>
      </c>
      <c r="DA41" s="9" t="n">
        <f aca="false">IF($B41="","",IF(Setup!$A$45="",0,IF(ISNUMBER(SEARCH(Setup!$A$45,$B41)),45,0)))</f>
        <v>0</v>
      </c>
      <c r="DB41" s="9" t="n">
        <f aca="false">IF($B41="","",IF(Setup!$A$46="",0,IF(ISNUMBER(SEARCH(Setup!$A$46,$B41)),46,0)))</f>
        <v>0</v>
      </c>
      <c r="DC41" s="9" t="n">
        <f aca="false">IF($B41="","",IF(Setup!$A$47="",0,IF(ISNUMBER(SEARCH(Setup!$A$47,$B41)),47,0)))</f>
        <v>0</v>
      </c>
      <c r="DD41" s="9" t="n">
        <f aca="false">IF($B41="","",IF(Setup!$A$48="",0,IF(ISNUMBER(SEARCH(Setup!$A$48,$B41)),48,0)))</f>
        <v>0</v>
      </c>
      <c r="DE41" s="9" t="n">
        <f aca="false">IF($B41="","",IF(Setup!$A$49="",0,IF(ISNUMBER(SEARCH(Setup!$A$49,$B41)),49,0)))</f>
        <v>0</v>
      </c>
      <c r="DF41" s="9" t="n">
        <f aca="false">IF($B41="",NA(),$A41)</f>
        <v>36</v>
      </c>
      <c r="DG41" s="22" t="n">
        <f aca="false">IF($BI41="",NA(),$BI41)</f>
        <v>23.6</v>
      </c>
      <c r="DH41" s="22" t="n">
        <f aca="false">IF($N41="",NA(),$N41)</f>
        <v>24.5</v>
      </c>
      <c r="DI41" s="9" t="e">
        <f aca="false">IF(AND($D41="Drift",$N41&lt;&gt;""),$N41,NA())</f>
        <v>#N/A</v>
      </c>
      <c r="DJ41" s="9" t="str">
        <f aca="false">IF(AND($D41="Drift",$N41&lt;&gt;""),$N41,"")</f>
        <v/>
      </c>
      <c r="DK41" s="9" t="str">
        <f aca="false">IF($DJ41="","",$A41)</f>
        <v/>
      </c>
      <c r="DL41" s="9" t="e">
        <f aca="false">IF($AN41="",NA(),$AM41)</f>
        <v>#N/A</v>
      </c>
      <c r="DM41" s="9" t="e">
        <f aca="false">IF($AN41="",NA(),$AN41)</f>
        <v>#N/A</v>
      </c>
      <c r="DN41" s="24" t="n">
        <f aca="false">IF(AND($D41="Sample",$L41&lt;&gt;""),$L41,NA())</f>
        <v>22.876</v>
      </c>
      <c r="DO41" s="24" t="n">
        <f aca="false">IF(AND($D41="Sample",$L41&lt;&gt;"",Fits!$B$98&lt;&gt;""),Fits!$B$98,NA())</f>
        <v>-6.0577</v>
      </c>
      <c r="DP41" s="9" t="e">
        <f aca="false">IF($AS41="",NA(),$AS41)</f>
        <v>#N/A</v>
      </c>
      <c r="DQ41" s="9" t="e">
        <f aca="false">IF(AND($D41="Drift",$AS41="",$X41&lt;&gt;""),$X41,NA())</f>
        <v>#N/A</v>
      </c>
      <c r="DR41" s="9" t="e">
        <f aca="false">IF(AND($D41="Drift",$Z41&lt;&gt;""),$Z41,NA())</f>
        <v>#N/A</v>
      </c>
      <c r="DS41" s="25" t="n">
        <f aca="false">IF(AND(OR($D41="Sample",$D41="Check"),$AA41&lt;&gt;""),$AA41,NA())</f>
        <v>-5.21761371673513</v>
      </c>
      <c r="DT41" s="25" t="n">
        <f aca="false">IF(OR($B41="",Fits!$B$138=""),NA(),Fits!$B$138)</f>
        <v>1.76</v>
      </c>
      <c r="DU41" s="25" t="n">
        <f aca="false">IF(OR($B41="",Fits!$B$139=""),NA(),Fits!$B$139)</f>
        <v>20.68</v>
      </c>
      <c r="DV41" s="24" t="n">
        <f aca="false">IF($BT41="",NA(),$BT41)</f>
        <v>-1.155</v>
      </c>
      <c r="DW41" s="9" t="e">
        <f aca="false">IF($AP41="",NA(),$AO41)</f>
        <v>#N/A</v>
      </c>
      <c r="DX41" s="9" t="e">
        <f aca="false">IF($AP41="",NA(),$AP41)</f>
        <v>#N/A</v>
      </c>
      <c r="DY41" s="24" t="n">
        <f aca="false">IF(AND($D41="Sample",$P41&lt;&gt;""),$P41,NA())</f>
        <v>107.199</v>
      </c>
      <c r="DZ41" s="24" t="n">
        <f aca="false">IF(AND($D41="Sample",$P41&lt;&gt;"",Fits!$B$105&lt;&gt;""),Fits!$B$105,NA())</f>
        <v>-9.717</v>
      </c>
      <c r="EA41" s="9" t="e">
        <f aca="false">IF($AT41="",NA(),$AT41)</f>
        <v>#N/A</v>
      </c>
      <c r="EB41" s="9" t="e">
        <f aca="false">IF(AND($D41="Drift",$AT41="",$AC41&lt;&gt;""),$AC41,NA())</f>
        <v>#N/A</v>
      </c>
      <c r="EC41" s="9" t="e">
        <f aca="false">IF(AND($D41="Drift",$AE41&lt;&gt;""),$AE41,NA())</f>
        <v>#N/A</v>
      </c>
      <c r="ED41" s="25" t="n">
        <f aca="false">IF(AND(OR($D41="Sample",$D41="Check"),$AF41&lt;&gt;""),$AF41,NA())</f>
        <v>-26.6261727484253</v>
      </c>
      <c r="EE41" s="25" t="n">
        <f aca="false">IF(OR($B41="",Fits!$B$158=""),NA(),Fits!$B$158)</f>
        <v>-40.81</v>
      </c>
      <c r="EF41" s="25" t="n">
        <f aca="false">IF(OR($B41="",Fits!$B$159=""),NA(),Fits!$B$159)</f>
        <v>-20.29</v>
      </c>
      <c r="EG41" s="24" t="n">
        <f aca="false">IF($BW41="",NA(),$BW41)</f>
        <v>-25.39</v>
      </c>
      <c r="EH41" s="9" t="e">
        <f aca="false">IF(AND($EN41=1,ISNUMBER($N41)),$N41,NA())</f>
        <v>#N/A</v>
      </c>
      <c r="EI41" s="9" t="n">
        <f aca="false">IF($B41="","",$A41)</f>
        <v>36</v>
      </c>
      <c r="EJ41" s="9" t="n">
        <f aca="false">IF(OR(AND(ISNUMBER($L41),Fits!$B$97&gt;0,$L41&gt;Fits!$B$97),AND(ISNUMBER($P41),Fits!$B$104&gt;0,$P41&gt;Fits!$B$104)),1,0)</f>
        <v>0</v>
      </c>
      <c r="EK41" s="9" t="n">
        <f aca="false">IF(OR($EJ40=1,$EJ39=1),1,0)</f>
        <v>0</v>
      </c>
      <c r="EL41" s="22" t="n">
        <f aca="false">IF(AND($EK41=0,ISNUMBER($N41)),$N41,$EL40)</f>
        <v>24.5</v>
      </c>
      <c r="EM41" s="9" t="str">
        <f aca="false">IF(AND($EK41=1,ISNUMBER($N41),ISNUMBER($EL41)),$N41-$EL41,"")</f>
        <v/>
      </c>
      <c r="EN41" s="9" t="n">
        <f aca="false">IF(Setup!$B$28="",0,IF(ISNUMBER($EM41),IF($EM41&gt;Setup!$B$28,1,0),0))</f>
        <v>0</v>
      </c>
      <c r="EO41" s="9" t="str">
        <f aca="false">IF($EN41=1,COUNTIF($EN$6:$EN41,1),"")</f>
        <v/>
      </c>
      <c r="EP41" s="9" t="n">
        <f aca="false">IF(AND($EJ40=1,OR($D41="Sample",$D41="Check")),1,0)</f>
        <v>0</v>
      </c>
      <c r="EQ41" s="9" t="str">
        <f aca="false">IF(ISNUMBER($BI41),IF(COUNT($BI$6:$BI41)&lt;=5,$BI41,""),"")</f>
        <v/>
      </c>
      <c r="ER41" s="9" t="n">
        <f aca="false">IF(OR(NOT(ISNUMBER($BJ41)),$EK41=1),$ER40,IF($BJ41&lt;=Setup!$B$26,IF($CP40=0,$A41,$ER40),""))</f>
        <v>27</v>
      </c>
    </row>
    <row r="42" customFormat="false" ht="15" hidden="false" customHeight="false" outlineLevel="0" collapsed="false">
      <c r="A42" s="8" t="n">
        <v>37</v>
      </c>
      <c r="B42" s="8" t="str">
        <f aca="false">IFERROR(INDEX(Raw!$B$2:$B$1001,MATCH($A42,Raw!$A$2:$A$1001,0)),"")</f>
        <v>Random</v>
      </c>
      <c r="C42" s="9" t="n">
        <f aca="false">IF($B42="","",MAX($CS42:$DE42))</f>
        <v>0</v>
      </c>
      <c r="D42" s="8" t="str">
        <f aca="false">IF($B42="","",IF($C42=0,"Sample",INDEX(Setup!$B$37:$B$49,$C42-36)))</f>
        <v>Sample</v>
      </c>
      <c r="E42" s="16" t="str">
        <f aca="false">IF($B42="","",IFERROR(IF(INDEX(Raw!$E$2:$E$1001,MATCH($A42,Raw!$A$2:$A$1001,0))=0,"",INDEX(Raw!$E$2:$E$1001,MATCH($A42,Raw!$A$2:$A$1001,0))),""))</f>
        <v/>
      </c>
      <c r="F42" s="18"/>
      <c r="G42" s="16" t="str">
        <f aca="false">IF($B42="","",IF($F42&lt;&gt;"",$F42,IF($E42="","",$E42)))</f>
        <v/>
      </c>
      <c r="H42" s="9" t="n">
        <f aca="false">IF($B42="","",SUMPRODUCT(MAX((Raw!$A$2:$A$1001=$A42)*(Raw!$R$2:$R$1001="N")*Raw!$D$2:$D$1001)))</f>
        <v>3</v>
      </c>
      <c r="I42" s="9" t="str">
        <f aca="false">IF(OR($H42="",$H42=0),"",$A42&amp;"|N|"&amp;$H42)</f>
        <v>37|N|3</v>
      </c>
      <c r="J42" s="9" t="n">
        <f aca="false">IF($B42="","",SUMPRODUCT(MIN((Raw!$A$2:$A$1001=$A42)*(Raw!$R$2:$R$1001="C")*Raw!$D$2:$D$1001+(1-(Raw!$A$2:$A$1001=$A42)*(Raw!$R$2:$R$1001="C"))*9999)))</f>
        <v>4</v>
      </c>
      <c r="K42" s="9" t="str">
        <f aca="false">IF(OR($J42="",$J42=0,$J42=9999),"",$A42&amp;"|C|"&amp;$J42)</f>
        <v>37|C|4</v>
      </c>
      <c r="L42" s="16" t="n">
        <f aca="false">IF($I42="","",IF(INDEX(Raw!$I$2:$I$1001,MATCH($I42,Raw!$S$2:$S$1001,0))&lt;&gt;0,"",INDEX(Raw!$H$2:$H$1001,MATCH($I42,Raw!$S$2:$S$1001,0))))</f>
        <v>31.222</v>
      </c>
      <c r="M42" s="19" t="n">
        <f aca="false">IF($I42="","",IF(INDEX(Raw!$I$2:$I$1001,MATCH($I42,Raw!$S$2:$S$1001,0))&lt;&gt;0,"",INDEX(Raw!$F$2:$F$1001,MATCH($I42,Raw!$S$2:$S$1001,0))))</f>
        <v>1790</v>
      </c>
      <c r="N42" s="20" t="n">
        <f aca="false">IF($I42="","",IF(INDEX(Raw!$I$2:$I$1001,MATCH($I42,Raw!$S$2:$S$1001,0))&lt;&gt;0,"",INDEX(Raw!$G$2:$G$1001,MATCH($I42,Raw!$S$2:$S$1001,0))))</f>
        <v>24.5</v>
      </c>
      <c r="O42" s="16" t="n">
        <f aca="false">IF($I42="","",IF(INDEX(Raw!$I$2:$I$1001,MATCH($I42,Raw!$S$2:$S$1001,0))&lt;&gt;0,"",INDEX(Raw!$N$2:$N$1001,MATCH($I42,Raw!$S$2:$S$1001,0))))</f>
        <v>-5.902</v>
      </c>
      <c r="P42" s="16" t="n">
        <f aca="false">IF($K42="","",IF(INDEX(Raw!$I$2:$I$1001,MATCH($K42,Raw!$S$2:$S$1001,0))&lt;&gt;0,"",INDEX(Raw!$K$2:$K$1001,MATCH($K42,Raw!$S$2:$S$1001,0))))</f>
        <v>146.952</v>
      </c>
      <c r="Q42" s="19" t="n">
        <f aca="false">IF($K42="","",IF(INDEX(Raw!$I$2:$I$1001,MATCH($K42,Raw!$S$2:$S$1001,0))&lt;&gt;0,"",INDEX(Raw!$J$2:$J$1001,MATCH($K42,Raw!$S$2:$S$1001,0))))</f>
        <v>6395</v>
      </c>
      <c r="R42" s="16" t="n">
        <f aca="false">IF($K42="","",IF(INDEX(Raw!$I$2:$I$1001,MATCH($K42,Raw!$S$2:$S$1001,0))&lt;&gt;0,"",INDEX(Raw!$O$2:$O$1001,MATCH($K42,Raw!$S$2:$S$1001,0))))</f>
        <v>-9.55</v>
      </c>
      <c r="S42" s="21" t="str">
        <f aca="false">IF($B42="","",IF($C42=0,"",IF(INDEX(Setup!$D$37:$D$49,$C42-36)="","",INDEX(Setup!$D$37:$D$49,$C42-36))))</f>
        <v/>
      </c>
      <c r="T42" s="21" t="str">
        <f aca="false">IF($B42="","",IF($C42=0,"",IF(INDEX(Setup!$C$37:$C$49,$C42-36)="","",INDEX(Setup!$C$37:$C$49,$C42-36))))</f>
        <v/>
      </c>
      <c r="U42" s="21" t="str">
        <f aca="false">IF($B42="","",IF($C42=0,"",IF(INDEX(Setup!$F$37:$F$49,$C42-36)="","",INDEX(Setup!$F$37:$F$49,$C42-36))))</f>
        <v/>
      </c>
      <c r="V42" s="21" t="str">
        <f aca="false">IF($B42="","",IF($C42=0,"",IF(INDEX(Setup!$E$37:$E$49,$C42-36)="","",INDEX(Setup!$E$37:$E$49,$C42-36))))</f>
        <v/>
      </c>
      <c r="W42" s="16" t="n">
        <f aca="false">IF($O42="","",IF(OR(Fits!$C$5&lt;&gt;"Yes",$D42="Blank",$L42&lt;=Fits!$B$6),$O42,($L42*$O42-Fits!$B$6*Fits!$B$7)/($L42-Fits!$B$6)))</f>
        <v>-5.902</v>
      </c>
      <c r="X42" s="16" t="n">
        <f aca="false">IF($W42="","",$W42-Fits!$B$20*($L42-Fits!$B$16))</f>
        <v>-5.902</v>
      </c>
      <c r="Y42" s="22" t="n">
        <f aca="false">IF($W42="","",IF(OR(Fits!$B$38="Row",$BI42=""),$A42,$BI42))</f>
        <v>37</v>
      </c>
      <c r="Z42" s="16" t="n">
        <f aca="false">IF($X42="","",$X42-Fits!$B$39*($Y42-Fits!$B$40))</f>
        <v>-5.8543321000179</v>
      </c>
      <c r="AA42" s="23" t="n">
        <f aca="false">IF(OR($Z42="",Fits!$B$55&lt;2),"",Fits!$B$56*$Z42+Fits!$B$57)</f>
        <v>-4.98277501731908</v>
      </c>
      <c r="AB42" s="16" t="n">
        <f aca="false">IF($R42="","",IF(OR(Fits!$C$9&lt;&gt;"Yes",$D42="Blank",$P42&lt;=Fits!$B$10),$R42,($P42*$R42-Fits!$B$10*Fits!$B$11)/($P42-Fits!$B$10)))</f>
        <v>-9.55</v>
      </c>
      <c r="AC42" s="16" t="n">
        <f aca="false">IF($AB42="","",$AB42-Fits!$B$28*($P42-Fits!$B$24))</f>
        <v>-9.58359544099332</v>
      </c>
      <c r="AD42" s="22" t="n">
        <f aca="false">IF($AB42="","",IF(OR(Fits!$B$50="Row",$BI42=""),$A42,$BI42))</f>
        <v>37</v>
      </c>
      <c r="AE42" s="16" t="n">
        <f aca="false">IF($AC42="","",$AC42-Fits!$B$51*($AD42-Fits!$B$52))</f>
        <v>-9.59198790418239</v>
      </c>
      <c r="AF42" s="23" t="n">
        <f aca="false">IF(OR($AE42="",Fits!$B$62&lt;2),"",Fits!$B$63*$AE42+Fits!$B$64)</f>
        <v>-26.7199611050583</v>
      </c>
      <c r="AG42" s="21" t="n">
        <f aca="false">IF(OR($L42="",Fits!$B$69&lt;3),"",($L42-Fits!$B$71)/Fits!$B$70)</f>
        <v>48.2970674049731</v>
      </c>
      <c r="AH42" s="21" t="n">
        <f aca="false">IF(OR($P42="",Fits!$B$75&lt;3),"",($P42-Fits!$B$77)/Fits!$B$76)</f>
        <v>330.724655452135</v>
      </c>
      <c r="AI42" s="23" t="str">
        <f aca="false">IF(OR($AG42="",$G42="",$G42=0),"",$AG42/($G42*1000)*100)</f>
        <v/>
      </c>
      <c r="AJ42" s="23" t="str">
        <f aca="false">IF(OR($AH42="",$G42="",$G42=0),"",$AH42/($G42*1000)*100)</f>
        <v/>
      </c>
      <c r="AK42" s="23" t="n">
        <f aca="false">IF(OR($AG42="",$AH42="",$AG42&lt;=0),"",($AH42/Setup!$B$52)/($AG42/Setup!$B$53))</f>
        <v>7.98567760716522</v>
      </c>
      <c r="AL42" s="23" t="n">
        <f aca="false">IF(OR($AG42="",$AH42="",$AG42&lt;=0),"",$AH42/$AG42)</f>
        <v>6.84771712284297</v>
      </c>
      <c r="AM42" s="9" t="str">
        <f aca="false">IF($D42="Linearity",IF($L42="","",$L42),"")</f>
        <v/>
      </c>
      <c r="AN42" s="9" t="str">
        <f aca="false">IF($D42="Linearity",IF($W42="","",$W42),"")</f>
        <v/>
      </c>
      <c r="AO42" s="9" t="str">
        <f aca="false">IF($D42="Linearity",IF($P42="","",$P42),"")</f>
        <v/>
      </c>
      <c r="AP42" s="9" t="str">
        <f aca="false">IF($D42="Linearity",IF($AB42="","",$AB42),"")</f>
        <v/>
      </c>
      <c r="AQ42" s="9" t="str">
        <f aca="false">IF($D42="Drift",IF($A42&lt;IF(Setup!$B$14="",0,Setup!$B$14),"",$A42),"")</f>
        <v/>
      </c>
      <c r="AR42" s="9" t="str">
        <f aca="false">IF($D42="Drift",IF($A42&lt;IF(Setup!$B$14="",0,Setup!$B$14),"",IF($BI42="","",$BI42)),"")</f>
        <v/>
      </c>
      <c r="AS42" s="9" t="str">
        <f aca="false">IF($D42="Drift",IF($A42&lt;IF(Setup!$B$14="",0,Setup!$B$14),"",IF(OR($X42="",$BX42=1),"",$X42)),"")</f>
        <v/>
      </c>
      <c r="AT42" s="9" t="str">
        <f aca="false">IF($D42="Drift",IF($A42&lt;IF(Setup!$B$14="",0,Setup!$B$14),"",IF(OR($AC42="",$BY42=1),"",$AC42)),"")</f>
        <v/>
      </c>
      <c r="AU42" s="9" t="str">
        <f aca="false">IF($D42="Anchor",IF(OR($Z42="",$S42=""),"",$Z42),"")</f>
        <v/>
      </c>
      <c r="AV42" s="9" t="str">
        <f aca="false">IF($D42="Anchor",IF(OR($Z42="",$S42=""),"",$S42),"")</f>
        <v/>
      </c>
      <c r="AW42" s="9" t="str">
        <f aca="false">IF($D42="Anchor",IF(OR($AE42="",$T42=""),"",$AE42),"")</f>
        <v/>
      </c>
      <c r="AX42" s="9" t="str">
        <f aca="false">IF($D42="Anchor",IF(OR($AE42="",$T42=""),"",$T42),"")</f>
        <v/>
      </c>
      <c r="AY42" s="9" t="str">
        <f aca="false">IF(OR($D42="Blank",$D42="Exclude",$D42="Sample",$D42="",$G42="",$U42="",$L42=""),"",$G42*1000*$U42/100)</f>
        <v/>
      </c>
      <c r="AZ42" s="9" t="str">
        <f aca="false">IF($AY42="","",$L42)</f>
        <v/>
      </c>
      <c r="BA42" s="9" t="str">
        <f aca="false">IF(OR($D42="Blank",$D42="Exclude",$D42="Sample",$D42="",$G42="",$V42="",$P42=""),"",$G42*1000*$V42/100)</f>
        <v/>
      </c>
      <c r="BB42" s="9" t="str">
        <f aca="false">IF($BA42="","",$P42)</f>
        <v/>
      </c>
      <c r="BC42" s="9" t="str">
        <f aca="false">IF(AND($D42="Blank",$L42&lt;&gt;""),$O42,"")</f>
        <v/>
      </c>
      <c r="BD42" s="9" t="str">
        <f aca="false">IF($BC42="","",$L42)</f>
        <v/>
      </c>
      <c r="BE42" s="9" t="str">
        <f aca="false">IF(AND($D42="Blank",$P42&lt;&gt;""),$R42,"")</f>
        <v/>
      </c>
      <c r="BF42" s="9" t="str">
        <f aca="false">IF($BE42="","",$P42)</f>
        <v/>
      </c>
      <c r="BG42" s="9" t="str">
        <f aca="false">IF(AND($D42="Drift",$BX42&lt;&gt;1),IF($AA42="","",$AA42),"")</f>
        <v/>
      </c>
      <c r="BH42" s="9" t="str">
        <f aca="false">IF(AND($D42="Drift",$BY42&lt;&gt;1),IF($AF42="","",$AF42),"")</f>
        <v/>
      </c>
      <c r="BI42" s="20" t="n">
        <f aca="false">IF($B42="","",IFERROR(INDEX(Raw!$G$2:$G$1001,MATCH($A42&amp;"|N|"&amp;SUMPRODUCT(MAX((Raw!$A$2:$A$1001=$A42)*(Raw!$R$2:$R$1001="N")*(Raw!$I$2:$I$1001=1)*Raw!$D$2:$D$1001)),Raw!$S$2:$S$1001,0)),""))</f>
        <v>23.5</v>
      </c>
      <c r="BJ42" s="21" t="n">
        <f aca="false">IF(OR($BI42="",Fits!$B$85&lt;=0),"",($BI42-Fits!$B$83)/Fits!$B$85)</f>
        <v>0.0360360360360359</v>
      </c>
      <c r="BK42" s="9" t="str">
        <f aca="false">IF($AS42="","",IF($A42&gt;=Fits!$B$86,"",$A42))</f>
        <v/>
      </c>
      <c r="BL42" s="9" t="str">
        <f aca="false">IF($BK42="","",$X42)</f>
        <v/>
      </c>
      <c r="BM42" s="9" t="str">
        <f aca="false">IF($AS42="","",IF($A42&lt;Fits!$B$86,"",$A42))</f>
        <v/>
      </c>
      <c r="BN42" s="9" t="str">
        <f aca="false">IF($BM42="","",$X42)</f>
        <v/>
      </c>
      <c r="BO42" s="9" t="str">
        <f aca="false">IF(AND($D42="Drift",$BX42&lt;&gt;1),IF($O42="","",$O42),"")</f>
        <v/>
      </c>
      <c r="BP42" s="9" t="str">
        <f aca="false">IF(AND($D42="Drift",$BX42&lt;&gt;1),IF($W42="","",$W42),"")</f>
        <v/>
      </c>
      <c r="BQ42" s="9" t="str">
        <f aca="false">IF(AND($D42="Drift",$BX42&lt;&gt;1),IF($X42="","",$X42),"")</f>
        <v/>
      </c>
      <c r="BR42" s="9" t="str">
        <f aca="false">IF(AND($D42="Drift",$BX42&lt;&gt;1),IF($Z42="","",$Z42),"")</f>
        <v/>
      </c>
      <c r="BS42" s="9" t="n">
        <f aca="false">IF(OR($B42="",$H42=""),"",SUMPRODUCT(MIN((Raw!$A$2:$A$1001=$A42)*(Raw!$R$2:$R$1001="N")*(Raw!$I$2:$I$1001=0)*(Raw!$D$2:$D$1001&lt;$H42)*Raw!$D$2:$D$1001+(1-(Raw!$A$2:$A$1001=$A42)*(Raw!$R$2:$R$1001="N")*(Raw!$I$2:$I$1001=0)*(Raw!$D$2:$D$1001&lt;$H42))*9999)))</f>
        <v>1</v>
      </c>
      <c r="BT42" s="16" t="n">
        <f aca="false">IF(OR($BS42="",$BS42=9999,$BS42=0),"",IFERROR(INDEX(Raw!$N$2:$N$1001,MATCH($A42&amp;"|N|"&amp;$BS42,Raw!$S$2:$S$1001,0)),""))</f>
        <v>-1.171</v>
      </c>
      <c r="BU42" s="9" t="n">
        <f aca="false">IF($B42="","",SUMPRODUCT(MIN((Raw!$A$2:$A$1001=$A42)*(Raw!$R$2:$R$1001="C")*(Raw!$I$2:$I$1001=1)*Raw!$D$2:$D$1001+(1-(Raw!$A$2:$A$1001=$A42)*(Raw!$R$2:$R$1001="C")*(Raw!$I$2:$I$1001=1))*9999)))</f>
        <v>5</v>
      </c>
      <c r="BV42" s="9" t="n">
        <f aca="false">IF(OR($BU42="",$BU42=9999),"",SUMPRODUCT(MIN((Raw!$A$2:$A$1001=$A42)*(Raw!$R$2:$R$1001="C")*(Raw!$I$2:$I$1001=0)*(Raw!$D$2:$D$1001&gt;$BU42)*Raw!$D$2:$D$1001+(1-(Raw!$A$2:$A$1001=$A42)*(Raw!$R$2:$R$1001="C")*(Raw!$I$2:$I$1001=0)*(Raw!$D$2:$D$1001&gt;$BU42))*9999)))</f>
        <v>6</v>
      </c>
      <c r="BW42" s="16" t="n">
        <f aca="false">IF(OR($BV42="",$BV42=9999,$BV42=0),"",IFERROR(INDEX(Raw!$O$2:$O$1001,MATCH($A42&amp;"|C|"&amp;$BV42,Raw!$S$2:$S$1001,0)),""))</f>
        <v>-25.339</v>
      </c>
      <c r="BX42" s="9" t="n">
        <f aca="false">IF($B42="","",IF(ISNUMBER(SEARCH(","&amp;$A42&amp;",",","&amp;SUBSTITUTE(Setup!$B$16," ","")&amp;",")),1,0))</f>
        <v>0</v>
      </c>
      <c r="BY42" s="9" t="n">
        <f aca="false">IF($B42="","",IF(ISNUMBER(SEARCH(","&amp;$A42&amp;",",","&amp;SUBSTITUTE(Setup!$B$17," ","")&amp;",")),1,0))</f>
        <v>0</v>
      </c>
      <c r="BZ42" s="22" t="str">
        <f aca="false">IF($AS42="","",IF(Fits!$B$38="Row",$AQ42,IF($AR42="","",$AR42)))</f>
        <v/>
      </c>
      <c r="CA42" s="22" t="str">
        <f aca="false">IF($AT42="","",IF(Fits!$B$50="Row",$AQ42,IF($AR42="","",$AR42)))</f>
        <v/>
      </c>
      <c r="CB42" s="20" t="str">
        <f aca="false">IF(OR($D42&lt;&gt;"Drift",$X42="",$A42&lt;IF(Setup!$B$14="",0,Setup!$B$14),Fits!$B$107&lt;3,Fits!$B$110="",Fits!$B$109=0,IF(Fits!$B$38="Row",$AQ42,$AR42)=""),"",IF($BX42=1,IF(OR(Fits!$B$111="",Fits!$B$111=0),"",($X42-(IF(Fits!$B$38="Row",Fits!$B$32,Fits!$B$35)*IF(Fits!$B$38="Row",$AQ42,$AR42)+Fits!$B$110))/(Fits!$B$111*SQRT(1+(1/Fits!$B$107+(IF(Fits!$B$38="Row",$AQ42,$AR42)-Fits!$B$108)^2/Fits!$B$109)))),IF(OR(Fits!$B$107&lt;4,(1/Fits!$B$107+(IF(Fits!$B$38="Row",$AQ42,$AR42)-Fits!$B$108)^2/Fits!$B$109)&gt;=1),"",IF((Fits!$B$116-($X42-(IF(Fits!$B$38="Row",Fits!$B$32,Fits!$B$35)*IF(Fits!$B$38="Row",$AQ42,$AR42)+Fits!$B$110))^2/(1-(1/Fits!$B$107+(IF(Fits!$B$38="Row",$AQ42,$AR42)-Fits!$B$108)^2/Fits!$B$109)))&lt;=0,"",($X42-(IF(Fits!$B$38="Row",Fits!$B$32,Fits!$B$35)*IF(Fits!$B$38="Row",$AQ42,$AR42)+Fits!$B$110))/(SQRT((Fits!$B$116-($X42-(IF(Fits!$B$38="Row",Fits!$B$32,Fits!$B$35)*IF(Fits!$B$38="Row",$AQ42,$AR42)+Fits!$B$110))^2/(1-(1/Fits!$B$107+(IF(Fits!$B$38="Row",$AQ42,$AR42)-Fits!$B$108)^2/Fits!$B$109)))/(Fits!$B$107-3))*SQRT(1-(1/Fits!$B$107+(IF(Fits!$B$38="Row",$AQ42,$AR42)-Fits!$B$108)^2/Fits!$B$109)))))))</f>
        <v/>
      </c>
      <c r="CC42" s="20" t="str">
        <f aca="false">IF(OR($D42&lt;&gt;"Drift",$AC42="",$A42&lt;IF(Setup!$B$14="",0,Setup!$B$14),Fits!$B$120&lt;3,Fits!$B$123="",Fits!$B$122=0,IF(Fits!$B$50="Row",$AQ42,$AR42)=""),"",IF($BY42=1,IF(OR(Fits!$B$124="",Fits!$B$124=0),"",($AC42-(IF(Fits!$B$50="Row",Fits!$B$44,Fits!$B$47)*IF(Fits!$B$50="Row",$AQ42,$AR42)+Fits!$B$123))/(Fits!$B$124*SQRT(1+(1/Fits!$B$120+(IF(Fits!$B$50="Row",$AQ42,$AR42)-Fits!$B$121)^2/Fits!$B$122)))),IF(OR(Fits!$B$120&lt;4,(1/Fits!$B$120+(IF(Fits!$B$50="Row",$AQ42,$AR42)-Fits!$B$121)^2/Fits!$B$122)&gt;=1),"",IF((Fits!$B$129-($AC42-(IF(Fits!$B$50="Row",Fits!$B$44,Fits!$B$47)*IF(Fits!$B$50="Row",$AQ42,$AR42)+Fits!$B$123))^2/(1-(1/Fits!$B$120+(IF(Fits!$B$50="Row",$AQ42,$AR42)-Fits!$B$121)^2/Fits!$B$122)))&lt;=0,"",($AC42-(IF(Fits!$B$50="Row",Fits!$B$44,Fits!$B$47)*IF(Fits!$B$50="Row",$AQ42,$AR42)+Fits!$B$123))/(SQRT((Fits!$B$129-($AC42-(IF(Fits!$B$50="Row",Fits!$B$44,Fits!$B$47)*IF(Fits!$B$50="Row",$AQ42,$AR42)+Fits!$B$123))^2/(1-(1/Fits!$B$120+(IF(Fits!$B$50="Row",$AQ42,$AR42)-Fits!$B$121)^2/Fits!$B$122)))/(Fits!$B$120-3))*SQRT(1-(1/Fits!$B$120+(IF(Fits!$B$50="Row",$AQ42,$AR42)-Fits!$B$121)^2/Fits!$B$122)))))))</f>
        <v/>
      </c>
      <c r="CD42" s="9" t="str">
        <f aca="false">IF($AU42="","",1)</f>
        <v/>
      </c>
      <c r="CE42" s="24" t="str">
        <f aca="false">IF($AU42="","",$AU42-Fits!$B$133)</f>
        <v/>
      </c>
      <c r="CF42" s="24" t="str">
        <f aca="false">IF($AU42="","",($AV42-(Fits!$B$56*$AU42+Fits!$B$57))-Fits!$B$56*($AU42-Fits!$B$133))</f>
        <v/>
      </c>
      <c r="CG42" s="25" t="str">
        <f aca="false">IF($AU42="","",$AU42^2)</f>
        <v/>
      </c>
      <c r="CH42" s="9" t="str">
        <f aca="false">IF($AW42="","",1)</f>
        <v/>
      </c>
      <c r="CI42" s="24" t="str">
        <f aca="false">IF($AW42="","",$AW42-Fits!$B$153)</f>
        <v/>
      </c>
      <c r="CJ42" s="24" t="str">
        <f aca="false">IF($AW42="","",($AX42-(Fits!$B$63*$AW42+Fits!$B$64))-Fits!$B$63*($AW42-Fits!$B$153))</f>
        <v/>
      </c>
      <c r="CK42" s="25" t="str">
        <f aca="false">IF($AW42="","",$AW42^2)</f>
        <v/>
      </c>
      <c r="CL42" s="26" t="n">
        <f aca="false">IF(OR($Z42="",Fits!$B$55&lt;3,Fits!$B$133="",Fits!$B$134="",Fits!$B$134=0,Fits!$B$136=""),"",SQRT((Fits!$B$136*Fits!$B$56)^2+SUMPRODUCT((Fits!$J$163:$J$175*(Fits!$B$163:$B$175/Fits!$B$55+Fits!$H$163:$H$175*($Z42-Fits!$B$133)/Fits!$B$134))^2)+SUMPRODUCT((Fits!$G$163:$G$175*(($Z42-Fits!$B$133)*Fits!$I$163:$I$175/Fits!$B$134-Fits!$B$163:$B$175*Fits!$B$56/Fits!$B$55))^2)))</f>
        <v>0.254443194469757</v>
      </c>
      <c r="CM42" s="26" t="n">
        <f aca="false">IF($CL42="","",Setup!$B$32*$CL42)</f>
        <v>0.508886388939515</v>
      </c>
      <c r="CN42" s="26" t="n">
        <f aca="false">IF(OR($AE42="",Fits!$B$62&lt;3,Fits!$B$153="",Fits!$B$154="",Fits!$B$154=0,Fits!$B$156=""),"",SQRT((Fits!$B$156*Fits!$B$63)^2+SUMPRODUCT((Fits!$J$183:$J$195*(Fits!$B$183:$B$195/Fits!$B$62+Fits!$H$183:$H$195*($AE42-Fits!$B$153)/Fits!$B$154))^2)+SUMPRODUCT((Fits!$G$183:$G$195*(($AE42-Fits!$B$153)*Fits!$I$183:$I$195/Fits!$B$154-Fits!$B$183:$B$195*Fits!$B$63/Fits!$B$62))^2)))</f>
        <v>0.0377912032054639</v>
      </c>
      <c r="CO42" s="26" t="n">
        <f aca="false">IF($CN42="","",Setup!$B$32*$CN42)</f>
        <v>0.0755824064109277</v>
      </c>
      <c r="CP42" s="9" t="n">
        <f aca="false">IF(OR(NOT(ISNUMBER($BJ42)),$EK42=1),$CP41,IF($BJ42&lt;=Setup!$B$26,$CP41+1,0))</f>
        <v>7</v>
      </c>
      <c r="CQ42" s="9" t="n">
        <f aca="false">IF($BT42="","",$A42)</f>
        <v>37</v>
      </c>
      <c r="CR42" s="9" t="n">
        <f aca="false">IF($BW42="","",$A42)</f>
        <v>37</v>
      </c>
      <c r="CS42" s="9" t="n">
        <f aca="false">IF($B42="","",IF(Setup!$A$37="",0,IF(ISNUMBER(SEARCH(Setup!$A$37,$B42)),37,0)))</f>
        <v>0</v>
      </c>
      <c r="CT42" s="9" t="n">
        <f aca="false">IF($B42="","",IF(Setup!$A$38="",0,IF(ISNUMBER(SEARCH(Setup!$A$38,$B42)),38,0)))</f>
        <v>0</v>
      </c>
      <c r="CU42" s="9" t="n">
        <f aca="false">IF($B42="","",IF(Setup!$A$39="",0,IF(ISNUMBER(SEARCH(Setup!$A$39,$B42)),39,0)))</f>
        <v>0</v>
      </c>
      <c r="CV42" s="9" t="n">
        <f aca="false">IF($B42="","",IF(Setup!$A$40="",0,IF(ISNUMBER(SEARCH(Setup!$A$40,$B42)),40,0)))</f>
        <v>0</v>
      </c>
      <c r="CW42" s="9" t="n">
        <f aca="false">IF($B42="","",IF(Setup!$A$41="",0,IF(ISNUMBER(SEARCH(Setup!$A$41,$B42)),41,0)))</f>
        <v>0</v>
      </c>
      <c r="CX42" s="9" t="n">
        <f aca="false">IF($B42="","",IF(Setup!$A$42="",0,IF(ISNUMBER(SEARCH(Setup!$A$42,$B42)),42,0)))</f>
        <v>0</v>
      </c>
      <c r="CY42" s="9" t="n">
        <f aca="false">IF($B42="","",IF(Setup!$A$43="",0,IF(ISNUMBER(SEARCH(Setup!$A$43,$B42)),43,0)))</f>
        <v>0</v>
      </c>
      <c r="CZ42" s="9" t="n">
        <f aca="false">IF($B42="","",IF(Setup!$A$44="",0,IF(ISNUMBER(SEARCH(Setup!$A$44,$B42)),44,0)))</f>
        <v>0</v>
      </c>
      <c r="DA42" s="9" t="n">
        <f aca="false">IF($B42="","",IF(Setup!$A$45="",0,IF(ISNUMBER(SEARCH(Setup!$A$45,$B42)),45,0)))</f>
        <v>0</v>
      </c>
      <c r="DB42" s="9" t="n">
        <f aca="false">IF($B42="","",IF(Setup!$A$46="",0,IF(ISNUMBER(SEARCH(Setup!$A$46,$B42)),46,0)))</f>
        <v>0</v>
      </c>
      <c r="DC42" s="9" t="n">
        <f aca="false">IF($B42="","",IF(Setup!$A$47="",0,IF(ISNUMBER(SEARCH(Setup!$A$47,$B42)),47,0)))</f>
        <v>0</v>
      </c>
      <c r="DD42" s="9" t="n">
        <f aca="false">IF($B42="","",IF(Setup!$A$48="",0,IF(ISNUMBER(SEARCH(Setup!$A$48,$B42)),48,0)))</f>
        <v>0</v>
      </c>
      <c r="DE42" s="9" t="n">
        <f aca="false">IF($B42="","",IF(Setup!$A$49="",0,IF(ISNUMBER(SEARCH(Setup!$A$49,$B42)),49,0)))</f>
        <v>0</v>
      </c>
      <c r="DF42" s="9" t="n">
        <f aca="false">IF($B42="",NA(),$A42)</f>
        <v>37</v>
      </c>
      <c r="DG42" s="22" t="n">
        <f aca="false">IF($BI42="",NA(),$BI42)</f>
        <v>23.5</v>
      </c>
      <c r="DH42" s="22" t="n">
        <f aca="false">IF($N42="",NA(),$N42)</f>
        <v>24.5</v>
      </c>
      <c r="DI42" s="9" t="e">
        <f aca="false">IF(AND($D42="Drift",$N42&lt;&gt;""),$N42,NA())</f>
        <v>#N/A</v>
      </c>
      <c r="DJ42" s="9" t="str">
        <f aca="false">IF(AND($D42="Drift",$N42&lt;&gt;""),$N42,"")</f>
        <v/>
      </c>
      <c r="DK42" s="9" t="str">
        <f aca="false">IF($DJ42="","",$A42)</f>
        <v/>
      </c>
      <c r="DL42" s="9" t="e">
        <f aca="false">IF($AN42="",NA(),$AM42)</f>
        <v>#N/A</v>
      </c>
      <c r="DM42" s="9" t="e">
        <f aca="false">IF($AN42="",NA(),$AN42)</f>
        <v>#N/A</v>
      </c>
      <c r="DN42" s="24" t="n">
        <f aca="false">IF(AND($D42="Sample",$L42&lt;&gt;""),$L42,NA())</f>
        <v>31.222</v>
      </c>
      <c r="DO42" s="24" t="n">
        <f aca="false">IF(AND($D42="Sample",$L42&lt;&gt;"",Fits!$B$98&lt;&gt;""),Fits!$B$98,NA())</f>
        <v>-6.0577</v>
      </c>
      <c r="DP42" s="9" t="e">
        <f aca="false">IF($AS42="",NA(),$AS42)</f>
        <v>#N/A</v>
      </c>
      <c r="DQ42" s="9" t="e">
        <f aca="false">IF(AND($D42="Drift",$AS42="",$X42&lt;&gt;""),$X42,NA())</f>
        <v>#N/A</v>
      </c>
      <c r="DR42" s="9" t="e">
        <f aca="false">IF(AND($D42="Drift",$Z42&lt;&gt;""),$Z42,NA())</f>
        <v>#N/A</v>
      </c>
      <c r="DS42" s="25" t="n">
        <f aca="false">IF(AND(OR($D42="Sample",$D42="Check"),$AA42&lt;&gt;""),$AA42,NA())</f>
        <v>-4.98277501731908</v>
      </c>
      <c r="DT42" s="25" t="n">
        <f aca="false">IF(OR($B42="",Fits!$B$138=""),NA(),Fits!$B$138)</f>
        <v>1.76</v>
      </c>
      <c r="DU42" s="25" t="n">
        <f aca="false">IF(OR($B42="",Fits!$B$139=""),NA(),Fits!$B$139)</f>
        <v>20.68</v>
      </c>
      <c r="DV42" s="24" t="n">
        <f aca="false">IF($BT42="",NA(),$BT42)</f>
        <v>-1.171</v>
      </c>
      <c r="DW42" s="9" t="e">
        <f aca="false">IF($AP42="",NA(),$AO42)</f>
        <v>#N/A</v>
      </c>
      <c r="DX42" s="9" t="e">
        <f aca="false">IF($AP42="",NA(),$AP42)</f>
        <v>#N/A</v>
      </c>
      <c r="DY42" s="24" t="n">
        <f aca="false">IF(AND($D42="Sample",$P42&lt;&gt;""),$P42,NA())</f>
        <v>146.952</v>
      </c>
      <c r="DZ42" s="24" t="n">
        <f aca="false">IF(AND($D42="Sample",$P42&lt;&gt;"",Fits!$B$105&lt;&gt;""),Fits!$B$105,NA())</f>
        <v>-9.717</v>
      </c>
      <c r="EA42" s="9" t="e">
        <f aca="false">IF($AT42="",NA(),$AT42)</f>
        <v>#N/A</v>
      </c>
      <c r="EB42" s="9" t="e">
        <f aca="false">IF(AND($D42="Drift",$AT42="",$AC42&lt;&gt;""),$AC42,NA())</f>
        <v>#N/A</v>
      </c>
      <c r="EC42" s="9" t="e">
        <f aca="false">IF(AND($D42="Drift",$AE42&lt;&gt;""),$AE42,NA())</f>
        <v>#N/A</v>
      </c>
      <c r="ED42" s="25" t="n">
        <f aca="false">IF(AND(OR($D42="Sample",$D42="Check"),$AF42&lt;&gt;""),$AF42,NA())</f>
        <v>-26.7199611050583</v>
      </c>
      <c r="EE42" s="25" t="n">
        <f aca="false">IF(OR($B42="",Fits!$B$158=""),NA(),Fits!$B$158)</f>
        <v>-40.81</v>
      </c>
      <c r="EF42" s="25" t="n">
        <f aca="false">IF(OR($B42="",Fits!$B$159=""),NA(),Fits!$B$159)</f>
        <v>-20.29</v>
      </c>
      <c r="EG42" s="24" t="n">
        <f aca="false">IF($BW42="",NA(),$BW42)</f>
        <v>-25.339</v>
      </c>
      <c r="EH42" s="9" t="e">
        <f aca="false">IF(AND($EN42=1,ISNUMBER($N42)),$N42,NA())</f>
        <v>#N/A</v>
      </c>
      <c r="EI42" s="9" t="n">
        <f aca="false">IF($B42="","",$A42)</f>
        <v>37</v>
      </c>
      <c r="EJ42" s="9" t="n">
        <f aca="false">IF(OR(AND(ISNUMBER($L42),Fits!$B$97&gt;0,$L42&gt;Fits!$B$97),AND(ISNUMBER($P42),Fits!$B$104&gt;0,$P42&gt;Fits!$B$104)),1,0)</f>
        <v>0</v>
      </c>
      <c r="EK42" s="9" t="n">
        <f aca="false">IF(OR($EJ41=1,$EJ40=1),1,0)</f>
        <v>0</v>
      </c>
      <c r="EL42" s="22" t="n">
        <f aca="false">IF(AND($EK42=0,ISNUMBER($N42)),$N42,$EL41)</f>
        <v>24.5</v>
      </c>
      <c r="EM42" s="9" t="str">
        <f aca="false">IF(AND($EK42=1,ISNUMBER($N42),ISNUMBER($EL42)),$N42-$EL42,"")</f>
        <v/>
      </c>
      <c r="EN42" s="9" t="n">
        <f aca="false">IF(Setup!$B$28="",0,IF(ISNUMBER($EM42),IF($EM42&gt;Setup!$B$28,1,0),0))</f>
        <v>0</v>
      </c>
      <c r="EO42" s="9" t="str">
        <f aca="false">IF($EN42=1,COUNTIF($EN$6:$EN42,1),"")</f>
        <v/>
      </c>
      <c r="EP42" s="9" t="n">
        <f aca="false">IF(AND($EJ41=1,OR($D42="Sample",$D42="Check")),1,0)</f>
        <v>0</v>
      </c>
      <c r="EQ42" s="9" t="str">
        <f aca="false">IF(ISNUMBER($BI42),IF(COUNT($BI$6:$BI42)&lt;=5,$BI42,""),"")</f>
        <v/>
      </c>
      <c r="ER42" s="9" t="n">
        <f aca="false">IF(OR(NOT(ISNUMBER($BJ42)),$EK42=1),$ER41,IF($BJ42&lt;=Setup!$B$26,IF($CP41=0,$A42,$ER41),""))</f>
        <v>27</v>
      </c>
    </row>
    <row r="43" customFormat="false" ht="15" hidden="false" customHeight="false" outlineLevel="0" collapsed="false">
      <c r="A43" s="8" t="n">
        <v>38</v>
      </c>
      <c r="B43" s="8" t="str">
        <f aca="false">IFERROR(INDEX(Raw!$B$2:$B$1001,MATCH($A43,Raw!$A$2:$A$1001,0)),"")</f>
        <v>Ace Drift8</v>
      </c>
      <c r="C43" s="9" t="n">
        <f aca="false">IF($B43="","",MAX($CS43:$DE43))</f>
        <v>43</v>
      </c>
      <c r="D43" s="8" t="str">
        <f aca="false">IF($B43="","",IF($C43=0,"Sample",INDEX(Setup!$B$37:$B$49,$C43-36)))</f>
        <v>Drift</v>
      </c>
      <c r="E43" s="16" t="n">
        <f aca="false">IF($B43="","",IFERROR(IF(INDEX(Raw!$E$2:$E$1001,MATCH($A43,Raw!$A$2:$A$1001,0))=0,"",INDEX(Raw!$E$2:$E$1001,MATCH($A43,Raw!$A$2:$A$1001,0))),""))</f>
        <v>0.394</v>
      </c>
      <c r="F43" s="18"/>
      <c r="G43" s="16" t="n">
        <f aca="false">IF($B43="","",IF($F43&lt;&gt;"",$F43,IF($E43="","",$E43)))</f>
        <v>0.394</v>
      </c>
      <c r="H43" s="9" t="n">
        <f aca="false">IF($B43="","",SUMPRODUCT(MAX((Raw!$A$2:$A$1001=$A43)*(Raw!$R$2:$R$1001="N")*Raw!$D$2:$D$1001)))</f>
        <v>3</v>
      </c>
      <c r="I43" s="9" t="str">
        <f aca="false">IF(OR($H43="",$H43=0),"",$A43&amp;"|N|"&amp;$H43)</f>
        <v>38|N|3</v>
      </c>
      <c r="J43" s="9" t="n">
        <f aca="false">IF($B43="","",SUMPRODUCT(MIN((Raw!$A$2:$A$1001=$A43)*(Raw!$R$2:$R$1001="C")*Raw!$D$2:$D$1001+(1-(Raw!$A$2:$A$1001=$A43)*(Raw!$R$2:$R$1001="C"))*9999)))</f>
        <v>4</v>
      </c>
      <c r="K43" s="9" t="str">
        <f aca="false">IF(OR($J43="",$J43=0,$J43=9999),"",$A43&amp;"|C|"&amp;$J43)</f>
        <v>38|C|4</v>
      </c>
      <c r="L43" s="16" t="n">
        <f aca="false">IF($I43="","",IF(INDEX(Raw!$I$2:$I$1001,MATCH($I43,Raw!$S$2:$S$1001,0))&lt;&gt;0,"",INDEX(Raw!$H$2:$H$1001,MATCH($I43,Raw!$S$2:$S$1001,0))))</f>
        <v>27.2</v>
      </c>
      <c r="M43" s="19" t="n">
        <f aca="false">IF($I43="","",IF(INDEX(Raw!$I$2:$I$1001,MATCH($I43,Raw!$S$2:$S$1001,0))&lt;&gt;0,"",INDEX(Raw!$F$2:$F$1001,MATCH($I43,Raw!$S$2:$S$1001,0))))</f>
        <v>1545</v>
      </c>
      <c r="N43" s="20" t="n">
        <f aca="false">IF($I43="","",IF(INDEX(Raw!$I$2:$I$1001,MATCH($I43,Raw!$S$2:$S$1001,0))&lt;&gt;0,"",INDEX(Raw!$G$2:$G$1001,MATCH($I43,Raw!$S$2:$S$1001,0))))</f>
        <v>24.5</v>
      </c>
      <c r="O43" s="16" t="n">
        <f aca="false">IF($I43="","",IF(INDEX(Raw!$I$2:$I$1001,MATCH($I43,Raw!$S$2:$S$1001,0))&lt;&gt;0,"",INDEX(Raw!$N$2:$N$1001,MATCH($I43,Raw!$S$2:$S$1001,0))))</f>
        <v>-6.426</v>
      </c>
      <c r="P43" s="16" t="n">
        <f aca="false">IF($K43="","",IF(INDEX(Raw!$I$2:$I$1001,MATCH($K43,Raw!$S$2:$S$1001,0))&lt;&gt;0,"",INDEX(Raw!$K$2:$K$1001,MATCH($K43,Raw!$S$2:$S$1001,0))))</f>
        <v>127.597</v>
      </c>
      <c r="Q43" s="19" t="n">
        <f aca="false">IF($K43="","",IF(INDEX(Raw!$I$2:$I$1001,MATCH($K43,Raw!$S$2:$S$1001,0))&lt;&gt;0,"",INDEX(Raw!$J$2:$J$1001,MATCH($K43,Raw!$S$2:$S$1001,0))))</f>
        <v>5603</v>
      </c>
      <c r="R43" s="16" t="n">
        <f aca="false">IF($K43="","",IF(INDEX(Raw!$I$2:$I$1001,MATCH($K43,Raw!$S$2:$S$1001,0))&lt;&gt;0,"",INDEX(Raw!$O$2:$O$1001,MATCH($K43,Raw!$S$2:$S$1001,0))))</f>
        <v>-9.426</v>
      </c>
      <c r="S43" s="21" t="str">
        <f aca="false">IF($B43="","",IF($C43=0,"",IF(INDEX(Setup!$D$37:$D$49,$C43-36)="","",INDEX(Setup!$D$37:$D$49,$C43-36))))</f>
        <v/>
      </c>
      <c r="T43" s="21" t="str">
        <f aca="false">IF($B43="","",IF($C43=0,"",IF(INDEX(Setup!$C$37:$C$49,$C43-36)="","",INDEX(Setup!$C$37:$C$49,$C43-36))))</f>
        <v/>
      </c>
      <c r="U43" s="21" t="n">
        <f aca="false">IF($B43="","",IF($C43=0,"",IF(INDEX(Setup!$F$37:$F$49,$C43-36)="","",INDEX(Setup!$F$37:$F$49,$C43-36))))</f>
        <v>10.36</v>
      </c>
      <c r="V43" s="21" t="n">
        <f aca="false">IF($B43="","",IF($C43=0,"",IF(INDEX(Setup!$E$37:$E$49,$C43-36)="","",INDEX(Setup!$E$37:$E$49,$C43-36))))</f>
        <v>71.09</v>
      </c>
      <c r="W43" s="16" t="n">
        <f aca="false">IF($O43="","",IF(OR(Fits!$C$5&lt;&gt;"Yes",$D43="Blank",$L43&lt;=Fits!$B$6),$O43,($L43*$O43-Fits!$B$6*Fits!$B$7)/($L43-Fits!$B$6)))</f>
        <v>-6.426</v>
      </c>
      <c r="X43" s="16" t="n">
        <f aca="false">IF($W43="","",$W43-Fits!$B$20*($L43-Fits!$B$16))</f>
        <v>-6.426</v>
      </c>
      <c r="Y43" s="22" t="n">
        <f aca="false">IF($W43="","",IF(OR(Fits!$B$38="Row",$BI43=""),$A43,$BI43))</f>
        <v>38</v>
      </c>
      <c r="Z43" s="16" t="n">
        <f aca="false">IF($X43="","",$X43-Fits!$B$39*($Y43-Fits!$B$40))</f>
        <v>-6.36357775002344</v>
      </c>
      <c r="AA43" s="23" t="n">
        <f aca="false">IF(OR($Z43="",Fits!$B$55&lt;2),"",Fits!$B$56*$Z43+Fits!$B$57)</f>
        <v>-5.50556545227029</v>
      </c>
      <c r="AB43" s="16" t="n">
        <f aca="false">IF($R43="","",IF(OR(Fits!$C$9&lt;&gt;"Yes",$D43="Blank",$P43&lt;=Fits!$B$10),$R43,($P43*$R43-Fits!$B$10*Fits!$B$11)/($P43-Fits!$B$10)))</f>
        <v>-9.426</v>
      </c>
      <c r="AC43" s="16" t="n">
        <f aca="false">IF($AB43="","",$AB43-Fits!$B$28*($P43-Fits!$B$24))</f>
        <v>-9.42605804715544</v>
      </c>
      <c r="AD43" s="22" t="n">
        <f aca="false">IF($AB43="","",IF(OR(Fits!$B$50="Row",$BI43=""),$A43,$BI43))</f>
        <v>38</v>
      </c>
      <c r="AE43" s="16" t="n">
        <f aca="false">IF($AC43="","",$AC43-Fits!$B$51*($AD43-Fits!$B$52))</f>
        <v>-9.43704817752208</v>
      </c>
      <c r="AF43" s="23" t="n">
        <f aca="false">IF(OR($AE43="",Fits!$B$62&lt;2),"",Fits!$B$63*$AE43+Fits!$B$64)</f>
        <v>-26.5628288897423</v>
      </c>
      <c r="AG43" s="21" t="n">
        <f aca="false">IF(OR($L43="",Fits!$B$69&lt;3),"",($L43-Fits!$B$71)/Fits!$B$70)</f>
        <v>41.6530919056911</v>
      </c>
      <c r="AH43" s="21" t="n">
        <f aca="false">IF(OR($P43="",Fits!$B$75&lt;3),"",($P43-Fits!$B$77)/Fits!$B$76)</f>
        <v>286.640667427059</v>
      </c>
      <c r="AI43" s="23" t="n">
        <f aca="false">IF(OR($AG43="",$G43="",$G43=0),"",$AG43/($G43*1000)*100)</f>
        <v>10.571850737485</v>
      </c>
      <c r="AJ43" s="23" t="n">
        <f aca="false">IF(OR($AH43="",$G43="",$G43=0),"",$AH43/($G43*1000)*100)</f>
        <v>72.7514384332637</v>
      </c>
      <c r="AK43" s="23" t="n">
        <f aca="false">IF(OR($AG43="",$AH43="",$AG43&lt;=0),"",($AH43/Setup!$B$52)/($AG43/Setup!$B$53))</f>
        <v>8.02521217758307</v>
      </c>
      <c r="AL43" s="23" t="n">
        <f aca="false">IF(OR($AG43="",$AH43="",$AG43&lt;=0),"",$AH43/$AG43)</f>
        <v>6.88161800992006</v>
      </c>
      <c r="AM43" s="9" t="str">
        <f aca="false">IF($D43="Linearity",IF($L43="","",$L43),"")</f>
        <v/>
      </c>
      <c r="AN43" s="9" t="str">
        <f aca="false">IF($D43="Linearity",IF($W43="","",$W43),"")</f>
        <v/>
      </c>
      <c r="AO43" s="9" t="str">
        <f aca="false">IF($D43="Linearity",IF($P43="","",$P43),"")</f>
        <v/>
      </c>
      <c r="AP43" s="9" t="str">
        <f aca="false">IF($D43="Linearity",IF($AB43="","",$AB43),"")</f>
        <v/>
      </c>
      <c r="AQ43" s="9" t="n">
        <f aca="false">IF($D43="Drift",IF($A43&lt;IF(Setup!$B$14="",0,Setup!$B$14),"",$A43),"")</f>
        <v>38</v>
      </c>
      <c r="AR43" s="22" t="n">
        <f aca="false">IF($D43="Drift",IF($A43&lt;IF(Setup!$B$14="",0,Setup!$B$14),"",IF($BI43="","",$BI43)),"")</f>
        <v>23.6</v>
      </c>
      <c r="AS43" s="24" t="n">
        <f aca="false">IF($D43="Drift",IF($A43&lt;IF(Setup!$B$14="",0,Setup!$B$14),"",IF(OR($X43="",$BX43=1),"",$X43)),"")</f>
        <v>-6.426</v>
      </c>
      <c r="AT43" s="24" t="n">
        <f aca="false">IF($D43="Drift",IF($A43&lt;IF(Setup!$B$14="",0,Setup!$B$14),"",IF(OR($AC43="",$BY43=1),"",$AC43)),"")</f>
        <v>-9.42605804715544</v>
      </c>
      <c r="AU43" s="9" t="str">
        <f aca="false">IF($D43="Anchor",IF(OR($Z43="",$S43=""),"",$Z43),"")</f>
        <v/>
      </c>
      <c r="AV43" s="9" t="str">
        <f aca="false">IF($D43="Anchor",IF(OR($Z43="",$S43=""),"",$S43),"")</f>
        <v/>
      </c>
      <c r="AW43" s="9" t="str">
        <f aca="false">IF($D43="Anchor",IF(OR($AE43="",$T43=""),"",$AE43),"")</f>
        <v/>
      </c>
      <c r="AX43" s="9" t="str">
        <f aca="false">IF($D43="Anchor",IF(OR($AE43="",$T43=""),"",$T43),"")</f>
        <v/>
      </c>
      <c r="AY43" s="9" t="n">
        <f aca="false">IF(OR($D43="Blank",$D43="Exclude",$D43="Sample",$D43="",$G43="",$U43="",$L43=""),"",$G43*1000*$U43/100)</f>
        <v>40.8184</v>
      </c>
      <c r="AZ43" s="24" t="n">
        <f aca="false">IF($AY43="","",$L43)</f>
        <v>27.2</v>
      </c>
      <c r="BA43" s="9" t="n">
        <f aca="false">IF(OR($D43="Blank",$D43="Exclude",$D43="Sample",$D43="",$G43="",$V43="",$P43=""),"",$G43*1000*$V43/100)</f>
        <v>280.0946</v>
      </c>
      <c r="BB43" s="24" t="n">
        <f aca="false">IF($BA43="","",$P43)</f>
        <v>127.597</v>
      </c>
      <c r="BC43" s="9" t="str">
        <f aca="false">IF(AND($D43="Blank",$L43&lt;&gt;""),$O43,"")</f>
        <v/>
      </c>
      <c r="BD43" s="9" t="str">
        <f aca="false">IF($BC43="","",$L43)</f>
        <v/>
      </c>
      <c r="BE43" s="9" t="str">
        <f aca="false">IF(AND($D43="Blank",$P43&lt;&gt;""),$R43,"")</f>
        <v/>
      </c>
      <c r="BF43" s="9" t="str">
        <f aca="false">IF($BE43="","",$P43)</f>
        <v/>
      </c>
      <c r="BG43" s="25" t="n">
        <f aca="false">IF(AND($D43="Drift",$BX43&lt;&gt;1),IF($AA43="","",$AA43),"")</f>
        <v>-5.50556545227029</v>
      </c>
      <c r="BH43" s="25" t="n">
        <f aca="false">IF(AND($D43="Drift",$BY43&lt;&gt;1),IF($AF43="","",$AF43),"")</f>
        <v>-26.5628288897423</v>
      </c>
      <c r="BI43" s="20" t="n">
        <f aca="false">IF($B43="","",IFERROR(INDEX(Raw!$G$2:$G$1001,MATCH($A43&amp;"|N|"&amp;SUMPRODUCT(MAX((Raw!$A$2:$A$1001=$A43)*(Raw!$R$2:$R$1001="N")*(Raw!$I$2:$I$1001=1)*Raw!$D$2:$D$1001)),Raw!$S$2:$S$1001,0)),""))</f>
        <v>23.6</v>
      </c>
      <c r="BJ43" s="21" t="n">
        <f aca="false">IF(OR($BI43="",Fits!$B$85&lt;=0),"",($BI43-Fits!$B$83)/Fits!$B$85)</f>
        <v>0.045045045045045</v>
      </c>
      <c r="BK43" s="9" t="str">
        <f aca="false">IF($AS43="","",IF($A43&gt;=Fits!$B$86,"",$A43))</f>
        <v/>
      </c>
      <c r="BL43" s="9" t="str">
        <f aca="false">IF($BK43="","",$X43)</f>
        <v/>
      </c>
      <c r="BM43" s="9" t="n">
        <f aca="false">IF($AS43="","",IF($A43&lt;Fits!$B$86,"",$A43))</f>
        <v>38</v>
      </c>
      <c r="BN43" s="24" t="n">
        <f aca="false">IF($BM43="","",$X43)</f>
        <v>-6.426</v>
      </c>
      <c r="BO43" s="24" t="n">
        <f aca="false">IF(AND($D43="Drift",$BX43&lt;&gt;1),IF($O43="","",$O43),"")</f>
        <v>-6.426</v>
      </c>
      <c r="BP43" s="24" t="n">
        <f aca="false">IF(AND($D43="Drift",$BX43&lt;&gt;1),IF($W43="","",$W43),"")</f>
        <v>-6.426</v>
      </c>
      <c r="BQ43" s="24" t="n">
        <f aca="false">IF(AND($D43="Drift",$BX43&lt;&gt;1),IF($X43="","",$X43),"")</f>
        <v>-6.426</v>
      </c>
      <c r="BR43" s="24" t="n">
        <f aca="false">IF(AND($D43="Drift",$BX43&lt;&gt;1),IF($Z43="","",$Z43),"")</f>
        <v>-6.36357775002344</v>
      </c>
      <c r="BS43" s="9" t="n">
        <f aca="false">IF(OR($B43="",$H43=""),"",SUMPRODUCT(MIN((Raw!$A$2:$A$1001=$A43)*(Raw!$R$2:$R$1001="N")*(Raw!$I$2:$I$1001=0)*(Raw!$D$2:$D$1001&lt;$H43)*Raw!$D$2:$D$1001+(1-(Raw!$A$2:$A$1001=$A43)*(Raw!$R$2:$R$1001="N")*(Raw!$I$2:$I$1001=0)*(Raw!$D$2:$D$1001&lt;$H43))*9999)))</f>
        <v>1</v>
      </c>
      <c r="BT43" s="16" t="n">
        <f aca="false">IF(OR($BS43="",$BS43=9999,$BS43=0),"",IFERROR(INDEX(Raw!$N$2:$N$1001,MATCH($A43&amp;"|N|"&amp;$BS43,Raw!$S$2:$S$1001,0)),""))</f>
        <v>-1.186</v>
      </c>
      <c r="BU43" s="9" t="n">
        <f aca="false">IF($B43="","",SUMPRODUCT(MIN((Raw!$A$2:$A$1001=$A43)*(Raw!$R$2:$R$1001="C")*(Raw!$I$2:$I$1001=1)*Raw!$D$2:$D$1001+(1-(Raw!$A$2:$A$1001=$A43)*(Raw!$R$2:$R$1001="C")*(Raw!$I$2:$I$1001=1))*9999)))</f>
        <v>5</v>
      </c>
      <c r="BV43" s="9" t="n">
        <f aca="false">IF(OR($BU43="",$BU43=9999),"",SUMPRODUCT(MIN((Raw!$A$2:$A$1001=$A43)*(Raw!$R$2:$R$1001="C")*(Raw!$I$2:$I$1001=0)*(Raw!$D$2:$D$1001&gt;$BU43)*Raw!$D$2:$D$1001+(1-(Raw!$A$2:$A$1001=$A43)*(Raw!$R$2:$R$1001="C")*(Raw!$I$2:$I$1001=0)*(Raw!$D$2:$D$1001&gt;$BU43))*9999)))</f>
        <v>6</v>
      </c>
      <c r="BW43" s="16" t="n">
        <f aca="false">IF(OR($BV43="",$BV43=9999,$BV43=0),"",IFERROR(INDEX(Raw!$O$2:$O$1001,MATCH($A43&amp;"|C|"&amp;$BV43,Raw!$S$2:$S$1001,0)),""))</f>
        <v>-25.377</v>
      </c>
      <c r="BX43" s="9" t="n">
        <f aca="false">IF($B43="","",IF(ISNUMBER(SEARCH(","&amp;$A43&amp;",",","&amp;SUBSTITUTE(Setup!$B$16," ","")&amp;",")),1,0))</f>
        <v>0</v>
      </c>
      <c r="BY43" s="9" t="n">
        <f aca="false">IF($B43="","",IF(ISNUMBER(SEARCH(","&amp;$A43&amp;",",","&amp;SUBSTITUTE(Setup!$B$17," ","")&amp;",")),1,0))</f>
        <v>0</v>
      </c>
      <c r="BZ43" s="22" t="n">
        <f aca="false">IF($AS43="","",IF(Fits!$B$38="Row",$AQ43,IF($AR43="","",$AR43)))</f>
        <v>38</v>
      </c>
      <c r="CA43" s="22" t="n">
        <f aca="false">IF($AT43="","",IF(Fits!$B$50="Row",$AQ43,IF($AR43="","",$AR43)))</f>
        <v>38</v>
      </c>
      <c r="CB43" s="20" t="n">
        <f aca="false">IF(OR($D43&lt;&gt;"Drift",$X43="",$A43&lt;IF(Setup!$B$14="",0,Setup!$B$14),Fits!$B$107&lt;3,Fits!$B$110="",Fits!$B$109=0,IF(Fits!$B$38="Row",$AQ43,$AR43)=""),"",IF($BX43=1,IF(OR(Fits!$B$111="",Fits!$B$111=0),"",($X43-(IF(Fits!$B$38="Row",Fits!$B$32,Fits!$B$35)*IF(Fits!$B$38="Row",$AQ43,$AR43)+Fits!$B$110))/(Fits!$B$111*SQRT(1+(1/Fits!$B$107+(IF(Fits!$B$38="Row",$AQ43,$AR43)-Fits!$B$108)^2/Fits!$B$109)))),IF(OR(Fits!$B$107&lt;4,(1/Fits!$B$107+(IF(Fits!$B$38="Row",$AQ43,$AR43)-Fits!$B$108)^2/Fits!$B$109)&gt;=1),"",IF((Fits!$B$116-($X43-(IF(Fits!$B$38="Row",Fits!$B$32,Fits!$B$35)*IF(Fits!$B$38="Row",$AQ43,$AR43)+Fits!$B$110))^2/(1-(1/Fits!$B$107+(IF(Fits!$B$38="Row",$AQ43,$AR43)-Fits!$B$108)^2/Fits!$B$109)))&lt;=0,"",($X43-(IF(Fits!$B$38="Row",Fits!$B$32,Fits!$B$35)*IF(Fits!$B$38="Row",$AQ43,$AR43)+Fits!$B$110))/(SQRT((Fits!$B$116-($X43-(IF(Fits!$B$38="Row",Fits!$B$32,Fits!$B$35)*IF(Fits!$B$38="Row",$AQ43,$AR43)+Fits!$B$110))^2/(1-(1/Fits!$B$107+(IF(Fits!$B$38="Row",$AQ43,$AR43)-Fits!$B$108)^2/Fits!$B$109)))/(Fits!$B$107-3))*SQRT(1-(1/Fits!$B$107+(IF(Fits!$B$38="Row",$AQ43,$AR43)-Fits!$B$108)^2/Fits!$B$109)))))))</f>
        <v>-2.23018893958775</v>
      </c>
      <c r="CC43" s="20" t="n">
        <f aca="false">IF(OR($D43&lt;&gt;"Drift",$AC43="",$A43&lt;IF(Setup!$B$14="",0,Setup!$B$14),Fits!$B$120&lt;3,Fits!$B$123="",Fits!$B$122=0,IF(Fits!$B$50="Row",$AQ43,$AR43)=""),"",IF($BY43=1,IF(OR(Fits!$B$124="",Fits!$B$124=0),"",($AC43-(IF(Fits!$B$50="Row",Fits!$B$44,Fits!$B$47)*IF(Fits!$B$50="Row",$AQ43,$AR43)+Fits!$B$123))/(Fits!$B$124*SQRT(1+(1/Fits!$B$120+(IF(Fits!$B$50="Row",$AQ43,$AR43)-Fits!$B$121)^2/Fits!$B$122)))),IF(OR(Fits!$B$120&lt;4,(1/Fits!$B$120+(IF(Fits!$B$50="Row",$AQ43,$AR43)-Fits!$B$121)^2/Fits!$B$122)&gt;=1),"",IF((Fits!$B$129-($AC43-(IF(Fits!$B$50="Row",Fits!$B$44,Fits!$B$47)*IF(Fits!$B$50="Row",$AQ43,$AR43)+Fits!$B$123))^2/(1-(1/Fits!$B$120+(IF(Fits!$B$50="Row",$AQ43,$AR43)-Fits!$B$121)^2/Fits!$B$122)))&lt;=0,"",($AC43-(IF(Fits!$B$50="Row",Fits!$B$44,Fits!$B$47)*IF(Fits!$B$50="Row",$AQ43,$AR43)+Fits!$B$123))/(SQRT((Fits!$B$129-($AC43-(IF(Fits!$B$50="Row",Fits!$B$44,Fits!$B$47)*IF(Fits!$B$50="Row",$AQ43,$AR43)+Fits!$B$123))^2/(1-(1/Fits!$B$120+(IF(Fits!$B$50="Row",$AQ43,$AR43)-Fits!$B$121)^2/Fits!$B$122)))/(Fits!$B$120-3))*SQRT(1-(1/Fits!$B$120+(IF(Fits!$B$50="Row",$AQ43,$AR43)-Fits!$B$121)^2/Fits!$B$122)))))))</f>
        <v>0.97173174003388</v>
      </c>
      <c r="CD43" s="9" t="str">
        <f aca="false">IF($AU43="","",1)</f>
        <v/>
      </c>
      <c r="CE43" s="24" t="str">
        <f aca="false">IF($AU43="","",$AU43-Fits!$B$133)</f>
        <v/>
      </c>
      <c r="CF43" s="24" t="str">
        <f aca="false">IF($AU43="","",($AV43-(Fits!$B$56*$AU43+Fits!$B$57))-Fits!$B$56*($AU43-Fits!$B$133))</f>
        <v/>
      </c>
      <c r="CG43" s="25" t="str">
        <f aca="false">IF($AU43="","",$AU43^2)</f>
        <v/>
      </c>
      <c r="CH43" s="9" t="str">
        <f aca="false">IF($AW43="","",1)</f>
        <v/>
      </c>
      <c r="CI43" s="24" t="str">
        <f aca="false">IF($AW43="","",$AW43-Fits!$B$153)</f>
        <v/>
      </c>
      <c r="CJ43" s="24" t="str">
        <f aca="false">IF($AW43="","",($AX43-(Fits!$B$63*$AW43+Fits!$B$64))-Fits!$B$63*($AW43-Fits!$B$153))</f>
        <v/>
      </c>
      <c r="CK43" s="25" t="str">
        <f aca="false">IF($AW43="","",$AW43^2)</f>
        <v/>
      </c>
      <c r="CL43" s="26" t="n">
        <f aca="false">IF(OR($Z43="",Fits!$B$55&lt;3,Fits!$B$133="",Fits!$B$134="",Fits!$B$134=0,Fits!$B$136=""),"",SQRT((Fits!$B$136*Fits!$B$56)^2+SUMPRODUCT((Fits!$J$163:$J$175*(Fits!$B$163:$B$175/Fits!$B$55+Fits!$H$163:$H$175*($Z43-Fits!$B$133)/Fits!$B$134))^2)+SUMPRODUCT((Fits!$G$163:$G$175*(($Z43-Fits!$B$133)*Fits!$I$163:$I$175/Fits!$B$134-Fits!$B$163:$B$175*Fits!$B$56/Fits!$B$55))^2)))</f>
        <v>0.257500106648583</v>
      </c>
      <c r="CM43" s="26" t="n">
        <f aca="false">IF($CL43="","",Setup!$B$32*$CL43)</f>
        <v>0.515000213297166</v>
      </c>
      <c r="CN43" s="26" t="n">
        <f aca="false">IF(OR($AE43="",Fits!$B$62&lt;3,Fits!$B$153="",Fits!$B$154="",Fits!$B$154=0,Fits!$B$156=""),"",SQRT((Fits!$B$156*Fits!$B$63)^2+SUMPRODUCT((Fits!$J$183:$J$195*(Fits!$B$183:$B$195/Fits!$B$62+Fits!$H$183:$H$195*($AE43-Fits!$B$153)/Fits!$B$154))^2)+SUMPRODUCT((Fits!$G$183:$G$195*(($AE43-Fits!$B$153)*Fits!$I$183:$I$195/Fits!$B$154-Fits!$B$183:$B$195*Fits!$B$63/Fits!$B$62))^2)))</f>
        <v>0.0379256100500674</v>
      </c>
      <c r="CO43" s="26" t="n">
        <f aca="false">IF($CN43="","",Setup!$B$32*$CN43)</f>
        <v>0.0758512201001347</v>
      </c>
      <c r="CP43" s="9" t="n">
        <f aca="false">IF(OR(NOT(ISNUMBER($BJ43)),$EK43=1),$CP42,IF($BJ43&lt;=Setup!$B$26,$CP42+1,0))</f>
        <v>8</v>
      </c>
      <c r="CQ43" s="9" t="n">
        <f aca="false">IF($BT43="","",$A43)</f>
        <v>38</v>
      </c>
      <c r="CR43" s="9" t="n">
        <f aca="false">IF($BW43="","",$A43)</f>
        <v>38</v>
      </c>
      <c r="CS43" s="9" t="n">
        <f aca="false">IF($B43="","",IF(Setup!$A$37="",0,IF(ISNUMBER(SEARCH(Setup!$A$37,$B43)),37,0)))</f>
        <v>0</v>
      </c>
      <c r="CT43" s="9" t="n">
        <f aca="false">IF($B43="","",IF(Setup!$A$38="",0,IF(ISNUMBER(SEARCH(Setup!$A$38,$B43)),38,0)))</f>
        <v>0</v>
      </c>
      <c r="CU43" s="9" t="n">
        <f aca="false">IF($B43="","",IF(Setup!$A$39="",0,IF(ISNUMBER(SEARCH(Setup!$A$39,$B43)),39,0)))</f>
        <v>0</v>
      </c>
      <c r="CV43" s="9" t="n">
        <f aca="false">IF($B43="","",IF(Setup!$A$40="",0,IF(ISNUMBER(SEARCH(Setup!$A$40,$B43)),40,0)))</f>
        <v>0</v>
      </c>
      <c r="CW43" s="9" t="n">
        <f aca="false">IF($B43="","",IF(Setup!$A$41="",0,IF(ISNUMBER(SEARCH(Setup!$A$41,$B43)),41,0)))</f>
        <v>0</v>
      </c>
      <c r="CX43" s="9" t="n">
        <f aca="false">IF($B43="","",IF(Setup!$A$42="",0,IF(ISNUMBER(SEARCH(Setup!$A$42,$B43)),42,0)))</f>
        <v>0</v>
      </c>
      <c r="CY43" s="9" t="n">
        <f aca="false">IF($B43="","",IF(Setup!$A$43="",0,IF(ISNUMBER(SEARCH(Setup!$A$43,$B43)),43,0)))</f>
        <v>43</v>
      </c>
      <c r="CZ43" s="9" t="n">
        <f aca="false">IF($B43="","",IF(Setup!$A$44="",0,IF(ISNUMBER(SEARCH(Setup!$A$44,$B43)),44,0)))</f>
        <v>0</v>
      </c>
      <c r="DA43" s="9" t="n">
        <f aca="false">IF($B43="","",IF(Setup!$A$45="",0,IF(ISNUMBER(SEARCH(Setup!$A$45,$B43)),45,0)))</f>
        <v>0</v>
      </c>
      <c r="DB43" s="9" t="n">
        <f aca="false">IF($B43="","",IF(Setup!$A$46="",0,IF(ISNUMBER(SEARCH(Setup!$A$46,$B43)),46,0)))</f>
        <v>0</v>
      </c>
      <c r="DC43" s="9" t="n">
        <f aca="false">IF($B43="","",IF(Setup!$A$47="",0,IF(ISNUMBER(SEARCH(Setup!$A$47,$B43)),47,0)))</f>
        <v>0</v>
      </c>
      <c r="DD43" s="9" t="n">
        <f aca="false">IF($B43="","",IF(Setup!$A$48="",0,IF(ISNUMBER(SEARCH(Setup!$A$48,$B43)),48,0)))</f>
        <v>0</v>
      </c>
      <c r="DE43" s="9" t="n">
        <f aca="false">IF($B43="","",IF(Setup!$A$49="",0,IF(ISNUMBER(SEARCH(Setup!$A$49,$B43)),49,0)))</f>
        <v>0</v>
      </c>
      <c r="DF43" s="9" t="n">
        <f aca="false">IF($B43="",NA(),$A43)</f>
        <v>38</v>
      </c>
      <c r="DG43" s="22" t="n">
        <f aca="false">IF($BI43="",NA(),$BI43)</f>
        <v>23.6</v>
      </c>
      <c r="DH43" s="22" t="n">
        <f aca="false">IF($N43="",NA(),$N43)</f>
        <v>24.5</v>
      </c>
      <c r="DI43" s="22" t="n">
        <f aca="false">IF(AND($D43="Drift",$N43&lt;&gt;""),$N43,NA())</f>
        <v>24.5</v>
      </c>
      <c r="DJ43" s="22" t="n">
        <f aca="false">IF(AND($D43="Drift",$N43&lt;&gt;""),$N43,"")</f>
        <v>24.5</v>
      </c>
      <c r="DK43" s="9" t="n">
        <f aca="false">IF($DJ43="","",$A43)</f>
        <v>38</v>
      </c>
      <c r="DL43" s="9" t="e">
        <f aca="false">IF($AN43="",NA(),$AM43)</f>
        <v>#N/A</v>
      </c>
      <c r="DM43" s="9" t="e">
        <f aca="false">IF($AN43="",NA(),$AN43)</f>
        <v>#N/A</v>
      </c>
      <c r="DN43" s="9" t="e">
        <f aca="false">IF(AND($D43="Sample",$L43&lt;&gt;""),$L43,NA())</f>
        <v>#N/A</v>
      </c>
      <c r="DO43" s="9" t="e">
        <f aca="false">IF(AND($D43="Sample",$L43&lt;&gt;"",Fits!$B$98&lt;&gt;""),Fits!$B$98,NA())</f>
        <v>#N/A</v>
      </c>
      <c r="DP43" s="24" t="n">
        <f aca="false">IF($AS43="",NA(),$AS43)</f>
        <v>-6.426</v>
      </c>
      <c r="DQ43" s="9" t="e">
        <f aca="false">IF(AND($D43="Drift",$AS43="",$X43&lt;&gt;""),$X43,NA())</f>
        <v>#N/A</v>
      </c>
      <c r="DR43" s="24" t="n">
        <f aca="false">IF(AND($D43="Drift",$Z43&lt;&gt;""),$Z43,NA())</f>
        <v>-6.36357775002344</v>
      </c>
      <c r="DS43" s="9" t="e">
        <f aca="false">IF(AND(OR($D43="Sample",$D43="Check"),$AA43&lt;&gt;""),$AA43,NA())</f>
        <v>#N/A</v>
      </c>
      <c r="DT43" s="25" t="n">
        <f aca="false">IF(OR($B43="",Fits!$B$138=""),NA(),Fits!$B$138)</f>
        <v>1.76</v>
      </c>
      <c r="DU43" s="25" t="n">
        <f aca="false">IF(OR($B43="",Fits!$B$139=""),NA(),Fits!$B$139)</f>
        <v>20.68</v>
      </c>
      <c r="DV43" s="24" t="n">
        <f aca="false">IF($BT43="",NA(),$BT43)</f>
        <v>-1.186</v>
      </c>
      <c r="DW43" s="9" t="e">
        <f aca="false">IF($AP43="",NA(),$AO43)</f>
        <v>#N/A</v>
      </c>
      <c r="DX43" s="9" t="e">
        <f aca="false">IF($AP43="",NA(),$AP43)</f>
        <v>#N/A</v>
      </c>
      <c r="DY43" s="9" t="e">
        <f aca="false">IF(AND($D43="Sample",$P43&lt;&gt;""),$P43,NA())</f>
        <v>#N/A</v>
      </c>
      <c r="DZ43" s="9" t="e">
        <f aca="false">IF(AND($D43="Sample",$P43&lt;&gt;"",Fits!$B$105&lt;&gt;""),Fits!$B$105,NA())</f>
        <v>#N/A</v>
      </c>
      <c r="EA43" s="24" t="n">
        <f aca="false">IF($AT43="",NA(),$AT43)</f>
        <v>-9.42605804715544</v>
      </c>
      <c r="EB43" s="9" t="e">
        <f aca="false">IF(AND($D43="Drift",$AT43="",$AC43&lt;&gt;""),$AC43,NA())</f>
        <v>#N/A</v>
      </c>
      <c r="EC43" s="24" t="n">
        <f aca="false">IF(AND($D43="Drift",$AE43&lt;&gt;""),$AE43,NA())</f>
        <v>-9.43704817752208</v>
      </c>
      <c r="ED43" s="9" t="e">
        <f aca="false">IF(AND(OR($D43="Sample",$D43="Check"),$AF43&lt;&gt;""),$AF43,NA())</f>
        <v>#N/A</v>
      </c>
      <c r="EE43" s="25" t="n">
        <f aca="false">IF(OR($B43="",Fits!$B$158=""),NA(),Fits!$B$158)</f>
        <v>-40.81</v>
      </c>
      <c r="EF43" s="25" t="n">
        <f aca="false">IF(OR($B43="",Fits!$B$159=""),NA(),Fits!$B$159)</f>
        <v>-20.29</v>
      </c>
      <c r="EG43" s="24" t="n">
        <f aca="false">IF($BW43="",NA(),$BW43)</f>
        <v>-25.377</v>
      </c>
      <c r="EH43" s="9" t="e">
        <f aca="false">IF(AND($EN43=1,ISNUMBER($N43)),$N43,NA())</f>
        <v>#N/A</v>
      </c>
      <c r="EI43" s="9" t="n">
        <f aca="false">IF($B43="","",$A43)</f>
        <v>38</v>
      </c>
      <c r="EJ43" s="9" t="n">
        <f aca="false">IF(OR(AND(ISNUMBER($L43),Fits!$B$97&gt;0,$L43&gt;Fits!$B$97),AND(ISNUMBER($P43),Fits!$B$104&gt;0,$P43&gt;Fits!$B$104)),1,0)</f>
        <v>0</v>
      </c>
      <c r="EK43" s="9" t="n">
        <f aca="false">IF(OR($EJ42=1,$EJ41=1),1,0)</f>
        <v>0</v>
      </c>
      <c r="EL43" s="22" t="n">
        <f aca="false">IF(AND($EK43=0,ISNUMBER($N43)),$N43,$EL42)</f>
        <v>24.5</v>
      </c>
      <c r="EM43" s="9" t="str">
        <f aca="false">IF(AND($EK43=1,ISNUMBER($N43),ISNUMBER($EL43)),$N43-$EL43,"")</f>
        <v/>
      </c>
      <c r="EN43" s="9" t="n">
        <f aca="false">IF(Setup!$B$28="",0,IF(ISNUMBER($EM43),IF($EM43&gt;Setup!$B$28,1,0),0))</f>
        <v>0</v>
      </c>
      <c r="EO43" s="9" t="str">
        <f aca="false">IF($EN43=1,COUNTIF($EN$6:$EN43,1),"")</f>
        <v/>
      </c>
      <c r="EP43" s="9" t="n">
        <f aca="false">IF(AND($EJ42=1,OR($D43="Sample",$D43="Check")),1,0)</f>
        <v>0</v>
      </c>
      <c r="EQ43" s="9" t="str">
        <f aca="false">IF(ISNUMBER($BI43),IF(COUNT($BI$6:$BI43)&lt;=5,$BI43,""),"")</f>
        <v/>
      </c>
      <c r="ER43" s="9" t="n">
        <f aca="false">IF(OR(NOT(ISNUMBER($BJ43)),$EK43=1),$ER42,IF($BJ43&lt;=Setup!$B$26,IF($CP42=0,$A43,$ER42),""))</f>
        <v>27</v>
      </c>
    </row>
    <row r="44" customFormat="false" ht="15" hidden="false" customHeight="false" outlineLevel="0" collapsed="false">
      <c r="A44" s="8" t="n">
        <v>39</v>
      </c>
      <c r="B44" s="8" t="str">
        <f aca="false">IFERROR(INDEX(Raw!$B$2:$B$1001,MATCH($A44,Raw!$A$2:$A$1001,0)),"")</f>
        <v>Random</v>
      </c>
      <c r="C44" s="9" t="n">
        <f aca="false">IF($B44="","",MAX($CS44:$DE44))</f>
        <v>0</v>
      </c>
      <c r="D44" s="8" t="str">
        <f aca="false">IF($B44="","",IF($C44=0,"Sample",INDEX(Setup!$B$37:$B$49,$C44-36)))</f>
        <v>Sample</v>
      </c>
      <c r="E44" s="16" t="str">
        <f aca="false">IF($B44="","",IFERROR(IF(INDEX(Raw!$E$2:$E$1001,MATCH($A44,Raw!$A$2:$A$1001,0))=0,"",INDEX(Raw!$E$2:$E$1001,MATCH($A44,Raw!$A$2:$A$1001,0))),""))</f>
        <v/>
      </c>
      <c r="F44" s="18"/>
      <c r="G44" s="16" t="str">
        <f aca="false">IF($B44="","",IF($F44&lt;&gt;"",$F44,IF($E44="","",$E44)))</f>
        <v/>
      </c>
      <c r="H44" s="9" t="n">
        <f aca="false">IF($B44="","",SUMPRODUCT(MAX((Raw!$A$2:$A$1001=$A44)*(Raw!$R$2:$R$1001="N")*Raw!$D$2:$D$1001)))</f>
        <v>3</v>
      </c>
      <c r="I44" s="9" t="str">
        <f aca="false">IF(OR($H44="",$H44=0),"",$A44&amp;"|N|"&amp;$H44)</f>
        <v>39|N|3</v>
      </c>
      <c r="J44" s="9" t="n">
        <f aca="false">IF($B44="","",SUMPRODUCT(MIN((Raw!$A$2:$A$1001=$A44)*(Raw!$R$2:$R$1001="C")*Raw!$D$2:$D$1001+(1-(Raw!$A$2:$A$1001=$A44)*(Raw!$R$2:$R$1001="C"))*9999)))</f>
        <v>4</v>
      </c>
      <c r="K44" s="9" t="str">
        <f aca="false">IF(OR($J44="",$J44=0,$J44=9999),"",$A44&amp;"|C|"&amp;$J44)</f>
        <v>39|C|4</v>
      </c>
      <c r="L44" s="16" t="n">
        <f aca="false">IF($I44="","",IF(INDEX(Raw!$I$2:$I$1001,MATCH($I44,Raw!$S$2:$S$1001,0))&lt;&gt;0,"",INDEX(Raw!$H$2:$H$1001,MATCH($I44,Raw!$S$2:$S$1001,0))))</f>
        <v>13.845</v>
      </c>
      <c r="M44" s="19" t="n">
        <f aca="false">IF($I44="","",IF(INDEX(Raw!$I$2:$I$1001,MATCH($I44,Raw!$S$2:$S$1001,0))&lt;&gt;0,"",INDEX(Raw!$F$2:$F$1001,MATCH($I44,Raw!$S$2:$S$1001,0))))</f>
        <v>747</v>
      </c>
      <c r="N44" s="20" t="n">
        <f aca="false">IF($I44="","",IF(INDEX(Raw!$I$2:$I$1001,MATCH($I44,Raw!$S$2:$S$1001,0))&lt;&gt;0,"",INDEX(Raw!$G$2:$G$1001,MATCH($I44,Raw!$S$2:$S$1001,0))))</f>
        <v>24.4</v>
      </c>
      <c r="O44" s="16" t="n">
        <f aca="false">IF($I44="","",IF(INDEX(Raw!$I$2:$I$1001,MATCH($I44,Raw!$S$2:$S$1001,0))&lt;&gt;0,"",INDEX(Raw!$N$2:$N$1001,MATCH($I44,Raw!$S$2:$S$1001,0))))</f>
        <v>-6.243</v>
      </c>
      <c r="P44" s="16" t="n">
        <f aca="false">IF($K44="","",IF(INDEX(Raw!$I$2:$I$1001,MATCH($K44,Raw!$S$2:$S$1001,0))&lt;&gt;0,"",INDEX(Raw!$K$2:$K$1001,MATCH($K44,Raw!$S$2:$S$1001,0))))</f>
        <v>62.657</v>
      </c>
      <c r="Q44" s="19" t="n">
        <f aca="false">IF($K44="","",IF(INDEX(Raw!$I$2:$I$1001,MATCH($K44,Raw!$S$2:$S$1001,0))&lt;&gt;0,"",INDEX(Raw!$J$2:$J$1001,MATCH($K44,Raw!$S$2:$S$1001,0))))</f>
        <v>2836</v>
      </c>
      <c r="R44" s="16" t="n">
        <f aca="false">IF($K44="","",IF(INDEX(Raw!$I$2:$I$1001,MATCH($K44,Raw!$S$2:$S$1001,0))&lt;&gt;0,"",INDEX(Raw!$O$2:$O$1001,MATCH($K44,Raw!$S$2:$S$1001,0))))</f>
        <v>-9.567</v>
      </c>
      <c r="S44" s="21" t="str">
        <f aca="false">IF($B44="","",IF($C44=0,"",IF(INDEX(Setup!$D$37:$D$49,$C44-36)="","",INDEX(Setup!$D$37:$D$49,$C44-36))))</f>
        <v/>
      </c>
      <c r="T44" s="21" t="str">
        <f aca="false">IF($B44="","",IF($C44=0,"",IF(INDEX(Setup!$C$37:$C$49,$C44-36)="","",INDEX(Setup!$C$37:$C$49,$C44-36))))</f>
        <v/>
      </c>
      <c r="U44" s="21" t="str">
        <f aca="false">IF($B44="","",IF($C44=0,"",IF(INDEX(Setup!$F$37:$F$49,$C44-36)="","",INDEX(Setup!$F$37:$F$49,$C44-36))))</f>
        <v/>
      </c>
      <c r="V44" s="21" t="str">
        <f aca="false">IF($B44="","",IF($C44=0,"",IF(INDEX(Setup!$E$37:$E$49,$C44-36)="","",INDEX(Setup!$E$37:$E$49,$C44-36))))</f>
        <v/>
      </c>
      <c r="W44" s="16" t="n">
        <f aca="false">IF($O44="","",IF(OR(Fits!$C$5&lt;&gt;"Yes",$D44="Blank",$L44&lt;=Fits!$B$6),$O44,($L44*$O44-Fits!$B$6*Fits!$B$7)/($L44-Fits!$B$6)))</f>
        <v>-6.243</v>
      </c>
      <c r="X44" s="16" t="n">
        <f aca="false">IF($W44="","",$W44-Fits!$B$20*($L44-Fits!$B$16))</f>
        <v>-6.243</v>
      </c>
      <c r="Y44" s="22" t="n">
        <f aca="false">IF($W44="","",IF(OR(Fits!$B$38="Row",$BI44=""),$A44,$BI44))</f>
        <v>39</v>
      </c>
      <c r="Z44" s="16" t="n">
        <f aca="false">IF($X44="","",$X44-Fits!$B$39*($Y44-Fits!$B$40))</f>
        <v>-6.16582340002899</v>
      </c>
      <c r="AA44" s="23" t="n">
        <f aca="false">IF(OR($Z44="",Fits!$B$55&lt;2),"",Fits!$B$56*$Z44+Fits!$B$57)</f>
        <v>-5.30255128288863</v>
      </c>
      <c r="AB44" s="16" t="n">
        <f aca="false">IF($R44="","",IF(OR(Fits!$C$9&lt;&gt;"Yes",$D44="Blank",$P44&lt;=Fits!$B$10),$R44,($P44*$R44-Fits!$B$10*Fits!$B$11)/($P44-Fits!$B$10)))</f>
        <v>-9.567</v>
      </c>
      <c r="AC44" s="16" t="n">
        <f aca="false">IF($AB44="","",$AB44-Fits!$B$28*($P44-Fits!$B$24))</f>
        <v>-9.4545332031445</v>
      </c>
      <c r="AD44" s="22" t="n">
        <f aca="false">IF($AB44="","",IF(OR(Fits!$B$50="Row",$BI44=""),$A44,$BI44))</f>
        <v>39</v>
      </c>
      <c r="AE44" s="16" t="n">
        <f aca="false">IF($AC44="","",$AC44-Fits!$B$51*($AD44-Fits!$B$52))</f>
        <v>-9.4681210006887</v>
      </c>
      <c r="AF44" s="23" t="n">
        <f aca="false">IF(OR($AE44="",Fits!$B$62&lt;2),"",Fits!$B$63*$AE44+Fits!$B$64)</f>
        <v>-26.5943414117116</v>
      </c>
      <c r="AG44" s="21" t="n">
        <f aca="false">IF(OR($L44="",Fits!$B$69&lt;3),"",($L44-Fits!$B$71)/Fits!$B$70)</f>
        <v>19.5918555076523</v>
      </c>
      <c r="AH44" s="21" t="n">
        <f aca="false">IF(OR($P44="",Fits!$B$75&lt;3),"",($P44-Fits!$B$77)/Fits!$B$76)</f>
        <v>138.729833929335</v>
      </c>
      <c r="AI44" s="23" t="str">
        <f aca="false">IF(OR($AG44="",$G44="",$G44=0),"",$AG44/($G44*1000)*100)</f>
        <v/>
      </c>
      <c r="AJ44" s="23" t="str">
        <f aca="false">IF(OR($AH44="",$G44="",$G44=0),"",$AH44/($G44*1000)*100)</f>
        <v/>
      </c>
      <c r="AK44" s="23" t="n">
        <f aca="false">IF(OR($AG44="",$AH44="",$AG44&lt;=0),"",($AH44/Setup!$B$52)/($AG44/Setup!$B$53))</f>
        <v>8.25772201628924</v>
      </c>
      <c r="AL44" s="23" t="n">
        <f aca="false">IF(OR($AG44="",$AH44="",$AG44&lt;=0),"",$AH44/$AG44)</f>
        <v>7.08099515511173</v>
      </c>
      <c r="AM44" s="9" t="str">
        <f aca="false">IF($D44="Linearity",IF($L44="","",$L44),"")</f>
        <v/>
      </c>
      <c r="AN44" s="9" t="str">
        <f aca="false">IF($D44="Linearity",IF($W44="","",$W44),"")</f>
        <v/>
      </c>
      <c r="AO44" s="9" t="str">
        <f aca="false">IF($D44="Linearity",IF($P44="","",$P44),"")</f>
        <v/>
      </c>
      <c r="AP44" s="9" t="str">
        <f aca="false">IF($D44="Linearity",IF($AB44="","",$AB44),"")</f>
        <v/>
      </c>
      <c r="AQ44" s="9" t="str">
        <f aca="false">IF($D44="Drift",IF($A44&lt;IF(Setup!$B$14="",0,Setup!$B$14),"",$A44),"")</f>
        <v/>
      </c>
      <c r="AR44" s="9" t="str">
        <f aca="false">IF($D44="Drift",IF($A44&lt;IF(Setup!$B$14="",0,Setup!$B$14),"",IF($BI44="","",$BI44)),"")</f>
        <v/>
      </c>
      <c r="AS44" s="9" t="str">
        <f aca="false">IF($D44="Drift",IF($A44&lt;IF(Setup!$B$14="",0,Setup!$B$14),"",IF(OR($X44="",$BX44=1),"",$X44)),"")</f>
        <v/>
      </c>
      <c r="AT44" s="9" t="str">
        <f aca="false">IF($D44="Drift",IF($A44&lt;IF(Setup!$B$14="",0,Setup!$B$14),"",IF(OR($AC44="",$BY44=1),"",$AC44)),"")</f>
        <v/>
      </c>
      <c r="AU44" s="9" t="str">
        <f aca="false">IF($D44="Anchor",IF(OR($Z44="",$S44=""),"",$Z44),"")</f>
        <v/>
      </c>
      <c r="AV44" s="9" t="str">
        <f aca="false">IF($D44="Anchor",IF(OR($Z44="",$S44=""),"",$S44),"")</f>
        <v/>
      </c>
      <c r="AW44" s="9" t="str">
        <f aca="false">IF($D44="Anchor",IF(OR($AE44="",$T44=""),"",$AE44),"")</f>
        <v/>
      </c>
      <c r="AX44" s="9" t="str">
        <f aca="false">IF($D44="Anchor",IF(OR($AE44="",$T44=""),"",$T44),"")</f>
        <v/>
      </c>
      <c r="AY44" s="9" t="str">
        <f aca="false">IF(OR($D44="Blank",$D44="Exclude",$D44="Sample",$D44="",$G44="",$U44="",$L44=""),"",$G44*1000*$U44/100)</f>
        <v/>
      </c>
      <c r="AZ44" s="9" t="str">
        <f aca="false">IF($AY44="","",$L44)</f>
        <v/>
      </c>
      <c r="BA44" s="9" t="str">
        <f aca="false">IF(OR($D44="Blank",$D44="Exclude",$D44="Sample",$D44="",$G44="",$V44="",$P44=""),"",$G44*1000*$V44/100)</f>
        <v/>
      </c>
      <c r="BB44" s="9" t="str">
        <f aca="false">IF($BA44="","",$P44)</f>
        <v/>
      </c>
      <c r="BC44" s="9" t="str">
        <f aca="false">IF(AND($D44="Blank",$L44&lt;&gt;""),$O44,"")</f>
        <v/>
      </c>
      <c r="BD44" s="9" t="str">
        <f aca="false">IF($BC44="","",$L44)</f>
        <v/>
      </c>
      <c r="BE44" s="9" t="str">
        <f aca="false">IF(AND($D44="Blank",$P44&lt;&gt;""),$R44,"")</f>
        <v/>
      </c>
      <c r="BF44" s="9" t="str">
        <f aca="false">IF($BE44="","",$P44)</f>
        <v/>
      </c>
      <c r="BG44" s="9" t="str">
        <f aca="false">IF(AND($D44="Drift",$BX44&lt;&gt;1),IF($AA44="","",$AA44),"")</f>
        <v/>
      </c>
      <c r="BH44" s="9" t="str">
        <f aca="false">IF(AND($D44="Drift",$BY44&lt;&gt;1),IF($AF44="","",$AF44),"")</f>
        <v/>
      </c>
      <c r="BI44" s="20" t="n">
        <f aca="false">IF($B44="","",IFERROR(INDEX(Raw!$G$2:$G$1001,MATCH($A44&amp;"|N|"&amp;SUMPRODUCT(MAX((Raw!$A$2:$A$1001=$A44)*(Raw!$R$2:$R$1001="N")*(Raw!$I$2:$I$1001=1)*Raw!$D$2:$D$1001)),Raw!$S$2:$S$1001,0)),""))</f>
        <v>23.5</v>
      </c>
      <c r="BJ44" s="21" t="n">
        <f aca="false">IF(OR($BI44="",Fits!$B$85&lt;=0),"",($BI44-Fits!$B$83)/Fits!$B$85)</f>
        <v>0.0360360360360359</v>
      </c>
      <c r="BK44" s="9" t="str">
        <f aca="false">IF($AS44="","",IF($A44&gt;=Fits!$B$86,"",$A44))</f>
        <v/>
      </c>
      <c r="BL44" s="9" t="str">
        <f aca="false">IF($BK44="","",$X44)</f>
        <v/>
      </c>
      <c r="BM44" s="9" t="str">
        <f aca="false">IF($AS44="","",IF($A44&lt;Fits!$B$86,"",$A44))</f>
        <v/>
      </c>
      <c r="BN44" s="9" t="str">
        <f aca="false">IF($BM44="","",$X44)</f>
        <v/>
      </c>
      <c r="BO44" s="9" t="str">
        <f aca="false">IF(AND($D44="Drift",$BX44&lt;&gt;1),IF($O44="","",$O44),"")</f>
        <v/>
      </c>
      <c r="BP44" s="9" t="str">
        <f aca="false">IF(AND($D44="Drift",$BX44&lt;&gt;1),IF($W44="","",$W44),"")</f>
        <v/>
      </c>
      <c r="BQ44" s="9" t="str">
        <f aca="false">IF(AND($D44="Drift",$BX44&lt;&gt;1),IF($X44="","",$X44),"")</f>
        <v/>
      </c>
      <c r="BR44" s="9" t="str">
        <f aca="false">IF(AND($D44="Drift",$BX44&lt;&gt;1),IF($Z44="","",$Z44),"")</f>
        <v/>
      </c>
      <c r="BS44" s="9" t="n">
        <f aca="false">IF(OR($B44="",$H44=""),"",SUMPRODUCT(MIN((Raw!$A$2:$A$1001=$A44)*(Raw!$R$2:$R$1001="N")*(Raw!$I$2:$I$1001=0)*(Raw!$D$2:$D$1001&lt;$H44)*Raw!$D$2:$D$1001+(1-(Raw!$A$2:$A$1001=$A44)*(Raw!$R$2:$R$1001="N")*(Raw!$I$2:$I$1001=0)*(Raw!$D$2:$D$1001&lt;$H44))*9999)))</f>
        <v>1</v>
      </c>
      <c r="BT44" s="16" t="n">
        <f aca="false">IF(OR($BS44="",$BS44=9999,$BS44=0),"",IFERROR(INDEX(Raw!$N$2:$N$1001,MATCH($A44&amp;"|N|"&amp;$BS44,Raw!$S$2:$S$1001,0)),""))</f>
        <v>-1.196</v>
      </c>
      <c r="BU44" s="9" t="n">
        <f aca="false">IF($B44="","",SUMPRODUCT(MIN((Raw!$A$2:$A$1001=$A44)*(Raw!$R$2:$R$1001="C")*(Raw!$I$2:$I$1001=1)*Raw!$D$2:$D$1001+(1-(Raw!$A$2:$A$1001=$A44)*(Raw!$R$2:$R$1001="C")*(Raw!$I$2:$I$1001=1))*9999)))</f>
        <v>5</v>
      </c>
      <c r="BV44" s="9" t="n">
        <f aca="false">IF(OR($BU44="",$BU44=9999),"",SUMPRODUCT(MIN((Raw!$A$2:$A$1001=$A44)*(Raw!$R$2:$R$1001="C")*(Raw!$I$2:$I$1001=0)*(Raw!$D$2:$D$1001&gt;$BU44)*Raw!$D$2:$D$1001+(1-(Raw!$A$2:$A$1001=$A44)*(Raw!$R$2:$R$1001="C")*(Raw!$I$2:$I$1001=0)*(Raw!$D$2:$D$1001&gt;$BU44))*9999)))</f>
        <v>6</v>
      </c>
      <c r="BW44" s="16" t="n">
        <f aca="false">IF(OR($BV44="",$BV44=9999,$BV44=0),"",IFERROR(INDEX(Raw!$O$2:$O$1001,MATCH($A44&amp;"|C|"&amp;$BV44,Raw!$S$2:$S$1001,0)),""))</f>
        <v>-25.386</v>
      </c>
      <c r="BX44" s="9" t="n">
        <f aca="false">IF($B44="","",IF(ISNUMBER(SEARCH(","&amp;$A44&amp;",",","&amp;SUBSTITUTE(Setup!$B$16," ","")&amp;",")),1,0))</f>
        <v>0</v>
      </c>
      <c r="BY44" s="9" t="n">
        <f aca="false">IF($B44="","",IF(ISNUMBER(SEARCH(","&amp;$A44&amp;",",","&amp;SUBSTITUTE(Setup!$B$17," ","")&amp;",")),1,0))</f>
        <v>0</v>
      </c>
      <c r="BZ44" s="22" t="str">
        <f aca="false">IF($AS44="","",IF(Fits!$B$38="Row",$AQ44,IF($AR44="","",$AR44)))</f>
        <v/>
      </c>
      <c r="CA44" s="22" t="str">
        <f aca="false">IF($AT44="","",IF(Fits!$B$50="Row",$AQ44,IF($AR44="","",$AR44)))</f>
        <v/>
      </c>
      <c r="CB44" s="20" t="str">
        <f aca="false">IF(OR($D44&lt;&gt;"Drift",$X44="",$A44&lt;IF(Setup!$B$14="",0,Setup!$B$14),Fits!$B$107&lt;3,Fits!$B$110="",Fits!$B$109=0,IF(Fits!$B$38="Row",$AQ44,$AR44)=""),"",IF($BX44=1,IF(OR(Fits!$B$111="",Fits!$B$111=0),"",($X44-(IF(Fits!$B$38="Row",Fits!$B$32,Fits!$B$35)*IF(Fits!$B$38="Row",$AQ44,$AR44)+Fits!$B$110))/(Fits!$B$111*SQRT(1+(1/Fits!$B$107+(IF(Fits!$B$38="Row",$AQ44,$AR44)-Fits!$B$108)^2/Fits!$B$109)))),IF(OR(Fits!$B$107&lt;4,(1/Fits!$B$107+(IF(Fits!$B$38="Row",$AQ44,$AR44)-Fits!$B$108)^2/Fits!$B$109)&gt;=1),"",IF((Fits!$B$116-($X44-(IF(Fits!$B$38="Row",Fits!$B$32,Fits!$B$35)*IF(Fits!$B$38="Row",$AQ44,$AR44)+Fits!$B$110))^2/(1-(1/Fits!$B$107+(IF(Fits!$B$38="Row",$AQ44,$AR44)-Fits!$B$108)^2/Fits!$B$109)))&lt;=0,"",($X44-(IF(Fits!$B$38="Row",Fits!$B$32,Fits!$B$35)*IF(Fits!$B$38="Row",$AQ44,$AR44)+Fits!$B$110))/(SQRT((Fits!$B$116-($X44-(IF(Fits!$B$38="Row",Fits!$B$32,Fits!$B$35)*IF(Fits!$B$38="Row",$AQ44,$AR44)+Fits!$B$110))^2/(1-(1/Fits!$B$107+(IF(Fits!$B$38="Row",$AQ44,$AR44)-Fits!$B$108)^2/Fits!$B$109)))/(Fits!$B$107-3))*SQRT(1-(1/Fits!$B$107+(IF(Fits!$B$38="Row",$AQ44,$AR44)-Fits!$B$108)^2/Fits!$B$109)))))))</f>
        <v/>
      </c>
      <c r="CC44" s="20" t="str">
        <f aca="false">IF(OR($D44&lt;&gt;"Drift",$AC44="",$A44&lt;IF(Setup!$B$14="",0,Setup!$B$14),Fits!$B$120&lt;3,Fits!$B$123="",Fits!$B$122=0,IF(Fits!$B$50="Row",$AQ44,$AR44)=""),"",IF($BY44=1,IF(OR(Fits!$B$124="",Fits!$B$124=0),"",($AC44-(IF(Fits!$B$50="Row",Fits!$B$44,Fits!$B$47)*IF(Fits!$B$50="Row",$AQ44,$AR44)+Fits!$B$123))/(Fits!$B$124*SQRT(1+(1/Fits!$B$120+(IF(Fits!$B$50="Row",$AQ44,$AR44)-Fits!$B$121)^2/Fits!$B$122)))),IF(OR(Fits!$B$120&lt;4,(1/Fits!$B$120+(IF(Fits!$B$50="Row",$AQ44,$AR44)-Fits!$B$121)^2/Fits!$B$122)&gt;=1),"",IF((Fits!$B$129-($AC44-(IF(Fits!$B$50="Row",Fits!$B$44,Fits!$B$47)*IF(Fits!$B$50="Row",$AQ44,$AR44)+Fits!$B$123))^2/(1-(1/Fits!$B$120+(IF(Fits!$B$50="Row",$AQ44,$AR44)-Fits!$B$121)^2/Fits!$B$122)))&lt;=0,"",($AC44-(IF(Fits!$B$50="Row",Fits!$B$44,Fits!$B$47)*IF(Fits!$B$50="Row",$AQ44,$AR44)+Fits!$B$123))/(SQRT((Fits!$B$129-($AC44-(IF(Fits!$B$50="Row",Fits!$B$44,Fits!$B$47)*IF(Fits!$B$50="Row",$AQ44,$AR44)+Fits!$B$123))^2/(1-(1/Fits!$B$120+(IF(Fits!$B$50="Row",$AQ44,$AR44)-Fits!$B$121)^2/Fits!$B$122)))/(Fits!$B$120-3))*SQRT(1-(1/Fits!$B$120+(IF(Fits!$B$50="Row",$AQ44,$AR44)-Fits!$B$121)^2/Fits!$B$122)))))))</f>
        <v/>
      </c>
      <c r="CD44" s="9" t="str">
        <f aca="false">IF($AU44="","",1)</f>
        <v/>
      </c>
      <c r="CE44" s="24" t="str">
        <f aca="false">IF($AU44="","",$AU44-Fits!$B$133)</f>
        <v/>
      </c>
      <c r="CF44" s="24" t="str">
        <f aca="false">IF($AU44="","",($AV44-(Fits!$B$56*$AU44+Fits!$B$57))-Fits!$B$56*($AU44-Fits!$B$133))</f>
        <v/>
      </c>
      <c r="CG44" s="25" t="str">
        <f aca="false">IF($AU44="","",$AU44^2)</f>
        <v/>
      </c>
      <c r="CH44" s="9" t="str">
        <f aca="false">IF($AW44="","",1)</f>
        <v/>
      </c>
      <c r="CI44" s="24" t="str">
        <f aca="false">IF($AW44="","",$AW44-Fits!$B$153)</f>
        <v/>
      </c>
      <c r="CJ44" s="24" t="str">
        <f aca="false">IF($AW44="","",($AX44-(Fits!$B$63*$AW44+Fits!$B$64))-Fits!$B$63*($AW44-Fits!$B$153))</f>
        <v/>
      </c>
      <c r="CK44" s="25" t="str">
        <f aca="false">IF($AW44="","",$AW44^2)</f>
        <v/>
      </c>
      <c r="CL44" s="26" t="n">
        <f aca="false">IF(OR($Z44="",Fits!$B$55&lt;3,Fits!$B$133="",Fits!$B$134="",Fits!$B$134=0,Fits!$B$136=""),"",SQRT((Fits!$B$136*Fits!$B$56)^2+SUMPRODUCT((Fits!$J$163:$J$175*(Fits!$B$163:$B$175/Fits!$B$55+Fits!$H$163:$H$175*($Z44-Fits!$B$133)/Fits!$B$134))^2)+SUMPRODUCT((Fits!$G$163:$G$175*(($Z44-Fits!$B$133)*Fits!$I$163:$I$175/Fits!$B$134-Fits!$B$163:$B$175*Fits!$B$56/Fits!$B$55))^2)))</f>
        <v>0.25630772390919</v>
      </c>
      <c r="CM44" s="26" t="n">
        <f aca="false">IF($CL44="","",Setup!$B$32*$CL44)</f>
        <v>0.512615447818379</v>
      </c>
      <c r="CN44" s="26" t="n">
        <f aca="false">IF(OR($AE44="",Fits!$B$62&lt;3,Fits!$B$153="",Fits!$B$154="",Fits!$B$154=0,Fits!$B$156=""),"",SQRT((Fits!$B$156*Fits!$B$63)^2+SUMPRODUCT((Fits!$J$183:$J$195*(Fits!$B$183:$B$195/Fits!$B$62+Fits!$H$183:$H$195*($AE44-Fits!$B$153)/Fits!$B$154))^2)+SUMPRODUCT((Fits!$G$183:$G$195*(($AE44-Fits!$B$153)*Fits!$I$183:$I$195/Fits!$B$154-Fits!$B$183:$B$195*Fits!$B$63/Fits!$B$62))^2)))</f>
        <v>0.0378982604498682</v>
      </c>
      <c r="CO44" s="26" t="n">
        <f aca="false">IF($CN44="","",Setup!$B$32*$CN44)</f>
        <v>0.0757965208997364</v>
      </c>
      <c r="CP44" s="9" t="n">
        <f aca="false">IF(OR(NOT(ISNUMBER($BJ44)),$EK44=1),$CP43,IF($BJ44&lt;=Setup!$B$26,$CP43+1,0))</f>
        <v>9</v>
      </c>
      <c r="CQ44" s="9" t="n">
        <f aca="false">IF($BT44="","",$A44)</f>
        <v>39</v>
      </c>
      <c r="CR44" s="9" t="n">
        <f aca="false">IF($BW44="","",$A44)</f>
        <v>39</v>
      </c>
      <c r="CS44" s="9" t="n">
        <f aca="false">IF($B44="","",IF(Setup!$A$37="",0,IF(ISNUMBER(SEARCH(Setup!$A$37,$B44)),37,0)))</f>
        <v>0</v>
      </c>
      <c r="CT44" s="9" t="n">
        <f aca="false">IF($B44="","",IF(Setup!$A$38="",0,IF(ISNUMBER(SEARCH(Setup!$A$38,$B44)),38,0)))</f>
        <v>0</v>
      </c>
      <c r="CU44" s="9" t="n">
        <f aca="false">IF($B44="","",IF(Setup!$A$39="",0,IF(ISNUMBER(SEARCH(Setup!$A$39,$B44)),39,0)))</f>
        <v>0</v>
      </c>
      <c r="CV44" s="9" t="n">
        <f aca="false">IF($B44="","",IF(Setup!$A$40="",0,IF(ISNUMBER(SEARCH(Setup!$A$40,$B44)),40,0)))</f>
        <v>0</v>
      </c>
      <c r="CW44" s="9" t="n">
        <f aca="false">IF($B44="","",IF(Setup!$A$41="",0,IF(ISNUMBER(SEARCH(Setup!$A$41,$B44)),41,0)))</f>
        <v>0</v>
      </c>
      <c r="CX44" s="9" t="n">
        <f aca="false">IF($B44="","",IF(Setup!$A$42="",0,IF(ISNUMBER(SEARCH(Setup!$A$42,$B44)),42,0)))</f>
        <v>0</v>
      </c>
      <c r="CY44" s="9" t="n">
        <f aca="false">IF($B44="","",IF(Setup!$A$43="",0,IF(ISNUMBER(SEARCH(Setup!$A$43,$B44)),43,0)))</f>
        <v>0</v>
      </c>
      <c r="CZ44" s="9" t="n">
        <f aca="false">IF($B44="","",IF(Setup!$A$44="",0,IF(ISNUMBER(SEARCH(Setup!$A$44,$B44)),44,0)))</f>
        <v>0</v>
      </c>
      <c r="DA44" s="9" t="n">
        <f aca="false">IF($B44="","",IF(Setup!$A$45="",0,IF(ISNUMBER(SEARCH(Setup!$A$45,$B44)),45,0)))</f>
        <v>0</v>
      </c>
      <c r="DB44" s="9" t="n">
        <f aca="false">IF($B44="","",IF(Setup!$A$46="",0,IF(ISNUMBER(SEARCH(Setup!$A$46,$B44)),46,0)))</f>
        <v>0</v>
      </c>
      <c r="DC44" s="9" t="n">
        <f aca="false">IF($B44="","",IF(Setup!$A$47="",0,IF(ISNUMBER(SEARCH(Setup!$A$47,$B44)),47,0)))</f>
        <v>0</v>
      </c>
      <c r="DD44" s="9" t="n">
        <f aca="false">IF($B44="","",IF(Setup!$A$48="",0,IF(ISNUMBER(SEARCH(Setup!$A$48,$B44)),48,0)))</f>
        <v>0</v>
      </c>
      <c r="DE44" s="9" t="n">
        <f aca="false">IF($B44="","",IF(Setup!$A$49="",0,IF(ISNUMBER(SEARCH(Setup!$A$49,$B44)),49,0)))</f>
        <v>0</v>
      </c>
      <c r="DF44" s="9" t="n">
        <f aca="false">IF($B44="",NA(),$A44)</f>
        <v>39</v>
      </c>
      <c r="DG44" s="22" t="n">
        <f aca="false">IF($BI44="",NA(),$BI44)</f>
        <v>23.5</v>
      </c>
      <c r="DH44" s="22" t="n">
        <f aca="false">IF($N44="",NA(),$N44)</f>
        <v>24.4</v>
      </c>
      <c r="DI44" s="9" t="e">
        <f aca="false">IF(AND($D44="Drift",$N44&lt;&gt;""),$N44,NA())</f>
        <v>#N/A</v>
      </c>
      <c r="DJ44" s="9" t="str">
        <f aca="false">IF(AND($D44="Drift",$N44&lt;&gt;""),$N44,"")</f>
        <v/>
      </c>
      <c r="DK44" s="9" t="str">
        <f aca="false">IF($DJ44="","",$A44)</f>
        <v/>
      </c>
      <c r="DL44" s="9" t="e">
        <f aca="false">IF($AN44="",NA(),$AM44)</f>
        <v>#N/A</v>
      </c>
      <c r="DM44" s="9" t="e">
        <f aca="false">IF($AN44="",NA(),$AN44)</f>
        <v>#N/A</v>
      </c>
      <c r="DN44" s="24" t="n">
        <f aca="false">IF(AND($D44="Sample",$L44&lt;&gt;""),$L44,NA())</f>
        <v>13.845</v>
      </c>
      <c r="DO44" s="24" t="n">
        <f aca="false">IF(AND($D44="Sample",$L44&lt;&gt;"",Fits!$B$98&lt;&gt;""),Fits!$B$98,NA())</f>
        <v>-6.0577</v>
      </c>
      <c r="DP44" s="9" t="e">
        <f aca="false">IF($AS44="",NA(),$AS44)</f>
        <v>#N/A</v>
      </c>
      <c r="DQ44" s="9" t="e">
        <f aca="false">IF(AND($D44="Drift",$AS44="",$X44&lt;&gt;""),$X44,NA())</f>
        <v>#N/A</v>
      </c>
      <c r="DR44" s="9" t="e">
        <f aca="false">IF(AND($D44="Drift",$Z44&lt;&gt;""),$Z44,NA())</f>
        <v>#N/A</v>
      </c>
      <c r="DS44" s="25" t="n">
        <f aca="false">IF(AND(OR($D44="Sample",$D44="Check"),$AA44&lt;&gt;""),$AA44,NA())</f>
        <v>-5.30255128288863</v>
      </c>
      <c r="DT44" s="25" t="n">
        <f aca="false">IF(OR($B44="",Fits!$B$138=""),NA(),Fits!$B$138)</f>
        <v>1.76</v>
      </c>
      <c r="DU44" s="25" t="n">
        <f aca="false">IF(OR($B44="",Fits!$B$139=""),NA(),Fits!$B$139)</f>
        <v>20.68</v>
      </c>
      <c r="DV44" s="24" t="n">
        <f aca="false">IF($BT44="",NA(),$BT44)</f>
        <v>-1.196</v>
      </c>
      <c r="DW44" s="9" t="e">
        <f aca="false">IF($AP44="",NA(),$AO44)</f>
        <v>#N/A</v>
      </c>
      <c r="DX44" s="9" t="e">
        <f aca="false">IF($AP44="",NA(),$AP44)</f>
        <v>#N/A</v>
      </c>
      <c r="DY44" s="24" t="n">
        <f aca="false">IF(AND($D44="Sample",$P44&lt;&gt;""),$P44,NA())</f>
        <v>62.657</v>
      </c>
      <c r="DZ44" s="24" t="n">
        <f aca="false">IF(AND($D44="Sample",$P44&lt;&gt;"",Fits!$B$105&lt;&gt;""),Fits!$B$105,NA())</f>
        <v>-9.717</v>
      </c>
      <c r="EA44" s="9" t="e">
        <f aca="false">IF($AT44="",NA(),$AT44)</f>
        <v>#N/A</v>
      </c>
      <c r="EB44" s="9" t="e">
        <f aca="false">IF(AND($D44="Drift",$AT44="",$AC44&lt;&gt;""),$AC44,NA())</f>
        <v>#N/A</v>
      </c>
      <c r="EC44" s="9" t="e">
        <f aca="false">IF(AND($D44="Drift",$AE44&lt;&gt;""),$AE44,NA())</f>
        <v>#N/A</v>
      </c>
      <c r="ED44" s="25" t="n">
        <f aca="false">IF(AND(OR($D44="Sample",$D44="Check"),$AF44&lt;&gt;""),$AF44,NA())</f>
        <v>-26.5943414117116</v>
      </c>
      <c r="EE44" s="25" t="n">
        <f aca="false">IF(OR($B44="",Fits!$B$158=""),NA(),Fits!$B$158)</f>
        <v>-40.81</v>
      </c>
      <c r="EF44" s="25" t="n">
        <f aca="false">IF(OR($B44="",Fits!$B$159=""),NA(),Fits!$B$159)</f>
        <v>-20.29</v>
      </c>
      <c r="EG44" s="24" t="n">
        <f aca="false">IF($BW44="",NA(),$BW44)</f>
        <v>-25.386</v>
      </c>
      <c r="EH44" s="9" t="e">
        <f aca="false">IF(AND($EN44=1,ISNUMBER($N44)),$N44,NA())</f>
        <v>#N/A</v>
      </c>
      <c r="EI44" s="9" t="n">
        <f aca="false">IF($B44="","",$A44)</f>
        <v>39</v>
      </c>
      <c r="EJ44" s="9" t="n">
        <f aca="false">IF(OR(AND(ISNUMBER($L44),Fits!$B$97&gt;0,$L44&gt;Fits!$B$97),AND(ISNUMBER($P44),Fits!$B$104&gt;0,$P44&gt;Fits!$B$104)),1,0)</f>
        <v>0</v>
      </c>
      <c r="EK44" s="9" t="n">
        <f aca="false">IF(OR($EJ43=1,$EJ42=1),1,0)</f>
        <v>0</v>
      </c>
      <c r="EL44" s="22" t="n">
        <f aca="false">IF(AND($EK44=0,ISNUMBER($N44)),$N44,$EL43)</f>
        <v>24.4</v>
      </c>
      <c r="EM44" s="9" t="str">
        <f aca="false">IF(AND($EK44=1,ISNUMBER($N44),ISNUMBER($EL44)),$N44-$EL44,"")</f>
        <v/>
      </c>
      <c r="EN44" s="9" t="n">
        <f aca="false">IF(Setup!$B$28="",0,IF(ISNUMBER($EM44),IF($EM44&gt;Setup!$B$28,1,0),0))</f>
        <v>0</v>
      </c>
      <c r="EO44" s="9" t="str">
        <f aca="false">IF($EN44=1,COUNTIF($EN$6:$EN44,1),"")</f>
        <v/>
      </c>
      <c r="EP44" s="9" t="n">
        <f aca="false">IF(AND($EJ43=1,OR($D44="Sample",$D44="Check")),1,0)</f>
        <v>0</v>
      </c>
      <c r="EQ44" s="9" t="str">
        <f aca="false">IF(ISNUMBER($BI44),IF(COUNT($BI$6:$BI44)&lt;=5,$BI44,""),"")</f>
        <v/>
      </c>
      <c r="ER44" s="9" t="n">
        <f aca="false">IF(OR(NOT(ISNUMBER($BJ44)),$EK44=1),$ER43,IF($BJ44&lt;=Setup!$B$26,IF($CP43=0,$A44,$ER43),""))</f>
        <v>27</v>
      </c>
    </row>
    <row r="45" customFormat="false" ht="15" hidden="false" customHeight="false" outlineLevel="0" collapsed="false">
      <c r="A45" s="8" t="n">
        <v>40</v>
      </c>
      <c r="B45" s="8" t="str">
        <f aca="false">IFERROR(INDEX(Raw!$B$2:$B$1001,MATCH($A45,Raw!$A$2:$A$1001,0)),"")</f>
        <v>Random</v>
      </c>
      <c r="C45" s="9" t="n">
        <f aca="false">IF($B45="","",MAX($CS45:$DE45))</f>
        <v>0</v>
      </c>
      <c r="D45" s="8" t="str">
        <f aca="false">IF($B45="","",IF($C45=0,"Sample",INDEX(Setup!$B$37:$B$49,$C45-36)))</f>
        <v>Sample</v>
      </c>
      <c r="E45" s="16" t="str">
        <f aca="false">IF($B45="","",IFERROR(IF(INDEX(Raw!$E$2:$E$1001,MATCH($A45,Raw!$A$2:$A$1001,0))=0,"",INDEX(Raw!$E$2:$E$1001,MATCH($A45,Raw!$A$2:$A$1001,0))),""))</f>
        <v/>
      </c>
      <c r="F45" s="18"/>
      <c r="G45" s="16" t="str">
        <f aca="false">IF($B45="","",IF($F45&lt;&gt;"",$F45,IF($E45="","",$E45)))</f>
        <v/>
      </c>
      <c r="H45" s="9" t="n">
        <f aca="false">IF($B45="","",SUMPRODUCT(MAX((Raw!$A$2:$A$1001=$A45)*(Raw!$R$2:$R$1001="N")*Raw!$D$2:$D$1001)))</f>
        <v>3</v>
      </c>
      <c r="I45" s="9" t="str">
        <f aca="false">IF(OR($H45="",$H45=0),"",$A45&amp;"|N|"&amp;$H45)</f>
        <v>40|N|3</v>
      </c>
      <c r="J45" s="9" t="n">
        <f aca="false">IF($B45="","",SUMPRODUCT(MIN((Raw!$A$2:$A$1001=$A45)*(Raw!$R$2:$R$1001="C")*Raw!$D$2:$D$1001+(1-(Raw!$A$2:$A$1001=$A45)*(Raw!$R$2:$R$1001="C"))*9999)))</f>
        <v>4</v>
      </c>
      <c r="K45" s="9" t="str">
        <f aca="false">IF(OR($J45="",$J45=0,$J45=9999),"",$A45&amp;"|C|"&amp;$J45)</f>
        <v>40|C|4</v>
      </c>
      <c r="L45" s="16" t="n">
        <f aca="false">IF($I45="","",IF(INDEX(Raw!$I$2:$I$1001,MATCH($I45,Raw!$S$2:$S$1001,0))&lt;&gt;0,"",INDEX(Raw!$H$2:$H$1001,MATCH($I45,Raw!$S$2:$S$1001,0))))</f>
        <v>2.809</v>
      </c>
      <c r="M45" s="19" t="n">
        <f aca="false">IF($I45="","",IF(INDEX(Raw!$I$2:$I$1001,MATCH($I45,Raw!$S$2:$S$1001,0))&lt;&gt;0,"",INDEX(Raw!$F$2:$F$1001,MATCH($I45,Raw!$S$2:$S$1001,0))))</f>
        <v>157</v>
      </c>
      <c r="N45" s="20" t="n">
        <f aca="false">IF($I45="","",IF(INDEX(Raw!$I$2:$I$1001,MATCH($I45,Raw!$S$2:$S$1001,0))&lt;&gt;0,"",INDEX(Raw!$G$2:$G$1001,MATCH($I45,Raw!$S$2:$S$1001,0))))</f>
        <v>24.3</v>
      </c>
      <c r="O45" s="16" t="n">
        <f aca="false">IF($I45="","",IF(INDEX(Raw!$I$2:$I$1001,MATCH($I45,Raw!$S$2:$S$1001,0))&lt;&gt;0,"",INDEX(Raw!$N$2:$N$1001,MATCH($I45,Raw!$S$2:$S$1001,0))))</f>
        <v>1.348</v>
      </c>
      <c r="P45" s="16" t="n">
        <f aca="false">IF($K45="","",IF(INDEX(Raw!$I$2:$I$1001,MATCH($K45,Raw!$S$2:$S$1001,0))&lt;&gt;0,"",INDEX(Raw!$K$2:$K$1001,MATCH($K45,Raw!$S$2:$S$1001,0))))</f>
        <v>22.965</v>
      </c>
      <c r="Q45" s="19" t="n">
        <f aca="false">IF($K45="","",IF(INDEX(Raw!$I$2:$I$1001,MATCH($K45,Raw!$S$2:$S$1001,0))&lt;&gt;0,"",INDEX(Raw!$J$2:$J$1001,MATCH($K45,Raw!$S$2:$S$1001,0))))</f>
        <v>1041</v>
      </c>
      <c r="R45" s="16" t="n">
        <f aca="false">IF($K45="","",IF(INDEX(Raw!$I$2:$I$1001,MATCH($K45,Raw!$S$2:$S$1001,0))&lt;&gt;0,"",INDEX(Raw!$O$2:$O$1001,MATCH($K45,Raw!$S$2:$S$1001,0))))</f>
        <v>-10.776</v>
      </c>
      <c r="S45" s="21" t="str">
        <f aca="false">IF($B45="","",IF($C45=0,"",IF(INDEX(Setup!$D$37:$D$49,$C45-36)="","",INDEX(Setup!$D$37:$D$49,$C45-36))))</f>
        <v/>
      </c>
      <c r="T45" s="21" t="str">
        <f aca="false">IF($B45="","",IF($C45=0,"",IF(INDEX(Setup!$C$37:$C$49,$C45-36)="","",INDEX(Setup!$C$37:$C$49,$C45-36))))</f>
        <v/>
      </c>
      <c r="U45" s="21" t="str">
        <f aca="false">IF($B45="","",IF($C45=0,"",IF(INDEX(Setup!$F$37:$F$49,$C45-36)="","",INDEX(Setup!$F$37:$F$49,$C45-36))))</f>
        <v/>
      </c>
      <c r="V45" s="21" t="str">
        <f aca="false">IF($B45="","",IF($C45=0,"",IF(INDEX(Setup!$E$37:$E$49,$C45-36)="","",INDEX(Setup!$E$37:$E$49,$C45-36))))</f>
        <v/>
      </c>
      <c r="W45" s="16" t="n">
        <f aca="false">IF($O45="","",IF(OR(Fits!$C$5&lt;&gt;"Yes",$D45="Blank",$L45&lt;=Fits!$B$6),$O45,($L45*$O45-Fits!$B$6*Fits!$B$7)/($L45-Fits!$B$6)))</f>
        <v>1.348</v>
      </c>
      <c r="X45" s="16" t="n">
        <f aca="false">IF($W45="","",$W45-Fits!$B$20*($L45-Fits!$B$16))</f>
        <v>1.348</v>
      </c>
      <c r="Y45" s="22" t="n">
        <f aca="false">IF($W45="","",IF(OR(Fits!$B$38="Row",$BI45=""),$A45,$BI45))</f>
        <v>40</v>
      </c>
      <c r="Z45" s="16" t="n">
        <f aca="false">IF($X45="","",$X45-Fits!$B$39*($Y45-Fits!$B$40))</f>
        <v>1.43993094996547</v>
      </c>
      <c r="AA45" s="23" t="n">
        <f aca="false">IF(OR($Z45="",Fits!$B$55&lt;2),"",Fits!$B$56*$Z45+Fits!$B$57)</f>
        <v>2.50549896697098</v>
      </c>
      <c r="AB45" s="16" t="n">
        <f aca="false">IF($R45="","",IF(OR(Fits!$C$9&lt;&gt;"Yes",$D45="Blank",$P45&lt;=Fits!$B$10),$R45,($P45*$R45-Fits!$B$10*Fits!$B$11)/($P45-Fits!$B$10)))</f>
        <v>-10.776</v>
      </c>
      <c r="AC45" s="16" t="n">
        <f aca="false">IF($AB45="","",$AB45-Fits!$B$28*($P45-Fits!$B$24))</f>
        <v>-10.5947568540764</v>
      </c>
      <c r="AD45" s="22" t="n">
        <f aca="false">IF($AB45="","",IF(OR(Fits!$B$50="Row",$BI45=""),$A45,$BI45))</f>
        <v>40</v>
      </c>
      <c r="AE45" s="16" t="n">
        <f aca="false">IF($AC45="","",$AC45-Fits!$B$51*($AD45-Fits!$B$52))</f>
        <v>-10.6109423187982</v>
      </c>
      <c r="AF45" s="23" t="n">
        <f aca="false">IF(OR($AE45="",Fits!$B$62&lt;2),"",Fits!$B$63*$AE45+Fits!$B$64)</f>
        <v>-27.7533343265413</v>
      </c>
      <c r="AG45" s="21" t="n">
        <f aca="false">IF(OR($L45="",Fits!$B$69&lt;3),"",($L45-Fits!$B$71)/Fits!$B$70)</f>
        <v>1.36139463990575</v>
      </c>
      <c r="AH45" s="21" t="n">
        <f aca="false">IF(OR($P45="",Fits!$B$75&lt;3),"",($P45-Fits!$B$77)/Fits!$B$76)</f>
        <v>48.3252019122169</v>
      </c>
      <c r="AI45" s="23" t="str">
        <f aca="false">IF(OR($AG45="",$G45="",$G45=0),"",$AG45/($G45*1000)*100)</f>
        <v/>
      </c>
      <c r="AJ45" s="23" t="str">
        <f aca="false">IF(OR($AH45="",$G45="",$G45=0),"",$AH45/($G45*1000)*100)</f>
        <v/>
      </c>
      <c r="AK45" s="23" t="n">
        <f aca="false">IF(OR($AG45="",$AH45="",$AG45&lt;=0),"",($AH45/Setup!$B$52)/($AG45/Setup!$B$53))</f>
        <v>41.3957354285627</v>
      </c>
      <c r="AL45" s="23" t="n">
        <f aca="false">IF(OR($AG45="",$AH45="",$AG45&lt;=0),"",$AH45/$AG45)</f>
        <v>35.4968357415911</v>
      </c>
      <c r="AM45" s="9" t="str">
        <f aca="false">IF($D45="Linearity",IF($L45="","",$L45),"")</f>
        <v/>
      </c>
      <c r="AN45" s="9" t="str">
        <f aca="false">IF($D45="Linearity",IF($W45="","",$W45),"")</f>
        <v/>
      </c>
      <c r="AO45" s="9" t="str">
        <f aca="false">IF($D45="Linearity",IF($P45="","",$P45),"")</f>
        <v/>
      </c>
      <c r="AP45" s="9" t="str">
        <f aca="false">IF($D45="Linearity",IF($AB45="","",$AB45),"")</f>
        <v/>
      </c>
      <c r="AQ45" s="9" t="str">
        <f aca="false">IF($D45="Drift",IF($A45&lt;IF(Setup!$B$14="",0,Setup!$B$14),"",$A45),"")</f>
        <v/>
      </c>
      <c r="AR45" s="9" t="str">
        <f aca="false">IF($D45="Drift",IF($A45&lt;IF(Setup!$B$14="",0,Setup!$B$14),"",IF($BI45="","",$BI45)),"")</f>
        <v/>
      </c>
      <c r="AS45" s="9" t="str">
        <f aca="false">IF($D45="Drift",IF($A45&lt;IF(Setup!$B$14="",0,Setup!$B$14),"",IF(OR($X45="",$BX45=1),"",$X45)),"")</f>
        <v/>
      </c>
      <c r="AT45" s="9" t="str">
        <f aca="false">IF($D45="Drift",IF($A45&lt;IF(Setup!$B$14="",0,Setup!$B$14),"",IF(OR($AC45="",$BY45=1),"",$AC45)),"")</f>
        <v/>
      </c>
      <c r="AU45" s="9" t="str">
        <f aca="false">IF($D45="Anchor",IF(OR($Z45="",$S45=""),"",$Z45),"")</f>
        <v/>
      </c>
      <c r="AV45" s="9" t="str">
        <f aca="false">IF($D45="Anchor",IF(OR($Z45="",$S45=""),"",$S45),"")</f>
        <v/>
      </c>
      <c r="AW45" s="9" t="str">
        <f aca="false">IF($D45="Anchor",IF(OR($AE45="",$T45=""),"",$AE45),"")</f>
        <v/>
      </c>
      <c r="AX45" s="9" t="str">
        <f aca="false">IF($D45="Anchor",IF(OR($AE45="",$T45=""),"",$T45),"")</f>
        <v/>
      </c>
      <c r="AY45" s="9" t="str">
        <f aca="false">IF(OR($D45="Blank",$D45="Exclude",$D45="Sample",$D45="",$G45="",$U45="",$L45=""),"",$G45*1000*$U45/100)</f>
        <v/>
      </c>
      <c r="AZ45" s="9" t="str">
        <f aca="false">IF($AY45="","",$L45)</f>
        <v/>
      </c>
      <c r="BA45" s="9" t="str">
        <f aca="false">IF(OR($D45="Blank",$D45="Exclude",$D45="Sample",$D45="",$G45="",$V45="",$P45=""),"",$G45*1000*$V45/100)</f>
        <v/>
      </c>
      <c r="BB45" s="9" t="str">
        <f aca="false">IF($BA45="","",$P45)</f>
        <v/>
      </c>
      <c r="BC45" s="9" t="str">
        <f aca="false">IF(AND($D45="Blank",$L45&lt;&gt;""),$O45,"")</f>
        <v/>
      </c>
      <c r="BD45" s="9" t="str">
        <f aca="false">IF($BC45="","",$L45)</f>
        <v/>
      </c>
      <c r="BE45" s="9" t="str">
        <f aca="false">IF(AND($D45="Blank",$P45&lt;&gt;""),$R45,"")</f>
        <v/>
      </c>
      <c r="BF45" s="9" t="str">
        <f aca="false">IF($BE45="","",$P45)</f>
        <v/>
      </c>
      <c r="BG45" s="9" t="str">
        <f aca="false">IF(AND($D45="Drift",$BX45&lt;&gt;1),IF($AA45="","",$AA45),"")</f>
        <v/>
      </c>
      <c r="BH45" s="9" t="str">
        <f aca="false">IF(AND($D45="Drift",$BY45&lt;&gt;1),IF($AF45="","",$AF45),"")</f>
        <v/>
      </c>
      <c r="BI45" s="20" t="n">
        <f aca="false">IF($B45="","",IFERROR(INDEX(Raw!$G$2:$G$1001,MATCH($A45&amp;"|N|"&amp;SUMPRODUCT(MAX((Raw!$A$2:$A$1001=$A45)*(Raw!$R$2:$R$1001="N")*(Raw!$I$2:$I$1001=1)*Raw!$D$2:$D$1001)),Raw!$S$2:$S$1001,0)),""))</f>
        <v>23.4</v>
      </c>
      <c r="BJ45" s="21" t="n">
        <f aca="false">IF(OR($BI45="",Fits!$B$85&lt;=0),"",($BI45-Fits!$B$83)/Fits!$B$85)</f>
        <v>0.0270270270270268</v>
      </c>
      <c r="BK45" s="9" t="str">
        <f aca="false">IF($AS45="","",IF($A45&gt;=Fits!$B$86,"",$A45))</f>
        <v/>
      </c>
      <c r="BL45" s="9" t="str">
        <f aca="false">IF($BK45="","",$X45)</f>
        <v/>
      </c>
      <c r="BM45" s="9" t="str">
        <f aca="false">IF($AS45="","",IF($A45&lt;Fits!$B$86,"",$A45))</f>
        <v/>
      </c>
      <c r="BN45" s="9" t="str">
        <f aca="false">IF($BM45="","",$X45)</f>
        <v/>
      </c>
      <c r="BO45" s="9" t="str">
        <f aca="false">IF(AND($D45="Drift",$BX45&lt;&gt;1),IF($O45="","",$O45),"")</f>
        <v/>
      </c>
      <c r="BP45" s="9" t="str">
        <f aca="false">IF(AND($D45="Drift",$BX45&lt;&gt;1),IF($W45="","",$W45),"")</f>
        <v/>
      </c>
      <c r="BQ45" s="9" t="str">
        <f aca="false">IF(AND($D45="Drift",$BX45&lt;&gt;1),IF($X45="","",$X45),"")</f>
        <v/>
      </c>
      <c r="BR45" s="9" t="str">
        <f aca="false">IF(AND($D45="Drift",$BX45&lt;&gt;1),IF($Z45="","",$Z45),"")</f>
        <v/>
      </c>
      <c r="BS45" s="9" t="n">
        <f aca="false">IF(OR($B45="",$H45=""),"",SUMPRODUCT(MIN((Raw!$A$2:$A$1001=$A45)*(Raw!$R$2:$R$1001="N")*(Raw!$I$2:$I$1001=0)*(Raw!$D$2:$D$1001&lt;$H45)*Raw!$D$2:$D$1001+(1-(Raw!$A$2:$A$1001=$A45)*(Raw!$R$2:$R$1001="N")*(Raw!$I$2:$I$1001=0)*(Raw!$D$2:$D$1001&lt;$H45))*9999)))</f>
        <v>1</v>
      </c>
      <c r="BT45" s="16" t="n">
        <f aca="false">IF(OR($BS45="",$BS45=9999,$BS45=0),"",IFERROR(INDEX(Raw!$N$2:$N$1001,MATCH($A45&amp;"|N|"&amp;$BS45,Raw!$S$2:$S$1001,0)),""))</f>
        <v>-1.158</v>
      </c>
      <c r="BU45" s="9" t="n">
        <f aca="false">IF($B45="","",SUMPRODUCT(MIN((Raw!$A$2:$A$1001=$A45)*(Raw!$R$2:$R$1001="C")*(Raw!$I$2:$I$1001=1)*Raw!$D$2:$D$1001+(1-(Raw!$A$2:$A$1001=$A45)*(Raw!$R$2:$R$1001="C")*(Raw!$I$2:$I$1001=1))*9999)))</f>
        <v>5</v>
      </c>
      <c r="BV45" s="9" t="n">
        <f aca="false">IF(OR($BU45="",$BU45=9999),"",SUMPRODUCT(MIN((Raw!$A$2:$A$1001=$A45)*(Raw!$R$2:$R$1001="C")*(Raw!$I$2:$I$1001=0)*(Raw!$D$2:$D$1001&gt;$BU45)*Raw!$D$2:$D$1001+(1-(Raw!$A$2:$A$1001=$A45)*(Raw!$R$2:$R$1001="C")*(Raw!$I$2:$I$1001=0)*(Raw!$D$2:$D$1001&gt;$BU45))*9999)))</f>
        <v>6</v>
      </c>
      <c r="BW45" s="16" t="n">
        <f aca="false">IF(OR($BV45="",$BV45=9999,$BV45=0),"",IFERROR(INDEX(Raw!$O$2:$O$1001,MATCH($A45&amp;"|C|"&amp;$BV45,Raw!$S$2:$S$1001,0)),""))</f>
        <v>-25.44</v>
      </c>
      <c r="BX45" s="9" t="n">
        <f aca="false">IF($B45="","",IF(ISNUMBER(SEARCH(","&amp;$A45&amp;",",","&amp;SUBSTITUTE(Setup!$B$16," ","")&amp;",")),1,0))</f>
        <v>0</v>
      </c>
      <c r="BY45" s="9" t="n">
        <f aca="false">IF($B45="","",IF(ISNUMBER(SEARCH(","&amp;$A45&amp;",",","&amp;SUBSTITUTE(Setup!$B$17," ","")&amp;",")),1,0))</f>
        <v>0</v>
      </c>
      <c r="BZ45" s="22" t="str">
        <f aca="false">IF($AS45="","",IF(Fits!$B$38="Row",$AQ45,IF($AR45="","",$AR45)))</f>
        <v/>
      </c>
      <c r="CA45" s="22" t="str">
        <f aca="false">IF($AT45="","",IF(Fits!$B$50="Row",$AQ45,IF($AR45="","",$AR45)))</f>
        <v/>
      </c>
      <c r="CB45" s="20" t="str">
        <f aca="false">IF(OR($D45&lt;&gt;"Drift",$X45="",$A45&lt;IF(Setup!$B$14="",0,Setup!$B$14),Fits!$B$107&lt;3,Fits!$B$110="",Fits!$B$109=0,IF(Fits!$B$38="Row",$AQ45,$AR45)=""),"",IF($BX45=1,IF(OR(Fits!$B$111="",Fits!$B$111=0),"",($X45-(IF(Fits!$B$38="Row",Fits!$B$32,Fits!$B$35)*IF(Fits!$B$38="Row",$AQ45,$AR45)+Fits!$B$110))/(Fits!$B$111*SQRT(1+(1/Fits!$B$107+(IF(Fits!$B$38="Row",$AQ45,$AR45)-Fits!$B$108)^2/Fits!$B$109)))),IF(OR(Fits!$B$107&lt;4,(1/Fits!$B$107+(IF(Fits!$B$38="Row",$AQ45,$AR45)-Fits!$B$108)^2/Fits!$B$109)&gt;=1),"",IF((Fits!$B$116-($X45-(IF(Fits!$B$38="Row",Fits!$B$32,Fits!$B$35)*IF(Fits!$B$38="Row",$AQ45,$AR45)+Fits!$B$110))^2/(1-(1/Fits!$B$107+(IF(Fits!$B$38="Row",$AQ45,$AR45)-Fits!$B$108)^2/Fits!$B$109)))&lt;=0,"",($X45-(IF(Fits!$B$38="Row",Fits!$B$32,Fits!$B$35)*IF(Fits!$B$38="Row",$AQ45,$AR45)+Fits!$B$110))/(SQRT((Fits!$B$116-($X45-(IF(Fits!$B$38="Row",Fits!$B$32,Fits!$B$35)*IF(Fits!$B$38="Row",$AQ45,$AR45)+Fits!$B$110))^2/(1-(1/Fits!$B$107+(IF(Fits!$B$38="Row",$AQ45,$AR45)-Fits!$B$108)^2/Fits!$B$109)))/(Fits!$B$107-3))*SQRT(1-(1/Fits!$B$107+(IF(Fits!$B$38="Row",$AQ45,$AR45)-Fits!$B$108)^2/Fits!$B$109)))))))</f>
        <v/>
      </c>
      <c r="CC45" s="20" t="str">
        <f aca="false">IF(OR($D45&lt;&gt;"Drift",$AC45="",$A45&lt;IF(Setup!$B$14="",0,Setup!$B$14),Fits!$B$120&lt;3,Fits!$B$123="",Fits!$B$122=0,IF(Fits!$B$50="Row",$AQ45,$AR45)=""),"",IF($BY45=1,IF(OR(Fits!$B$124="",Fits!$B$124=0),"",($AC45-(IF(Fits!$B$50="Row",Fits!$B$44,Fits!$B$47)*IF(Fits!$B$50="Row",$AQ45,$AR45)+Fits!$B$123))/(Fits!$B$124*SQRT(1+(1/Fits!$B$120+(IF(Fits!$B$50="Row",$AQ45,$AR45)-Fits!$B$121)^2/Fits!$B$122)))),IF(OR(Fits!$B$120&lt;4,(1/Fits!$B$120+(IF(Fits!$B$50="Row",$AQ45,$AR45)-Fits!$B$121)^2/Fits!$B$122)&gt;=1),"",IF((Fits!$B$129-($AC45-(IF(Fits!$B$50="Row",Fits!$B$44,Fits!$B$47)*IF(Fits!$B$50="Row",$AQ45,$AR45)+Fits!$B$123))^2/(1-(1/Fits!$B$120+(IF(Fits!$B$50="Row",$AQ45,$AR45)-Fits!$B$121)^2/Fits!$B$122)))&lt;=0,"",($AC45-(IF(Fits!$B$50="Row",Fits!$B$44,Fits!$B$47)*IF(Fits!$B$50="Row",$AQ45,$AR45)+Fits!$B$123))/(SQRT((Fits!$B$129-($AC45-(IF(Fits!$B$50="Row",Fits!$B$44,Fits!$B$47)*IF(Fits!$B$50="Row",$AQ45,$AR45)+Fits!$B$123))^2/(1-(1/Fits!$B$120+(IF(Fits!$B$50="Row",$AQ45,$AR45)-Fits!$B$121)^2/Fits!$B$122)))/(Fits!$B$120-3))*SQRT(1-(1/Fits!$B$120+(IF(Fits!$B$50="Row",$AQ45,$AR45)-Fits!$B$121)^2/Fits!$B$122)))))))</f>
        <v/>
      </c>
      <c r="CD45" s="9" t="str">
        <f aca="false">IF($AU45="","",1)</f>
        <v/>
      </c>
      <c r="CE45" s="24" t="str">
        <f aca="false">IF($AU45="","",$AU45-Fits!$B$133)</f>
        <v/>
      </c>
      <c r="CF45" s="24" t="str">
        <f aca="false">IF($AU45="","",($AV45-(Fits!$B$56*$AU45+Fits!$B$57))-Fits!$B$56*($AU45-Fits!$B$133))</f>
        <v/>
      </c>
      <c r="CG45" s="25" t="str">
        <f aca="false">IF($AU45="","",$AU45^2)</f>
        <v/>
      </c>
      <c r="CH45" s="9" t="str">
        <f aca="false">IF($AW45="","",1)</f>
        <v/>
      </c>
      <c r="CI45" s="24" t="str">
        <f aca="false">IF($AW45="","",$AW45-Fits!$B$153)</f>
        <v/>
      </c>
      <c r="CJ45" s="24" t="str">
        <f aca="false">IF($AW45="","",($AX45-(Fits!$B$63*$AW45+Fits!$B$64))-Fits!$B$63*($AW45-Fits!$B$153))</f>
        <v/>
      </c>
      <c r="CK45" s="25" t="str">
        <f aca="false">IF($AW45="","",$AW45^2)</f>
        <v/>
      </c>
      <c r="CL45" s="26" t="n">
        <f aca="false">IF(OR($Z45="",Fits!$B$55&lt;3,Fits!$B$133="",Fits!$B$134="",Fits!$B$134=0,Fits!$B$136=""),"",SQRT((Fits!$B$136*Fits!$B$56)^2+SUMPRODUCT((Fits!$J$163:$J$175*(Fits!$B$163:$B$175/Fits!$B$55+Fits!$H$163:$H$175*($Z45-Fits!$B$133)/Fits!$B$134))^2)+SUMPRODUCT((Fits!$G$163:$G$175*(($Z45-Fits!$B$133)*Fits!$I$163:$I$175/Fits!$B$134-Fits!$B$163:$B$175*Fits!$B$56/Fits!$B$55))^2)))</f>
        <v>0.216531868097285</v>
      </c>
      <c r="CM45" s="26" t="n">
        <f aca="false">IF($CL45="","",Setup!$B$32*$CL45)</f>
        <v>0.433063736194571</v>
      </c>
      <c r="CN45" s="26" t="n">
        <f aca="false">IF(OR($AE45="",Fits!$B$62&lt;3,Fits!$B$153="",Fits!$B$154="",Fits!$B$154=0,Fits!$B$156=""),"",SQRT((Fits!$B$156*Fits!$B$63)^2+SUMPRODUCT((Fits!$J$183:$J$195*(Fits!$B$183:$B$195/Fits!$B$62+Fits!$H$183:$H$195*($AE45-Fits!$B$153)/Fits!$B$154))^2)+SUMPRODUCT((Fits!$G$183:$G$195*(($AE45-Fits!$B$153)*Fits!$I$183:$I$195/Fits!$B$154-Fits!$B$183:$B$195*Fits!$B$63/Fits!$B$62))^2)))</f>
        <v>0.0370329944786563</v>
      </c>
      <c r="CO45" s="26" t="n">
        <f aca="false">IF($CN45="","",Setup!$B$32*$CN45)</f>
        <v>0.0740659889573127</v>
      </c>
      <c r="CP45" s="9" t="n">
        <f aca="false">IF(OR(NOT(ISNUMBER($BJ45)),$EK45=1),$CP44,IF($BJ45&lt;=Setup!$B$26,$CP44+1,0))</f>
        <v>10</v>
      </c>
      <c r="CQ45" s="9" t="n">
        <f aca="false">IF($BT45="","",$A45)</f>
        <v>40</v>
      </c>
      <c r="CR45" s="9" t="n">
        <f aca="false">IF($BW45="","",$A45)</f>
        <v>40</v>
      </c>
      <c r="CS45" s="9" t="n">
        <f aca="false">IF($B45="","",IF(Setup!$A$37="",0,IF(ISNUMBER(SEARCH(Setup!$A$37,$B45)),37,0)))</f>
        <v>0</v>
      </c>
      <c r="CT45" s="9" t="n">
        <f aca="false">IF($B45="","",IF(Setup!$A$38="",0,IF(ISNUMBER(SEARCH(Setup!$A$38,$B45)),38,0)))</f>
        <v>0</v>
      </c>
      <c r="CU45" s="9" t="n">
        <f aca="false">IF($B45="","",IF(Setup!$A$39="",0,IF(ISNUMBER(SEARCH(Setup!$A$39,$B45)),39,0)))</f>
        <v>0</v>
      </c>
      <c r="CV45" s="9" t="n">
        <f aca="false">IF($B45="","",IF(Setup!$A$40="",0,IF(ISNUMBER(SEARCH(Setup!$A$40,$B45)),40,0)))</f>
        <v>0</v>
      </c>
      <c r="CW45" s="9" t="n">
        <f aca="false">IF($B45="","",IF(Setup!$A$41="",0,IF(ISNUMBER(SEARCH(Setup!$A$41,$B45)),41,0)))</f>
        <v>0</v>
      </c>
      <c r="CX45" s="9" t="n">
        <f aca="false">IF($B45="","",IF(Setup!$A$42="",0,IF(ISNUMBER(SEARCH(Setup!$A$42,$B45)),42,0)))</f>
        <v>0</v>
      </c>
      <c r="CY45" s="9" t="n">
        <f aca="false">IF($B45="","",IF(Setup!$A$43="",0,IF(ISNUMBER(SEARCH(Setup!$A$43,$B45)),43,0)))</f>
        <v>0</v>
      </c>
      <c r="CZ45" s="9" t="n">
        <f aca="false">IF($B45="","",IF(Setup!$A$44="",0,IF(ISNUMBER(SEARCH(Setup!$A$44,$B45)),44,0)))</f>
        <v>0</v>
      </c>
      <c r="DA45" s="9" t="n">
        <f aca="false">IF($B45="","",IF(Setup!$A$45="",0,IF(ISNUMBER(SEARCH(Setup!$A$45,$B45)),45,0)))</f>
        <v>0</v>
      </c>
      <c r="DB45" s="9" t="n">
        <f aca="false">IF($B45="","",IF(Setup!$A$46="",0,IF(ISNUMBER(SEARCH(Setup!$A$46,$B45)),46,0)))</f>
        <v>0</v>
      </c>
      <c r="DC45" s="9" t="n">
        <f aca="false">IF($B45="","",IF(Setup!$A$47="",0,IF(ISNUMBER(SEARCH(Setup!$A$47,$B45)),47,0)))</f>
        <v>0</v>
      </c>
      <c r="DD45" s="9" t="n">
        <f aca="false">IF($B45="","",IF(Setup!$A$48="",0,IF(ISNUMBER(SEARCH(Setup!$A$48,$B45)),48,0)))</f>
        <v>0</v>
      </c>
      <c r="DE45" s="9" t="n">
        <f aca="false">IF($B45="","",IF(Setup!$A$49="",0,IF(ISNUMBER(SEARCH(Setup!$A$49,$B45)),49,0)))</f>
        <v>0</v>
      </c>
      <c r="DF45" s="9" t="n">
        <f aca="false">IF($B45="",NA(),$A45)</f>
        <v>40</v>
      </c>
      <c r="DG45" s="22" t="n">
        <f aca="false">IF($BI45="",NA(),$BI45)</f>
        <v>23.4</v>
      </c>
      <c r="DH45" s="22" t="n">
        <f aca="false">IF($N45="",NA(),$N45)</f>
        <v>24.3</v>
      </c>
      <c r="DI45" s="9" t="e">
        <f aca="false">IF(AND($D45="Drift",$N45&lt;&gt;""),$N45,NA())</f>
        <v>#N/A</v>
      </c>
      <c r="DJ45" s="9" t="str">
        <f aca="false">IF(AND($D45="Drift",$N45&lt;&gt;""),$N45,"")</f>
        <v/>
      </c>
      <c r="DK45" s="9" t="str">
        <f aca="false">IF($DJ45="","",$A45)</f>
        <v/>
      </c>
      <c r="DL45" s="9" t="e">
        <f aca="false">IF($AN45="",NA(),$AM45)</f>
        <v>#N/A</v>
      </c>
      <c r="DM45" s="9" t="e">
        <f aca="false">IF($AN45="",NA(),$AN45)</f>
        <v>#N/A</v>
      </c>
      <c r="DN45" s="24" t="n">
        <f aca="false">IF(AND($D45="Sample",$L45&lt;&gt;""),$L45,NA())</f>
        <v>2.809</v>
      </c>
      <c r="DO45" s="24" t="n">
        <f aca="false">IF(AND($D45="Sample",$L45&lt;&gt;"",Fits!$B$98&lt;&gt;""),Fits!$B$98,NA())</f>
        <v>-6.0577</v>
      </c>
      <c r="DP45" s="9" t="e">
        <f aca="false">IF($AS45="",NA(),$AS45)</f>
        <v>#N/A</v>
      </c>
      <c r="DQ45" s="9" t="e">
        <f aca="false">IF(AND($D45="Drift",$AS45="",$X45&lt;&gt;""),$X45,NA())</f>
        <v>#N/A</v>
      </c>
      <c r="DR45" s="9" t="e">
        <f aca="false">IF(AND($D45="Drift",$Z45&lt;&gt;""),$Z45,NA())</f>
        <v>#N/A</v>
      </c>
      <c r="DS45" s="25" t="n">
        <f aca="false">IF(AND(OR($D45="Sample",$D45="Check"),$AA45&lt;&gt;""),$AA45,NA())</f>
        <v>2.50549896697098</v>
      </c>
      <c r="DT45" s="25" t="n">
        <f aca="false">IF(OR($B45="",Fits!$B$138=""),NA(),Fits!$B$138)</f>
        <v>1.76</v>
      </c>
      <c r="DU45" s="25" t="n">
        <f aca="false">IF(OR($B45="",Fits!$B$139=""),NA(),Fits!$B$139)</f>
        <v>20.68</v>
      </c>
      <c r="DV45" s="24" t="n">
        <f aca="false">IF($BT45="",NA(),$BT45)</f>
        <v>-1.158</v>
      </c>
      <c r="DW45" s="9" t="e">
        <f aca="false">IF($AP45="",NA(),$AO45)</f>
        <v>#N/A</v>
      </c>
      <c r="DX45" s="9" t="e">
        <f aca="false">IF($AP45="",NA(),$AP45)</f>
        <v>#N/A</v>
      </c>
      <c r="DY45" s="24" t="n">
        <f aca="false">IF(AND($D45="Sample",$P45&lt;&gt;""),$P45,NA())</f>
        <v>22.965</v>
      </c>
      <c r="DZ45" s="24" t="n">
        <f aca="false">IF(AND($D45="Sample",$P45&lt;&gt;"",Fits!$B$105&lt;&gt;""),Fits!$B$105,NA())</f>
        <v>-9.717</v>
      </c>
      <c r="EA45" s="9" t="e">
        <f aca="false">IF($AT45="",NA(),$AT45)</f>
        <v>#N/A</v>
      </c>
      <c r="EB45" s="9" t="e">
        <f aca="false">IF(AND($D45="Drift",$AT45="",$AC45&lt;&gt;""),$AC45,NA())</f>
        <v>#N/A</v>
      </c>
      <c r="EC45" s="9" t="e">
        <f aca="false">IF(AND($D45="Drift",$AE45&lt;&gt;""),$AE45,NA())</f>
        <v>#N/A</v>
      </c>
      <c r="ED45" s="25" t="n">
        <f aca="false">IF(AND(OR($D45="Sample",$D45="Check"),$AF45&lt;&gt;""),$AF45,NA())</f>
        <v>-27.7533343265413</v>
      </c>
      <c r="EE45" s="25" t="n">
        <f aca="false">IF(OR($B45="",Fits!$B$158=""),NA(),Fits!$B$158)</f>
        <v>-40.81</v>
      </c>
      <c r="EF45" s="25" t="n">
        <f aca="false">IF(OR($B45="",Fits!$B$159=""),NA(),Fits!$B$159)</f>
        <v>-20.29</v>
      </c>
      <c r="EG45" s="24" t="n">
        <f aca="false">IF($BW45="",NA(),$BW45)</f>
        <v>-25.44</v>
      </c>
      <c r="EH45" s="9" t="e">
        <f aca="false">IF(AND($EN45=1,ISNUMBER($N45)),$N45,NA())</f>
        <v>#N/A</v>
      </c>
      <c r="EI45" s="9" t="n">
        <f aca="false">IF($B45="","",$A45)</f>
        <v>40</v>
      </c>
      <c r="EJ45" s="9" t="n">
        <f aca="false">IF(OR(AND(ISNUMBER($L45),Fits!$B$97&gt;0,$L45&gt;Fits!$B$97),AND(ISNUMBER($P45),Fits!$B$104&gt;0,$P45&gt;Fits!$B$104)),1,0)</f>
        <v>0</v>
      </c>
      <c r="EK45" s="9" t="n">
        <f aca="false">IF(OR($EJ44=1,$EJ43=1),1,0)</f>
        <v>0</v>
      </c>
      <c r="EL45" s="22" t="n">
        <f aca="false">IF(AND($EK45=0,ISNUMBER($N45)),$N45,$EL44)</f>
        <v>24.3</v>
      </c>
      <c r="EM45" s="9" t="str">
        <f aca="false">IF(AND($EK45=1,ISNUMBER($N45),ISNUMBER($EL45)),$N45-$EL45,"")</f>
        <v/>
      </c>
      <c r="EN45" s="9" t="n">
        <f aca="false">IF(Setup!$B$28="",0,IF(ISNUMBER($EM45),IF($EM45&gt;Setup!$B$28,1,0),0))</f>
        <v>0</v>
      </c>
      <c r="EO45" s="9" t="str">
        <f aca="false">IF($EN45=1,COUNTIF($EN$6:$EN45,1),"")</f>
        <v/>
      </c>
      <c r="EP45" s="9" t="n">
        <f aca="false">IF(AND($EJ44=1,OR($D45="Sample",$D45="Check")),1,0)</f>
        <v>0</v>
      </c>
      <c r="EQ45" s="9" t="str">
        <f aca="false">IF(ISNUMBER($BI45),IF(COUNT($BI$6:$BI45)&lt;=5,$BI45,""),"")</f>
        <v/>
      </c>
      <c r="ER45" s="9" t="n">
        <f aca="false">IF(OR(NOT(ISNUMBER($BJ45)),$EK45=1),$ER44,IF($BJ45&lt;=Setup!$B$26,IF($CP44=0,$A45,$ER44),""))</f>
        <v>27</v>
      </c>
    </row>
    <row r="46" customFormat="false" ht="15" hidden="false" customHeight="false" outlineLevel="0" collapsed="false">
      <c r="A46" s="8" t="n">
        <v>41</v>
      </c>
      <c r="B46" s="8" t="str">
        <f aca="false">IFERROR(INDEX(Raw!$B$2:$B$1001,MATCH($A46,Raw!$A$2:$A$1001,0)),"")</f>
        <v>Random</v>
      </c>
      <c r="C46" s="9" t="n">
        <f aca="false">IF($B46="","",MAX($CS46:$DE46))</f>
        <v>0</v>
      </c>
      <c r="D46" s="8" t="str">
        <f aca="false">IF($B46="","",IF($C46=0,"Sample",INDEX(Setup!$B$37:$B$49,$C46-36)))</f>
        <v>Sample</v>
      </c>
      <c r="E46" s="16" t="str">
        <f aca="false">IF($B46="","",IFERROR(IF(INDEX(Raw!$E$2:$E$1001,MATCH($A46,Raw!$A$2:$A$1001,0))=0,"",INDEX(Raw!$E$2:$E$1001,MATCH($A46,Raw!$A$2:$A$1001,0))),""))</f>
        <v/>
      </c>
      <c r="F46" s="18"/>
      <c r="G46" s="16" t="str">
        <f aca="false">IF($B46="","",IF($F46&lt;&gt;"",$F46,IF($E46="","",$E46)))</f>
        <v/>
      </c>
      <c r="H46" s="9" t="n">
        <f aca="false">IF($B46="","",SUMPRODUCT(MAX((Raw!$A$2:$A$1001=$A46)*(Raw!$R$2:$R$1001="N")*Raw!$D$2:$D$1001)))</f>
        <v>3</v>
      </c>
      <c r="I46" s="9" t="str">
        <f aca="false">IF(OR($H46="",$H46=0),"",$A46&amp;"|N|"&amp;$H46)</f>
        <v>41|N|3</v>
      </c>
      <c r="J46" s="9" t="n">
        <f aca="false">IF($B46="","",SUMPRODUCT(MIN((Raw!$A$2:$A$1001=$A46)*(Raw!$R$2:$R$1001="C")*Raw!$D$2:$D$1001+(1-(Raw!$A$2:$A$1001=$A46)*(Raw!$R$2:$R$1001="C"))*9999)))</f>
        <v>4</v>
      </c>
      <c r="K46" s="9" t="str">
        <f aca="false">IF(OR($J46="",$J46=0,$J46=9999),"",$A46&amp;"|C|"&amp;$J46)</f>
        <v>41|C|4</v>
      </c>
      <c r="L46" s="16" t="n">
        <f aca="false">IF($I46="","",IF(INDEX(Raw!$I$2:$I$1001,MATCH($I46,Raw!$S$2:$S$1001,0))&lt;&gt;0,"",INDEX(Raw!$H$2:$H$1001,MATCH($I46,Raw!$S$2:$S$1001,0))))</f>
        <v>4.359</v>
      </c>
      <c r="M46" s="19" t="n">
        <f aca="false">IF($I46="","",IF(INDEX(Raw!$I$2:$I$1001,MATCH($I46,Raw!$S$2:$S$1001,0))&lt;&gt;0,"",INDEX(Raw!$F$2:$F$1001,MATCH($I46,Raw!$S$2:$S$1001,0))))</f>
        <v>194</v>
      </c>
      <c r="N46" s="20" t="n">
        <f aca="false">IF($I46="","",IF(INDEX(Raw!$I$2:$I$1001,MATCH($I46,Raw!$S$2:$S$1001,0))&lt;&gt;0,"",INDEX(Raw!$G$2:$G$1001,MATCH($I46,Raw!$S$2:$S$1001,0))))</f>
        <v>24.1</v>
      </c>
      <c r="O46" s="16" t="n">
        <f aca="false">IF($I46="","",IF(INDEX(Raw!$I$2:$I$1001,MATCH($I46,Raw!$S$2:$S$1001,0))&lt;&gt;0,"",INDEX(Raw!$N$2:$N$1001,MATCH($I46,Raw!$S$2:$S$1001,0))))</f>
        <v>0.297</v>
      </c>
      <c r="P46" s="16" t="n">
        <f aca="false">IF($K46="","",IF(INDEX(Raw!$I$2:$I$1001,MATCH($K46,Raw!$S$2:$S$1001,0))&lt;&gt;0,"",INDEX(Raw!$K$2:$K$1001,MATCH($K46,Raw!$S$2:$S$1001,0))))</f>
        <v>27.265</v>
      </c>
      <c r="Q46" s="19" t="n">
        <f aca="false">IF($K46="","",IF(INDEX(Raw!$I$2:$I$1001,MATCH($K46,Raw!$S$2:$S$1001,0))&lt;&gt;0,"",INDEX(Raw!$J$2:$J$1001,MATCH($K46,Raw!$S$2:$S$1001,0))))</f>
        <v>1238</v>
      </c>
      <c r="R46" s="16" t="n">
        <f aca="false">IF($K46="","",IF(INDEX(Raw!$I$2:$I$1001,MATCH($K46,Raw!$S$2:$S$1001,0))&lt;&gt;0,"",INDEX(Raw!$O$2:$O$1001,MATCH($K46,Raw!$S$2:$S$1001,0))))</f>
        <v>-10.813</v>
      </c>
      <c r="S46" s="21" t="str">
        <f aca="false">IF($B46="","",IF($C46=0,"",IF(INDEX(Setup!$D$37:$D$49,$C46-36)="","",INDEX(Setup!$D$37:$D$49,$C46-36))))</f>
        <v/>
      </c>
      <c r="T46" s="21" t="str">
        <f aca="false">IF($B46="","",IF($C46=0,"",IF(INDEX(Setup!$C$37:$C$49,$C46-36)="","",INDEX(Setup!$C$37:$C$49,$C46-36))))</f>
        <v/>
      </c>
      <c r="U46" s="21" t="str">
        <f aca="false">IF($B46="","",IF($C46=0,"",IF(INDEX(Setup!$F$37:$F$49,$C46-36)="","",INDEX(Setup!$F$37:$F$49,$C46-36))))</f>
        <v/>
      </c>
      <c r="V46" s="21" t="str">
        <f aca="false">IF($B46="","",IF($C46=0,"",IF(INDEX(Setup!$E$37:$E$49,$C46-36)="","",INDEX(Setup!$E$37:$E$49,$C46-36))))</f>
        <v/>
      </c>
      <c r="W46" s="16" t="n">
        <f aca="false">IF($O46="","",IF(OR(Fits!$C$5&lt;&gt;"Yes",$D46="Blank",$L46&lt;=Fits!$B$6),$O46,($L46*$O46-Fits!$B$6*Fits!$B$7)/($L46-Fits!$B$6)))</f>
        <v>0.297</v>
      </c>
      <c r="X46" s="16" t="n">
        <f aca="false">IF($W46="","",$W46-Fits!$B$20*($L46-Fits!$B$16))</f>
        <v>0.297</v>
      </c>
      <c r="Y46" s="22" t="n">
        <f aca="false">IF($W46="","",IF(OR(Fits!$B$38="Row",$BI46=""),$A46,$BI46))</f>
        <v>41</v>
      </c>
      <c r="Z46" s="16" t="n">
        <f aca="false">IF($X46="","",$X46-Fits!$B$39*($Y46-Fits!$B$40))</f>
        <v>0.403685299959931</v>
      </c>
      <c r="AA46" s="23" t="n">
        <f aca="false">IF(OR($Z46="",Fits!$B$55&lt;2),"",Fits!$B$56*$Z46+Fits!$B$57)</f>
        <v>1.44169152143501</v>
      </c>
      <c r="AB46" s="16" t="n">
        <f aca="false">IF($R46="","",IF(OR(Fits!$C$9&lt;&gt;"Yes",$D46="Blank",$P46&lt;=Fits!$B$10),$R46,($P46*$R46-Fits!$B$10*Fits!$B$11)/($P46-Fits!$B$10)))</f>
        <v>-10.813</v>
      </c>
      <c r="AC46" s="16" t="n">
        <f aca="false">IF($AB46="","",$AB46-Fits!$B$28*($P46-Fits!$B$24))</f>
        <v>-10.6392076829838</v>
      </c>
      <c r="AD46" s="22" t="n">
        <f aca="false">IF($AB46="","",IF(OR(Fits!$B$50="Row",$BI46=""),$A46,$BI46))</f>
        <v>41</v>
      </c>
      <c r="AE46" s="16" t="n">
        <f aca="false">IF($AC46="","",$AC46-Fits!$B$51*($AD46-Fits!$B$52))</f>
        <v>-10.6579908148831</v>
      </c>
      <c r="AF46" s="23" t="n">
        <f aca="false">IF(OR($AE46="",Fits!$B$62&lt;2),"",Fits!$B$63*$AE46+Fits!$B$64)</f>
        <v>-27.8010485866376</v>
      </c>
      <c r="AG46" s="21" t="n">
        <f aca="false">IF(OR($L46="",Fits!$B$69&lt;3),"",($L46-Fits!$B$71)/Fits!$B$70)</f>
        <v>3.92185262694881</v>
      </c>
      <c r="AH46" s="21" t="n">
        <f aca="false">IF(OR($P46="",Fits!$B$75&lt;3),"",($P46-Fits!$B$77)/Fits!$B$76)</f>
        <v>58.1191129691959</v>
      </c>
      <c r="AI46" s="23" t="str">
        <f aca="false">IF(OR($AG46="",$G46="",$G46=0),"",$AG46/($G46*1000)*100)</f>
        <v/>
      </c>
      <c r="AJ46" s="23" t="str">
        <f aca="false">IF(OR($AH46="",$G46="",$G46=0),"",$AH46/($G46*1000)*100)</f>
        <v/>
      </c>
      <c r="AK46" s="23" t="n">
        <f aca="false">IF(OR($AG46="",$AH46="",$AG46&lt;=0),"",($AH46/Setup!$B$52)/($AG46/Setup!$B$53))</f>
        <v>17.2819867986243</v>
      </c>
      <c r="AL46" s="23" t="n">
        <f aca="false">IF(OR($AG46="",$AH46="",$AG46&lt;=0),"",$AH46/$AG46)</f>
        <v>14.8193005952935</v>
      </c>
      <c r="AM46" s="9" t="str">
        <f aca="false">IF($D46="Linearity",IF($L46="","",$L46),"")</f>
        <v/>
      </c>
      <c r="AN46" s="9" t="str">
        <f aca="false">IF($D46="Linearity",IF($W46="","",$W46),"")</f>
        <v/>
      </c>
      <c r="AO46" s="9" t="str">
        <f aca="false">IF($D46="Linearity",IF($P46="","",$P46),"")</f>
        <v/>
      </c>
      <c r="AP46" s="9" t="str">
        <f aca="false">IF($D46="Linearity",IF($AB46="","",$AB46),"")</f>
        <v/>
      </c>
      <c r="AQ46" s="9" t="str">
        <f aca="false">IF($D46="Drift",IF($A46&lt;IF(Setup!$B$14="",0,Setup!$B$14),"",$A46),"")</f>
        <v/>
      </c>
      <c r="AR46" s="9" t="str">
        <f aca="false">IF($D46="Drift",IF($A46&lt;IF(Setup!$B$14="",0,Setup!$B$14),"",IF($BI46="","",$BI46)),"")</f>
        <v/>
      </c>
      <c r="AS46" s="9" t="str">
        <f aca="false">IF($D46="Drift",IF($A46&lt;IF(Setup!$B$14="",0,Setup!$B$14),"",IF(OR($X46="",$BX46=1),"",$X46)),"")</f>
        <v/>
      </c>
      <c r="AT46" s="9" t="str">
        <f aca="false">IF($D46="Drift",IF($A46&lt;IF(Setup!$B$14="",0,Setup!$B$14),"",IF(OR($AC46="",$BY46=1),"",$AC46)),"")</f>
        <v/>
      </c>
      <c r="AU46" s="9" t="str">
        <f aca="false">IF($D46="Anchor",IF(OR($Z46="",$S46=""),"",$Z46),"")</f>
        <v/>
      </c>
      <c r="AV46" s="9" t="str">
        <f aca="false">IF($D46="Anchor",IF(OR($Z46="",$S46=""),"",$S46),"")</f>
        <v/>
      </c>
      <c r="AW46" s="9" t="str">
        <f aca="false">IF($D46="Anchor",IF(OR($AE46="",$T46=""),"",$AE46),"")</f>
        <v/>
      </c>
      <c r="AX46" s="9" t="str">
        <f aca="false">IF($D46="Anchor",IF(OR($AE46="",$T46=""),"",$T46),"")</f>
        <v/>
      </c>
      <c r="AY46" s="9" t="str">
        <f aca="false">IF(OR($D46="Blank",$D46="Exclude",$D46="Sample",$D46="",$G46="",$U46="",$L46=""),"",$G46*1000*$U46/100)</f>
        <v/>
      </c>
      <c r="AZ46" s="9" t="str">
        <f aca="false">IF($AY46="","",$L46)</f>
        <v/>
      </c>
      <c r="BA46" s="9" t="str">
        <f aca="false">IF(OR($D46="Blank",$D46="Exclude",$D46="Sample",$D46="",$G46="",$V46="",$P46=""),"",$G46*1000*$V46/100)</f>
        <v/>
      </c>
      <c r="BB46" s="9" t="str">
        <f aca="false">IF($BA46="","",$P46)</f>
        <v/>
      </c>
      <c r="BC46" s="9" t="str">
        <f aca="false">IF(AND($D46="Blank",$L46&lt;&gt;""),$O46,"")</f>
        <v/>
      </c>
      <c r="BD46" s="9" t="str">
        <f aca="false">IF($BC46="","",$L46)</f>
        <v/>
      </c>
      <c r="BE46" s="9" t="str">
        <f aca="false">IF(AND($D46="Blank",$P46&lt;&gt;""),$R46,"")</f>
        <v/>
      </c>
      <c r="BF46" s="9" t="str">
        <f aca="false">IF($BE46="","",$P46)</f>
        <v/>
      </c>
      <c r="BG46" s="9" t="str">
        <f aca="false">IF(AND($D46="Drift",$BX46&lt;&gt;1),IF($AA46="","",$AA46),"")</f>
        <v/>
      </c>
      <c r="BH46" s="9" t="str">
        <f aca="false">IF(AND($D46="Drift",$BY46&lt;&gt;1),IF($AF46="","",$AF46),"")</f>
        <v/>
      </c>
      <c r="BI46" s="20" t="n">
        <f aca="false">IF($B46="","",IFERROR(INDEX(Raw!$G$2:$G$1001,MATCH($A46&amp;"|N|"&amp;SUMPRODUCT(MAX((Raw!$A$2:$A$1001=$A46)*(Raw!$R$2:$R$1001="N")*(Raw!$I$2:$I$1001=1)*Raw!$D$2:$D$1001)),Raw!$S$2:$S$1001,0)),""))</f>
        <v>23.2</v>
      </c>
      <c r="BJ46" s="21" t="n">
        <f aca="false">IF(OR($BI46="",Fits!$B$85&lt;=0),"",($BI46-Fits!$B$83)/Fits!$B$85)</f>
        <v>0.00900900900900882</v>
      </c>
      <c r="BK46" s="9" t="str">
        <f aca="false">IF($AS46="","",IF($A46&gt;=Fits!$B$86,"",$A46))</f>
        <v/>
      </c>
      <c r="BL46" s="9" t="str">
        <f aca="false">IF($BK46="","",$X46)</f>
        <v/>
      </c>
      <c r="BM46" s="9" t="str">
        <f aca="false">IF($AS46="","",IF($A46&lt;Fits!$B$86,"",$A46))</f>
        <v/>
      </c>
      <c r="BN46" s="9" t="str">
        <f aca="false">IF($BM46="","",$X46)</f>
        <v/>
      </c>
      <c r="BO46" s="9" t="str">
        <f aca="false">IF(AND($D46="Drift",$BX46&lt;&gt;1),IF($O46="","",$O46),"")</f>
        <v/>
      </c>
      <c r="BP46" s="9" t="str">
        <f aca="false">IF(AND($D46="Drift",$BX46&lt;&gt;1),IF($W46="","",$W46),"")</f>
        <v/>
      </c>
      <c r="BQ46" s="9" t="str">
        <f aca="false">IF(AND($D46="Drift",$BX46&lt;&gt;1),IF($X46="","",$X46),"")</f>
        <v/>
      </c>
      <c r="BR46" s="9" t="str">
        <f aca="false">IF(AND($D46="Drift",$BX46&lt;&gt;1),IF($Z46="","",$Z46),"")</f>
        <v/>
      </c>
      <c r="BS46" s="9" t="n">
        <f aca="false">IF(OR($B46="",$H46=""),"",SUMPRODUCT(MIN((Raw!$A$2:$A$1001=$A46)*(Raw!$R$2:$R$1001="N")*(Raw!$I$2:$I$1001=0)*(Raw!$D$2:$D$1001&lt;$H46)*Raw!$D$2:$D$1001+(1-(Raw!$A$2:$A$1001=$A46)*(Raw!$R$2:$R$1001="N")*(Raw!$I$2:$I$1001=0)*(Raw!$D$2:$D$1001&lt;$H46))*9999)))</f>
        <v>1</v>
      </c>
      <c r="BT46" s="16" t="n">
        <f aca="false">IF(OR($BS46="",$BS46=9999,$BS46=0),"",IFERROR(INDEX(Raw!$N$2:$N$1001,MATCH($A46&amp;"|N|"&amp;$BS46,Raw!$S$2:$S$1001,0)),""))</f>
        <v>-1.195</v>
      </c>
      <c r="BU46" s="9" t="n">
        <f aca="false">IF($B46="","",SUMPRODUCT(MIN((Raw!$A$2:$A$1001=$A46)*(Raw!$R$2:$R$1001="C")*(Raw!$I$2:$I$1001=1)*Raw!$D$2:$D$1001+(1-(Raw!$A$2:$A$1001=$A46)*(Raw!$R$2:$R$1001="C")*(Raw!$I$2:$I$1001=1))*9999)))</f>
        <v>5</v>
      </c>
      <c r="BV46" s="9" t="n">
        <f aca="false">IF(OR($BU46="",$BU46=9999),"",SUMPRODUCT(MIN((Raw!$A$2:$A$1001=$A46)*(Raw!$R$2:$R$1001="C")*(Raw!$I$2:$I$1001=0)*(Raw!$D$2:$D$1001&gt;$BU46)*Raw!$D$2:$D$1001+(1-(Raw!$A$2:$A$1001=$A46)*(Raw!$R$2:$R$1001="C")*(Raw!$I$2:$I$1001=0)*(Raw!$D$2:$D$1001&gt;$BU46))*9999)))</f>
        <v>6</v>
      </c>
      <c r="BW46" s="16" t="n">
        <f aca="false">IF(OR($BV46="",$BV46=9999,$BV46=0),"",IFERROR(INDEX(Raw!$O$2:$O$1001,MATCH($A46&amp;"|C|"&amp;$BV46,Raw!$S$2:$S$1001,0)),""))</f>
        <v>-25.415</v>
      </c>
      <c r="BX46" s="9" t="n">
        <f aca="false">IF($B46="","",IF(ISNUMBER(SEARCH(","&amp;$A46&amp;",",","&amp;SUBSTITUTE(Setup!$B$16," ","")&amp;",")),1,0))</f>
        <v>0</v>
      </c>
      <c r="BY46" s="9" t="n">
        <f aca="false">IF($B46="","",IF(ISNUMBER(SEARCH(","&amp;$A46&amp;",",","&amp;SUBSTITUTE(Setup!$B$17," ","")&amp;",")),1,0))</f>
        <v>0</v>
      </c>
      <c r="BZ46" s="22" t="str">
        <f aca="false">IF($AS46="","",IF(Fits!$B$38="Row",$AQ46,IF($AR46="","",$AR46)))</f>
        <v/>
      </c>
      <c r="CA46" s="22" t="str">
        <f aca="false">IF($AT46="","",IF(Fits!$B$50="Row",$AQ46,IF($AR46="","",$AR46)))</f>
        <v/>
      </c>
      <c r="CB46" s="20" t="str">
        <f aca="false">IF(OR($D46&lt;&gt;"Drift",$X46="",$A46&lt;IF(Setup!$B$14="",0,Setup!$B$14),Fits!$B$107&lt;3,Fits!$B$110="",Fits!$B$109=0,IF(Fits!$B$38="Row",$AQ46,$AR46)=""),"",IF($BX46=1,IF(OR(Fits!$B$111="",Fits!$B$111=0),"",($X46-(IF(Fits!$B$38="Row",Fits!$B$32,Fits!$B$35)*IF(Fits!$B$38="Row",$AQ46,$AR46)+Fits!$B$110))/(Fits!$B$111*SQRT(1+(1/Fits!$B$107+(IF(Fits!$B$38="Row",$AQ46,$AR46)-Fits!$B$108)^2/Fits!$B$109)))),IF(OR(Fits!$B$107&lt;4,(1/Fits!$B$107+(IF(Fits!$B$38="Row",$AQ46,$AR46)-Fits!$B$108)^2/Fits!$B$109)&gt;=1),"",IF((Fits!$B$116-($X46-(IF(Fits!$B$38="Row",Fits!$B$32,Fits!$B$35)*IF(Fits!$B$38="Row",$AQ46,$AR46)+Fits!$B$110))^2/(1-(1/Fits!$B$107+(IF(Fits!$B$38="Row",$AQ46,$AR46)-Fits!$B$108)^2/Fits!$B$109)))&lt;=0,"",($X46-(IF(Fits!$B$38="Row",Fits!$B$32,Fits!$B$35)*IF(Fits!$B$38="Row",$AQ46,$AR46)+Fits!$B$110))/(SQRT((Fits!$B$116-($X46-(IF(Fits!$B$38="Row",Fits!$B$32,Fits!$B$35)*IF(Fits!$B$38="Row",$AQ46,$AR46)+Fits!$B$110))^2/(1-(1/Fits!$B$107+(IF(Fits!$B$38="Row",$AQ46,$AR46)-Fits!$B$108)^2/Fits!$B$109)))/(Fits!$B$107-3))*SQRT(1-(1/Fits!$B$107+(IF(Fits!$B$38="Row",$AQ46,$AR46)-Fits!$B$108)^2/Fits!$B$109)))))))</f>
        <v/>
      </c>
      <c r="CC46" s="20" t="str">
        <f aca="false">IF(OR($D46&lt;&gt;"Drift",$AC46="",$A46&lt;IF(Setup!$B$14="",0,Setup!$B$14),Fits!$B$120&lt;3,Fits!$B$123="",Fits!$B$122=0,IF(Fits!$B$50="Row",$AQ46,$AR46)=""),"",IF($BY46=1,IF(OR(Fits!$B$124="",Fits!$B$124=0),"",($AC46-(IF(Fits!$B$50="Row",Fits!$B$44,Fits!$B$47)*IF(Fits!$B$50="Row",$AQ46,$AR46)+Fits!$B$123))/(Fits!$B$124*SQRT(1+(1/Fits!$B$120+(IF(Fits!$B$50="Row",$AQ46,$AR46)-Fits!$B$121)^2/Fits!$B$122)))),IF(OR(Fits!$B$120&lt;4,(1/Fits!$B$120+(IF(Fits!$B$50="Row",$AQ46,$AR46)-Fits!$B$121)^2/Fits!$B$122)&gt;=1),"",IF((Fits!$B$129-($AC46-(IF(Fits!$B$50="Row",Fits!$B$44,Fits!$B$47)*IF(Fits!$B$50="Row",$AQ46,$AR46)+Fits!$B$123))^2/(1-(1/Fits!$B$120+(IF(Fits!$B$50="Row",$AQ46,$AR46)-Fits!$B$121)^2/Fits!$B$122)))&lt;=0,"",($AC46-(IF(Fits!$B$50="Row",Fits!$B$44,Fits!$B$47)*IF(Fits!$B$50="Row",$AQ46,$AR46)+Fits!$B$123))/(SQRT((Fits!$B$129-($AC46-(IF(Fits!$B$50="Row",Fits!$B$44,Fits!$B$47)*IF(Fits!$B$50="Row",$AQ46,$AR46)+Fits!$B$123))^2/(1-(1/Fits!$B$120+(IF(Fits!$B$50="Row",$AQ46,$AR46)-Fits!$B$121)^2/Fits!$B$122)))/(Fits!$B$120-3))*SQRT(1-(1/Fits!$B$120+(IF(Fits!$B$50="Row",$AQ46,$AR46)-Fits!$B$121)^2/Fits!$B$122)))))))</f>
        <v/>
      </c>
      <c r="CD46" s="9" t="str">
        <f aca="false">IF($AU46="","",1)</f>
        <v/>
      </c>
      <c r="CE46" s="24" t="str">
        <f aca="false">IF($AU46="","",$AU46-Fits!$B$133)</f>
        <v/>
      </c>
      <c r="CF46" s="24" t="str">
        <f aca="false">IF($AU46="","",($AV46-(Fits!$B$56*$AU46+Fits!$B$57))-Fits!$B$56*($AU46-Fits!$B$133))</f>
        <v/>
      </c>
      <c r="CG46" s="25" t="str">
        <f aca="false">IF($AU46="","",$AU46^2)</f>
        <v/>
      </c>
      <c r="CH46" s="9" t="str">
        <f aca="false">IF($AW46="","",1)</f>
        <v/>
      </c>
      <c r="CI46" s="24" t="str">
        <f aca="false">IF($AW46="","",$AW46-Fits!$B$153)</f>
        <v/>
      </c>
      <c r="CJ46" s="24" t="str">
        <f aca="false">IF($AW46="","",($AX46-(Fits!$B$63*$AW46+Fits!$B$64))-Fits!$B$63*($AW46-Fits!$B$153))</f>
        <v/>
      </c>
      <c r="CK46" s="25" t="str">
        <f aca="false">IF($AW46="","",$AW46^2)</f>
        <v/>
      </c>
      <c r="CL46" s="26" t="n">
        <f aca="false">IF(OR($Z46="",Fits!$B$55&lt;3,Fits!$B$133="",Fits!$B$134="",Fits!$B$134=0,Fits!$B$136=""),"",SQRT((Fits!$B$136*Fits!$B$56)^2+SUMPRODUCT((Fits!$J$163:$J$175*(Fits!$B$163:$B$175/Fits!$B$55+Fits!$H$163:$H$175*($Z46-Fits!$B$133)/Fits!$B$134))^2)+SUMPRODUCT((Fits!$G$163:$G$175*(($Z46-Fits!$B$133)*Fits!$I$163:$I$175/Fits!$B$134-Fits!$B$163:$B$175*Fits!$B$56/Fits!$B$55))^2)))</f>
        <v>0.221140301944125</v>
      </c>
      <c r="CM46" s="26" t="n">
        <f aca="false">IF($CL46="","",Setup!$B$32*$CL46)</f>
        <v>0.442280603888251</v>
      </c>
      <c r="CN46" s="26" t="n">
        <f aca="false">IF(OR($AE46="",Fits!$B$62&lt;3,Fits!$B$153="",Fits!$B$154="",Fits!$B$154=0,Fits!$B$156=""),"",SQRT((Fits!$B$156*Fits!$B$63)^2+SUMPRODUCT((Fits!$J$183:$J$195*(Fits!$B$183:$B$195/Fits!$B$62+Fits!$H$183:$H$195*($AE46-Fits!$B$153)/Fits!$B$154))^2)+SUMPRODUCT((Fits!$G$183:$G$195*(($AE46-Fits!$B$153)*Fits!$I$183:$I$195/Fits!$B$154-Fits!$B$183:$B$195*Fits!$B$63/Fits!$B$62))^2)))</f>
        <v>0.037003386928779</v>
      </c>
      <c r="CO46" s="26" t="n">
        <f aca="false">IF($CN46="","",Setup!$B$32*$CN46)</f>
        <v>0.0740067738575581</v>
      </c>
      <c r="CP46" s="9" t="n">
        <f aca="false">IF(OR(NOT(ISNUMBER($BJ46)),$EK46=1),$CP45,IF($BJ46&lt;=Setup!$B$26,$CP45+1,0))</f>
        <v>11</v>
      </c>
      <c r="CQ46" s="9" t="n">
        <f aca="false">IF($BT46="","",$A46)</f>
        <v>41</v>
      </c>
      <c r="CR46" s="9" t="n">
        <f aca="false">IF($BW46="","",$A46)</f>
        <v>41</v>
      </c>
      <c r="CS46" s="9" t="n">
        <f aca="false">IF($B46="","",IF(Setup!$A$37="",0,IF(ISNUMBER(SEARCH(Setup!$A$37,$B46)),37,0)))</f>
        <v>0</v>
      </c>
      <c r="CT46" s="9" t="n">
        <f aca="false">IF($B46="","",IF(Setup!$A$38="",0,IF(ISNUMBER(SEARCH(Setup!$A$38,$B46)),38,0)))</f>
        <v>0</v>
      </c>
      <c r="CU46" s="9" t="n">
        <f aca="false">IF($B46="","",IF(Setup!$A$39="",0,IF(ISNUMBER(SEARCH(Setup!$A$39,$B46)),39,0)))</f>
        <v>0</v>
      </c>
      <c r="CV46" s="9" t="n">
        <f aca="false">IF($B46="","",IF(Setup!$A$40="",0,IF(ISNUMBER(SEARCH(Setup!$A$40,$B46)),40,0)))</f>
        <v>0</v>
      </c>
      <c r="CW46" s="9" t="n">
        <f aca="false">IF($B46="","",IF(Setup!$A$41="",0,IF(ISNUMBER(SEARCH(Setup!$A$41,$B46)),41,0)))</f>
        <v>0</v>
      </c>
      <c r="CX46" s="9" t="n">
        <f aca="false">IF($B46="","",IF(Setup!$A$42="",0,IF(ISNUMBER(SEARCH(Setup!$A$42,$B46)),42,0)))</f>
        <v>0</v>
      </c>
      <c r="CY46" s="9" t="n">
        <f aca="false">IF($B46="","",IF(Setup!$A$43="",0,IF(ISNUMBER(SEARCH(Setup!$A$43,$B46)),43,0)))</f>
        <v>0</v>
      </c>
      <c r="CZ46" s="9" t="n">
        <f aca="false">IF($B46="","",IF(Setup!$A$44="",0,IF(ISNUMBER(SEARCH(Setup!$A$44,$B46)),44,0)))</f>
        <v>0</v>
      </c>
      <c r="DA46" s="9" t="n">
        <f aca="false">IF($B46="","",IF(Setup!$A$45="",0,IF(ISNUMBER(SEARCH(Setup!$A$45,$B46)),45,0)))</f>
        <v>0</v>
      </c>
      <c r="DB46" s="9" t="n">
        <f aca="false">IF($B46="","",IF(Setup!$A$46="",0,IF(ISNUMBER(SEARCH(Setup!$A$46,$B46)),46,0)))</f>
        <v>0</v>
      </c>
      <c r="DC46" s="9" t="n">
        <f aca="false">IF($B46="","",IF(Setup!$A$47="",0,IF(ISNUMBER(SEARCH(Setup!$A$47,$B46)),47,0)))</f>
        <v>0</v>
      </c>
      <c r="DD46" s="9" t="n">
        <f aca="false">IF($B46="","",IF(Setup!$A$48="",0,IF(ISNUMBER(SEARCH(Setup!$A$48,$B46)),48,0)))</f>
        <v>0</v>
      </c>
      <c r="DE46" s="9" t="n">
        <f aca="false">IF($B46="","",IF(Setup!$A$49="",0,IF(ISNUMBER(SEARCH(Setup!$A$49,$B46)),49,0)))</f>
        <v>0</v>
      </c>
      <c r="DF46" s="9" t="n">
        <f aca="false">IF($B46="",NA(),$A46)</f>
        <v>41</v>
      </c>
      <c r="DG46" s="22" t="n">
        <f aca="false">IF($BI46="",NA(),$BI46)</f>
        <v>23.2</v>
      </c>
      <c r="DH46" s="22" t="n">
        <f aca="false">IF($N46="",NA(),$N46)</f>
        <v>24.1</v>
      </c>
      <c r="DI46" s="9" t="e">
        <f aca="false">IF(AND($D46="Drift",$N46&lt;&gt;""),$N46,NA())</f>
        <v>#N/A</v>
      </c>
      <c r="DJ46" s="9" t="str">
        <f aca="false">IF(AND($D46="Drift",$N46&lt;&gt;""),$N46,"")</f>
        <v/>
      </c>
      <c r="DK46" s="9" t="str">
        <f aca="false">IF($DJ46="","",$A46)</f>
        <v/>
      </c>
      <c r="DL46" s="9" t="e">
        <f aca="false">IF($AN46="",NA(),$AM46)</f>
        <v>#N/A</v>
      </c>
      <c r="DM46" s="9" t="e">
        <f aca="false">IF($AN46="",NA(),$AN46)</f>
        <v>#N/A</v>
      </c>
      <c r="DN46" s="24" t="n">
        <f aca="false">IF(AND($D46="Sample",$L46&lt;&gt;""),$L46,NA())</f>
        <v>4.359</v>
      </c>
      <c r="DO46" s="24" t="n">
        <f aca="false">IF(AND($D46="Sample",$L46&lt;&gt;"",Fits!$B$98&lt;&gt;""),Fits!$B$98,NA())</f>
        <v>-6.0577</v>
      </c>
      <c r="DP46" s="9" t="e">
        <f aca="false">IF($AS46="",NA(),$AS46)</f>
        <v>#N/A</v>
      </c>
      <c r="DQ46" s="9" t="e">
        <f aca="false">IF(AND($D46="Drift",$AS46="",$X46&lt;&gt;""),$X46,NA())</f>
        <v>#N/A</v>
      </c>
      <c r="DR46" s="9" t="e">
        <f aca="false">IF(AND($D46="Drift",$Z46&lt;&gt;""),$Z46,NA())</f>
        <v>#N/A</v>
      </c>
      <c r="DS46" s="25" t="n">
        <f aca="false">IF(AND(OR($D46="Sample",$D46="Check"),$AA46&lt;&gt;""),$AA46,NA())</f>
        <v>1.44169152143501</v>
      </c>
      <c r="DT46" s="25" t="n">
        <f aca="false">IF(OR($B46="",Fits!$B$138=""),NA(),Fits!$B$138)</f>
        <v>1.76</v>
      </c>
      <c r="DU46" s="25" t="n">
        <f aca="false">IF(OR($B46="",Fits!$B$139=""),NA(),Fits!$B$139)</f>
        <v>20.68</v>
      </c>
      <c r="DV46" s="24" t="n">
        <f aca="false">IF($BT46="",NA(),$BT46)</f>
        <v>-1.195</v>
      </c>
      <c r="DW46" s="9" t="e">
        <f aca="false">IF($AP46="",NA(),$AO46)</f>
        <v>#N/A</v>
      </c>
      <c r="DX46" s="9" t="e">
        <f aca="false">IF($AP46="",NA(),$AP46)</f>
        <v>#N/A</v>
      </c>
      <c r="DY46" s="24" t="n">
        <f aca="false">IF(AND($D46="Sample",$P46&lt;&gt;""),$P46,NA())</f>
        <v>27.265</v>
      </c>
      <c r="DZ46" s="24" t="n">
        <f aca="false">IF(AND($D46="Sample",$P46&lt;&gt;"",Fits!$B$105&lt;&gt;""),Fits!$B$105,NA())</f>
        <v>-9.717</v>
      </c>
      <c r="EA46" s="9" t="e">
        <f aca="false">IF($AT46="",NA(),$AT46)</f>
        <v>#N/A</v>
      </c>
      <c r="EB46" s="9" t="e">
        <f aca="false">IF(AND($D46="Drift",$AT46="",$AC46&lt;&gt;""),$AC46,NA())</f>
        <v>#N/A</v>
      </c>
      <c r="EC46" s="9" t="e">
        <f aca="false">IF(AND($D46="Drift",$AE46&lt;&gt;""),$AE46,NA())</f>
        <v>#N/A</v>
      </c>
      <c r="ED46" s="25" t="n">
        <f aca="false">IF(AND(OR($D46="Sample",$D46="Check"),$AF46&lt;&gt;""),$AF46,NA())</f>
        <v>-27.8010485866376</v>
      </c>
      <c r="EE46" s="25" t="n">
        <f aca="false">IF(OR($B46="",Fits!$B$158=""),NA(),Fits!$B$158)</f>
        <v>-40.81</v>
      </c>
      <c r="EF46" s="25" t="n">
        <f aca="false">IF(OR($B46="",Fits!$B$159=""),NA(),Fits!$B$159)</f>
        <v>-20.29</v>
      </c>
      <c r="EG46" s="24" t="n">
        <f aca="false">IF($BW46="",NA(),$BW46)</f>
        <v>-25.415</v>
      </c>
      <c r="EH46" s="9" t="e">
        <f aca="false">IF(AND($EN46=1,ISNUMBER($N46)),$N46,NA())</f>
        <v>#N/A</v>
      </c>
      <c r="EI46" s="9" t="n">
        <f aca="false">IF($B46="","",$A46)</f>
        <v>41</v>
      </c>
      <c r="EJ46" s="9" t="n">
        <f aca="false">IF(OR(AND(ISNUMBER($L46),Fits!$B$97&gt;0,$L46&gt;Fits!$B$97),AND(ISNUMBER($P46),Fits!$B$104&gt;0,$P46&gt;Fits!$B$104)),1,0)</f>
        <v>0</v>
      </c>
      <c r="EK46" s="9" t="n">
        <f aca="false">IF(OR($EJ45=1,$EJ44=1),1,0)</f>
        <v>0</v>
      </c>
      <c r="EL46" s="22" t="n">
        <f aca="false">IF(AND($EK46=0,ISNUMBER($N46)),$N46,$EL45)</f>
        <v>24.1</v>
      </c>
      <c r="EM46" s="9" t="str">
        <f aca="false">IF(AND($EK46=1,ISNUMBER($N46),ISNUMBER($EL46)),$N46-$EL46,"")</f>
        <v/>
      </c>
      <c r="EN46" s="9" t="n">
        <f aca="false">IF(Setup!$B$28="",0,IF(ISNUMBER($EM46),IF($EM46&gt;Setup!$B$28,1,0),0))</f>
        <v>0</v>
      </c>
      <c r="EO46" s="9" t="str">
        <f aca="false">IF($EN46=1,COUNTIF($EN$6:$EN46,1),"")</f>
        <v/>
      </c>
      <c r="EP46" s="9" t="n">
        <f aca="false">IF(AND($EJ45=1,OR($D46="Sample",$D46="Check")),1,0)</f>
        <v>0</v>
      </c>
      <c r="EQ46" s="9" t="str">
        <f aca="false">IF(ISNUMBER($BI46),IF(COUNT($BI$6:$BI46)&lt;=5,$BI46,""),"")</f>
        <v/>
      </c>
      <c r="ER46" s="9" t="n">
        <f aca="false">IF(OR(NOT(ISNUMBER($BJ46)),$EK46=1),$ER45,IF($BJ46&lt;=Setup!$B$26,IF($CP45=0,$A46,$ER45),""))</f>
        <v>27</v>
      </c>
    </row>
    <row r="47" customFormat="false" ht="15" hidden="false" customHeight="false" outlineLevel="0" collapsed="false">
      <c r="A47" s="8" t="n">
        <v>42</v>
      </c>
      <c r="B47" s="8" t="str">
        <f aca="false">IFERROR(INDEX(Raw!$B$2:$B$1001,MATCH($A47,Raw!$A$2:$A$1001,0)),"")</f>
        <v>Ace Drift9</v>
      </c>
      <c r="C47" s="9" t="n">
        <f aca="false">IF($B47="","",MAX($CS47:$DE47))</f>
        <v>43</v>
      </c>
      <c r="D47" s="8" t="str">
        <f aca="false">IF($B47="","",IF($C47=0,"Sample",INDEX(Setup!$B$37:$B$49,$C47-36)))</f>
        <v>Drift</v>
      </c>
      <c r="E47" s="16" t="n">
        <f aca="false">IF($B47="","",IFERROR(IF(INDEX(Raw!$E$2:$E$1001,MATCH($A47,Raw!$A$2:$A$1001,0))=0,"",INDEX(Raw!$E$2:$E$1001,MATCH($A47,Raw!$A$2:$A$1001,0))),""))</f>
        <v>0.38</v>
      </c>
      <c r="F47" s="18"/>
      <c r="G47" s="16" t="n">
        <f aca="false">IF($B47="","",IF($F47&lt;&gt;"",$F47,IF($E47="","",$E47)))</f>
        <v>0.38</v>
      </c>
      <c r="H47" s="9" t="n">
        <f aca="false">IF($B47="","",SUMPRODUCT(MAX((Raw!$A$2:$A$1001=$A47)*(Raw!$R$2:$R$1001="N")*Raw!$D$2:$D$1001)))</f>
        <v>3</v>
      </c>
      <c r="I47" s="9" t="str">
        <f aca="false">IF(OR($H47="",$H47=0),"",$A47&amp;"|N|"&amp;$H47)</f>
        <v>42|N|3</v>
      </c>
      <c r="J47" s="9" t="n">
        <f aca="false">IF($B47="","",SUMPRODUCT(MIN((Raw!$A$2:$A$1001=$A47)*(Raw!$R$2:$R$1001="C")*Raw!$D$2:$D$1001+(1-(Raw!$A$2:$A$1001=$A47)*(Raw!$R$2:$R$1001="C"))*9999)))</f>
        <v>4</v>
      </c>
      <c r="K47" s="9" t="str">
        <f aca="false">IF(OR($J47="",$J47=0,$J47=9999),"",$A47&amp;"|C|"&amp;$J47)</f>
        <v>42|C|4</v>
      </c>
      <c r="L47" s="16" t="n">
        <f aca="false">IF($I47="","",IF(INDEX(Raw!$I$2:$I$1001,MATCH($I47,Raw!$S$2:$S$1001,0))&lt;&gt;0,"",INDEX(Raw!$H$2:$H$1001,MATCH($I47,Raw!$S$2:$S$1001,0))))</f>
        <v>25.931</v>
      </c>
      <c r="M47" s="19" t="n">
        <f aca="false">IF($I47="","",IF(INDEX(Raw!$I$2:$I$1001,MATCH($I47,Raw!$S$2:$S$1001,0))&lt;&gt;0,"",INDEX(Raw!$F$2:$F$1001,MATCH($I47,Raw!$S$2:$S$1001,0))))</f>
        <v>1469</v>
      </c>
      <c r="N47" s="20" t="n">
        <f aca="false">IF($I47="","",IF(INDEX(Raw!$I$2:$I$1001,MATCH($I47,Raw!$S$2:$S$1001,0))&lt;&gt;0,"",INDEX(Raw!$G$2:$G$1001,MATCH($I47,Raw!$S$2:$S$1001,0))))</f>
        <v>24.1</v>
      </c>
      <c r="O47" s="16" t="n">
        <f aca="false">IF($I47="","",IF(INDEX(Raw!$I$2:$I$1001,MATCH($I47,Raw!$S$2:$S$1001,0))&lt;&gt;0,"",INDEX(Raw!$N$2:$N$1001,MATCH($I47,Raw!$S$2:$S$1001,0))))</f>
        <v>-6.24</v>
      </c>
      <c r="P47" s="16" t="n">
        <f aca="false">IF($K47="","",IF(INDEX(Raw!$I$2:$I$1001,MATCH($K47,Raw!$S$2:$S$1001,0))&lt;&gt;0,"",INDEX(Raw!$K$2:$K$1001,MATCH($K47,Raw!$S$2:$S$1001,0))))</f>
        <v>121.336</v>
      </c>
      <c r="Q47" s="19" t="n">
        <f aca="false">IF($K47="","",IF(INDEX(Raw!$I$2:$I$1001,MATCH($K47,Raw!$S$2:$S$1001,0))&lt;&gt;0,"",INDEX(Raw!$J$2:$J$1001,MATCH($K47,Raw!$S$2:$S$1001,0))))</f>
        <v>5413</v>
      </c>
      <c r="R47" s="16" t="n">
        <f aca="false">IF($K47="","",IF(INDEX(Raw!$I$2:$I$1001,MATCH($K47,Raw!$S$2:$S$1001,0))&lt;&gt;0,"",INDEX(Raw!$O$2:$O$1001,MATCH($K47,Raw!$S$2:$S$1001,0))))</f>
        <v>-9.51</v>
      </c>
      <c r="S47" s="21" t="str">
        <f aca="false">IF($B47="","",IF($C47=0,"",IF(INDEX(Setup!$D$37:$D$49,$C47-36)="","",INDEX(Setup!$D$37:$D$49,$C47-36))))</f>
        <v/>
      </c>
      <c r="T47" s="21" t="str">
        <f aca="false">IF($B47="","",IF($C47=0,"",IF(INDEX(Setup!$C$37:$C$49,$C47-36)="","",INDEX(Setup!$C$37:$C$49,$C47-36))))</f>
        <v/>
      </c>
      <c r="U47" s="21" t="n">
        <f aca="false">IF($B47="","",IF($C47=0,"",IF(INDEX(Setup!$F$37:$F$49,$C47-36)="","",INDEX(Setup!$F$37:$F$49,$C47-36))))</f>
        <v>10.36</v>
      </c>
      <c r="V47" s="21" t="n">
        <f aca="false">IF($B47="","",IF($C47=0,"",IF(INDEX(Setup!$E$37:$E$49,$C47-36)="","",INDEX(Setup!$E$37:$E$49,$C47-36))))</f>
        <v>71.09</v>
      </c>
      <c r="W47" s="16" t="n">
        <f aca="false">IF($O47="","",IF(OR(Fits!$C$5&lt;&gt;"Yes",$D47="Blank",$L47&lt;=Fits!$B$6),$O47,($L47*$O47-Fits!$B$6*Fits!$B$7)/($L47-Fits!$B$6)))</f>
        <v>-6.24</v>
      </c>
      <c r="X47" s="16" t="n">
        <f aca="false">IF($W47="","",$W47-Fits!$B$20*($L47-Fits!$B$16))</f>
        <v>-6.24</v>
      </c>
      <c r="Y47" s="22" t="n">
        <f aca="false">IF($W47="","",IF(OR(Fits!$B$38="Row",$BI47=""),$A47,$BI47))</f>
        <v>42</v>
      </c>
      <c r="Z47" s="16" t="n">
        <f aca="false">IF($X47="","",$X47-Fits!$B$39*($Y47-Fits!$B$40))</f>
        <v>-6.11856035004561</v>
      </c>
      <c r="AA47" s="23" t="n">
        <f aca="false">IF(OR($Z47="",Fits!$B$55&lt;2),"",Fits!$B$56*$Z47+Fits!$B$57)</f>
        <v>-5.25403114244627</v>
      </c>
      <c r="AB47" s="16" t="n">
        <f aca="false">IF($R47="","",IF(OR(Fits!$C$9&lt;&gt;"Yes",$D47="Blank",$P47&lt;=Fits!$B$10),$R47,($P47*$R47-Fits!$B$10*Fits!$B$11)/($P47-Fits!$B$10)))</f>
        <v>-9.51</v>
      </c>
      <c r="AC47" s="16" t="n">
        <f aca="false">IF($AB47="","",$AB47-Fits!$B$28*($P47-Fits!$B$24))</f>
        <v>-9.49920929371607</v>
      </c>
      <c r="AD47" s="22" t="n">
        <f aca="false">IF($AB47="","",IF(OR(Fits!$B$50="Row",$BI47=""),$A47,$BI47))</f>
        <v>42</v>
      </c>
      <c r="AE47" s="16" t="n">
        <f aca="false">IF($AC47="","",$AC47-Fits!$B$51*($AD47-Fits!$B$52))</f>
        <v>-9.52059009279298</v>
      </c>
      <c r="AF47" s="23" t="n">
        <f aca="false">IF(OR($AE47="",Fits!$B$62&lt;2),"",Fits!$B$63*$AE47+Fits!$B$64)</f>
        <v>-26.6475529724628</v>
      </c>
      <c r="AG47" s="21" t="n">
        <f aca="false">IF(OR($L47="",Fits!$B$69&lt;3),"",($L47-Fits!$B$71)/Fits!$B$70)</f>
        <v>39.5568201730732</v>
      </c>
      <c r="AH47" s="21" t="n">
        <f aca="false">IF(OR($P47="",Fits!$B$75&lt;3),"",($P47-Fits!$B$77)/Fits!$B$76)</f>
        <v>272.380277397351</v>
      </c>
      <c r="AI47" s="23" t="n">
        <f aca="false">IF(OR($AG47="",$G47="",$G47=0),"",$AG47/($G47*1000)*100)</f>
        <v>10.4096895192298</v>
      </c>
      <c r="AJ47" s="23" t="n">
        <f aca="false">IF(OR($AH47="",$G47="",$G47=0),"",$AH47/($G47*1000)*100)</f>
        <v>71.679020367724</v>
      </c>
      <c r="AK47" s="23" t="n">
        <f aca="false">IF(OR($AG47="",$AH47="",$AG47&lt;=0),"",($AH47/Setup!$B$52)/($AG47/Setup!$B$53))</f>
        <v>8.03008692533488</v>
      </c>
      <c r="AL47" s="23" t="n">
        <f aca="false">IF(OR($AG47="",$AH47="",$AG47&lt;=0),"",$AH47/$AG47)</f>
        <v>6.88579810524718</v>
      </c>
      <c r="AM47" s="9" t="str">
        <f aca="false">IF($D47="Linearity",IF($L47="","",$L47),"")</f>
        <v/>
      </c>
      <c r="AN47" s="9" t="str">
        <f aca="false">IF($D47="Linearity",IF($W47="","",$W47),"")</f>
        <v/>
      </c>
      <c r="AO47" s="9" t="str">
        <f aca="false">IF($D47="Linearity",IF($P47="","",$P47),"")</f>
        <v/>
      </c>
      <c r="AP47" s="9" t="str">
        <f aca="false">IF($D47="Linearity",IF($AB47="","",$AB47),"")</f>
        <v/>
      </c>
      <c r="AQ47" s="9" t="n">
        <f aca="false">IF($D47="Drift",IF($A47&lt;IF(Setup!$B$14="",0,Setup!$B$14),"",$A47),"")</f>
        <v>42</v>
      </c>
      <c r="AR47" s="22" t="n">
        <f aca="false">IF($D47="Drift",IF($A47&lt;IF(Setup!$B$14="",0,Setup!$B$14),"",IF($BI47="","",$BI47)),"")</f>
        <v>23.2</v>
      </c>
      <c r="AS47" s="24" t="n">
        <f aca="false">IF($D47="Drift",IF($A47&lt;IF(Setup!$B$14="",0,Setup!$B$14),"",IF(OR($X47="",$BX47=1),"",$X47)),"")</f>
        <v>-6.24</v>
      </c>
      <c r="AT47" s="24" t="n">
        <f aca="false">IF($D47="Drift",IF($A47&lt;IF(Setup!$B$14="",0,Setup!$B$14),"",IF(OR($AC47="",$BY47=1),"",$AC47)),"")</f>
        <v>-9.49920929371607</v>
      </c>
      <c r="AU47" s="9" t="str">
        <f aca="false">IF($D47="Anchor",IF(OR($Z47="",$S47=""),"",$Z47),"")</f>
        <v/>
      </c>
      <c r="AV47" s="9" t="str">
        <f aca="false">IF($D47="Anchor",IF(OR($Z47="",$S47=""),"",$S47),"")</f>
        <v/>
      </c>
      <c r="AW47" s="9" t="str">
        <f aca="false">IF($D47="Anchor",IF(OR($AE47="",$T47=""),"",$AE47),"")</f>
        <v/>
      </c>
      <c r="AX47" s="9" t="str">
        <f aca="false">IF($D47="Anchor",IF(OR($AE47="",$T47=""),"",$T47),"")</f>
        <v/>
      </c>
      <c r="AY47" s="9" t="n">
        <f aca="false">IF(OR($D47="Blank",$D47="Exclude",$D47="Sample",$D47="",$G47="",$U47="",$L47=""),"",$G47*1000*$U47/100)</f>
        <v>39.368</v>
      </c>
      <c r="AZ47" s="24" t="n">
        <f aca="false">IF($AY47="","",$L47)</f>
        <v>25.931</v>
      </c>
      <c r="BA47" s="9" t="n">
        <f aca="false">IF(OR($D47="Blank",$D47="Exclude",$D47="Sample",$D47="",$G47="",$V47="",$P47=""),"",$G47*1000*$V47/100)</f>
        <v>270.142</v>
      </c>
      <c r="BB47" s="24" t="n">
        <f aca="false">IF($BA47="","",$P47)</f>
        <v>121.336</v>
      </c>
      <c r="BC47" s="9" t="str">
        <f aca="false">IF(AND($D47="Blank",$L47&lt;&gt;""),$O47,"")</f>
        <v/>
      </c>
      <c r="BD47" s="9" t="str">
        <f aca="false">IF($BC47="","",$L47)</f>
        <v/>
      </c>
      <c r="BE47" s="9" t="str">
        <f aca="false">IF(AND($D47="Blank",$P47&lt;&gt;""),$R47,"")</f>
        <v/>
      </c>
      <c r="BF47" s="9" t="str">
        <f aca="false">IF($BE47="","",$P47)</f>
        <v/>
      </c>
      <c r="BG47" s="25" t="n">
        <f aca="false">IF(AND($D47="Drift",$BX47&lt;&gt;1),IF($AA47="","",$AA47),"")</f>
        <v>-5.25403114244627</v>
      </c>
      <c r="BH47" s="25" t="n">
        <f aca="false">IF(AND($D47="Drift",$BY47&lt;&gt;1),IF($AF47="","",$AF47),"")</f>
        <v>-26.6475529724628</v>
      </c>
      <c r="BI47" s="20" t="n">
        <f aca="false">IF($B47="","",IFERROR(INDEX(Raw!$G$2:$G$1001,MATCH($A47&amp;"|N|"&amp;SUMPRODUCT(MAX((Raw!$A$2:$A$1001=$A47)*(Raw!$R$2:$R$1001="N")*(Raw!$I$2:$I$1001=1)*Raw!$D$2:$D$1001)),Raw!$S$2:$S$1001,0)),""))</f>
        <v>23.2</v>
      </c>
      <c r="BJ47" s="21" t="n">
        <f aca="false">IF(OR($BI47="",Fits!$B$85&lt;=0),"",($BI47-Fits!$B$83)/Fits!$B$85)</f>
        <v>0.00900900900900882</v>
      </c>
      <c r="BK47" s="9" t="str">
        <f aca="false">IF($AS47="","",IF($A47&gt;=Fits!$B$86,"",$A47))</f>
        <v/>
      </c>
      <c r="BL47" s="9" t="str">
        <f aca="false">IF($BK47="","",$X47)</f>
        <v/>
      </c>
      <c r="BM47" s="9" t="n">
        <f aca="false">IF($AS47="","",IF($A47&lt;Fits!$B$86,"",$A47))</f>
        <v>42</v>
      </c>
      <c r="BN47" s="24" t="n">
        <f aca="false">IF($BM47="","",$X47)</f>
        <v>-6.24</v>
      </c>
      <c r="BO47" s="24" t="n">
        <f aca="false">IF(AND($D47="Drift",$BX47&lt;&gt;1),IF($O47="","",$O47),"")</f>
        <v>-6.24</v>
      </c>
      <c r="BP47" s="24" t="n">
        <f aca="false">IF(AND($D47="Drift",$BX47&lt;&gt;1),IF($W47="","",$W47),"")</f>
        <v>-6.24</v>
      </c>
      <c r="BQ47" s="24" t="n">
        <f aca="false">IF(AND($D47="Drift",$BX47&lt;&gt;1),IF($X47="","",$X47),"")</f>
        <v>-6.24</v>
      </c>
      <c r="BR47" s="24" t="n">
        <f aca="false">IF(AND($D47="Drift",$BX47&lt;&gt;1),IF($Z47="","",$Z47),"")</f>
        <v>-6.11856035004561</v>
      </c>
      <c r="BS47" s="9" t="n">
        <f aca="false">IF(OR($B47="",$H47=""),"",SUMPRODUCT(MIN((Raw!$A$2:$A$1001=$A47)*(Raw!$R$2:$R$1001="N")*(Raw!$I$2:$I$1001=0)*(Raw!$D$2:$D$1001&lt;$H47)*Raw!$D$2:$D$1001+(1-(Raw!$A$2:$A$1001=$A47)*(Raw!$R$2:$R$1001="N")*(Raw!$I$2:$I$1001=0)*(Raw!$D$2:$D$1001&lt;$H47))*9999)))</f>
        <v>1</v>
      </c>
      <c r="BT47" s="16" t="n">
        <f aca="false">IF(OR($BS47="",$BS47=9999,$BS47=0),"",IFERROR(INDEX(Raw!$N$2:$N$1001,MATCH($A47&amp;"|N|"&amp;$BS47,Raw!$S$2:$S$1001,0)),""))</f>
        <v>-1.09</v>
      </c>
      <c r="BU47" s="9" t="n">
        <f aca="false">IF($B47="","",SUMPRODUCT(MIN((Raw!$A$2:$A$1001=$A47)*(Raw!$R$2:$R$1001="C")*(Raw!$I$2:$I$1001=1)*Raw!$D$2:$D$1001+(1-(Raw!$A$2:$A$1001=$A47)*(Raw!$R$2:$R$1001="C")*(Raw!$I$2:$I$1001=1))*9999)))</f>
        <v>5</v>
      </c>
      <c r="BV47" s="9" t="n">
        <f aca="false">IF(OR($BU47="",$BU47=9999),"",SUMPRODUCT(MIN((Raw!$A$2:$A$1001=$A47)*(Raw!$R$2:$R$1001="C")*(Raw!$I$2:$I$1001=0)*(Raw!$D$2:$D$1001&gt;$BU47)*Raw!$D$2:$D$1001+(1-(Raw!$A$2:$A$1001=$A47)*(Raw!$R$2:$R$1001="C")*(Raw!$I$2:$I$1001=0)*(Raw!$D$2:$D$1001&gt;$BU47))*9999)))</f>
        <v>6</v>
      </c>
      <c r="BW47" s="16" t="n">
        <f aca="false">IF(OR($BV47="",$BV47=9999,$BV47=0),"",IFERROR(INDEX(Raw!$O$2:$O$1001,MATCH($A47&amp;"|C|"&amp;$BV47,Raw!$S$2:$S$1001,0)),""))</f>
        <v>-25.347</v>
      </c>
      <c r="BX47" s="9" t="n">
        <f aca="false">IF($B47="","",IF(ISNUMBER(SEARCH(","&amp;$A47&amp;",",","&amp;SUBSTITUTE(Setup!$B$16," ","")&amp;",")),1,0))</f>
        <v>0</v>
      </c>
      <c r="BY47" s="9" t="n">
        <f aca="false">IF($B47="","",IF(ISNUMBER(SEARCH(","&amp;$A47&amp;",",","&amp;SUBSTITUTE(Setup!$B$17," ","")&amp;",")),1,0))</f>
        <v>0</v>
      </c>
      <c r="BZ47" s="22" t="n">
        <f aca="false">IF($AS47="","",IF(Fits!$B$38="Row",$AQ47,IF($AR47="","",$AR47)))</f>
        <v>42</v>
      </c>
      <c r="CA47" s="22" t="n">
        <f aca="false">IF($AT47="","",IF(Fits!$B$50="Row",$AQ47,IF($AR47="","",$AR47)))</f>
        <v>42</v>
      </c>
      <c r="CB47" s="20" t="n">
        <f aca="false">IF(OR($D47&lt;&gt;"Drift",$X47="",$A47&lt;IF(Setup!$B$14="",0,Setup!$B$14),Fits!$B$107&lt;3,Fits!$B$110="",Fits!$B$109=0,IF(Fits!$B$38="Row",$AQ47,$AR47)=""),"",IF($BX47=1,IF(OR(Fits!$B$111="",Fits!$B$111=0),"",($X47-(IF(Fits!$B$38="Row",Fits!$B$32,Fits!$B$35)*IF(Fits!$B$38="Row",$AQ47,$AR47)+Fits!$B$110))/(Fits!$B$111*SQRT(1+(1/Fits!$B$107+(IF(Fits!$B$38="Row",$AQ47,$AR47)-Fits!$B$108)^2/Fits!$B$109)))),IF(OR(Fits!$B$107&lt;4,(1/Fits!$B$107+(IF(Fits!$B$38="Row",$AQ47,$AR47)-Fits!$B$108)^2/Fits!$B$109)&gt;=1),"",IF((Fits!$B$116-($X47-(IF(Fits!$B$38="Row",Fits!$B$32,Fits!$B$35)*IF(Fits!$B$38="Row",$AQ47,$AR47)+Fits!$B$110))^2/(1-(1/Fits!$B$107+(IF(Fits!$B$38="Row",$AQ47,$AR47)-Fits!$B$108)^2/Fits!$B$109)))&lt;=0,"",($X47-(IF(Fits!$B$38="Row",Fits!$B$32,Fits!$B$35)*IF(Fits!$B$38="Row",$AQ47,$AR47)+Fits!$B$110))/(SQRT((Fits!$B$116-($X47-(IF(Fits!$B$38="Row",Fits!$B$32,Fits!$B$35)*IF(Fits!$B$38="Row",$AQ47,$AR47)+Fits!$B$110))^2/(1-(1/Fits!$B$107+(IF(Fits!$B$38="Row",$AQ47,$AR47)-Fits!$B$108)^2/Fits!$B$109)))/(Fits!$B$107-3))*SQRT(1-(1/Fits!$B$107+(IF(Fits!$B$38="Row",$AQ47,$AR47)-Fits!$B$108)^2/Fits!$B$109)))))))</f>
        <v>-0.113046499890385</v>
      </c>
      <c r="CC47" s="20" t="n">
        <f aca="false">IF(OR($D47&lt;&gt;"Drift",$AC47="",$A47&lt;IF(Setup!$B$14="",0,Setup!$B$14),Fits!$B$120&lt;3,Fits!$B$123="",Fits!$B$122=0,IF(Fits!$B$50="Row",$AQ47,$AR47)=""),"",IF($BY47=1,IF(OR(Fits!$B$124="",Fits!$B$124=0),"",($AC47-(IF(Fits!$B$50="Row",Fits!$B$44,Fits!$B$47)*IF(Fits!$B$50="Row",$AQ47,$AR47)+Fits!$B$123))/(Fits!$B$124*SQRT(1+(1/Fits!$B$120+(IF(Fits!$B$50="Row",$AQ47,$AR47)-Fits!$B$121)^2/Fits!$B$122)))),IF(OR(Fits!$B$120&lt;4,(1/Fits!$B$120+(IF(Fits!$B$50="Row",$AQ47,$AR47)-Fits!$B$121)^2/Fits!$B$122)&gt;=1),"",IF((Fits!$B$129-($AC47-(IF(Fits!$B$50="Row",Fits!$B$44,Fits!$B$47)*IF(Fits!$B$50="Row",$AQ47,$AR47)+Fits!$B$123))^2/(1-(1/Fits!$B$120+(IF(Fits!$B$50="Row",$AQ47,$AR47)-Fits!$B$121)^2/Fits!$B$122)))&lt;=0,"",($AC47-(IF(Fits!$B$50="Row",Fits!$B$44,Fits!$B$47)*IF(Fits!$B$50="Row",$AQ47,$AR47)+Fits!$B$123))/(SQRT((Fits!$B$129-($AC47-(IF(Fits!$B$50="Row",Fits!$B$44,Fits!$B$47)*IF(Fits!$B$50="Row",$AQ47,$AR47)+Fits!$B$123))^2/(1-(1/Fits!$B$120+(IF(Fits!$B$50="Row",$AQ47,$AR47)-Fits!$B$121)^2/Fits!$B$122)))/(Fits!$B$120-3))*SQRT(1-(1/Fits!$B$120+(IF(Fits!$B$50="Row",$AQ47,$AR47)-Fits!$B$121)^2/Fits!$B$122)))))))</f>
        <v>-0.974588702912832</v>
      </c>
      <c r="CD47" s="9" t="str">
        <f aca="false">IF($AU47="","",1)</f>
        <v/>
      </c>
      <c r="CE47" s="24" t="str">
        <f aca="false">IF($AU47="","",$AU47-Fits!$B$133)</f>
        <v/>
      </c>
      <c r="CF47" s="24" t="str">
        <f aca="false">IF($AU47="","",($AV47-(Fits!$B$56*$AU47+Fits!$B$57))-Fits!$B$56*($AU47-Fits!$B$133))</f>
        <v/>
      </c>
      <c r="CG47" s="25" t="str">
        <f aca="false">IF($AU47="","",$AU47^2)</f>
        <v/>
      </c>
      <c r="CH47" s="9" t="str">
        <f aca="false">IF($AW47="","",1)</f>
        <v/>
      </c>
      <c r="CI47" s="24" t="str">
        <f aca="false">IF($AW47="","",$AW47-Fits!$B$153)</f>
        <v/>
      </c>
      <c r="CJ47" s="24" t="str">
        <f aca="false">IF($AW47="","",($AX47-(Fits!$B$63*$AW47+Fits!$B$64))-Fits!$B$63*($AW47-Fits!$B$153))</f>
        <v/>
      </c>
      <c r="CK47" s="25" t="str">
        <f aca="false">IF($AW47="","",$AW47^2)</f>
        <v/>
      </c>
      <c r="CL47" s="26" t="n">
        <f aca="false">IF(OR($Z47="",Fits!$B$55&lt;3,Fits!$B$133="",Fits!$B$134="",Fits!$B$134=0,Fits!$B$136=""),"",SQRT((Fits!$B$136*Fits!$B$56)^2+SUMPRODUCT((Fits!$J$163:$J$175*(Fits!$B$163:$B$175/Fits!$B$55+Fits!$H$163:$H$175*($Z47-Fits!$B$133)/Fits!$B$134))^2)+SUMPRODUCT((Fits!$G$163:$G$175*(($Z47-Fits!$B$133)*Fits!$I$163:$I$175/Fits!$B$134-Fits!$B$163:$B$175*Fits!$B$56/Fits!$B$55))^2)))</f>
        <v>0.256023735726242</v>
      </c>
      <c r="CM47" s="26" t="n">
        <f aca="false">IF($CL47="","",Setup!$B$32*$CL47)</f>
        <v>0.512047471452485</v>
      </c>
      <c r="CN47" s="26" t="n">
        <f aca="false">IF(OR($AE47="",Fits!$B$62&lt;3,Fits!$B$153="",Fits!$B$154="",Fits!$B$154=0,Fits!$B$156=""),"",SQRT((Fits!$B$156*Fits!$B$63)^2+SUMPRODUCT((Fits!$J$183:$J$195*(Fits!$B$183:$B$195/Fits!$B$62+Fits!$H$183:$H$195*($AE47-Fits!$B$153)/Fits!$B$154))^2)+SUMPRODUCT((Fits!$G$183:$G$195*(($AE47-Fits!$B$153)*Fits!$I$183:$I$195/Fits!$B$154-Fits!$B$183:$B$195*Fits!$B$63/Fits!$B$62))^2)))</f>
        <v>0.0378525269955036</v>
      </c>
      <c r="CO47" s="26" t="n">
        <f aca="false">IF($CN47="","",Setup!$B$32*$CN47)</f>
        <v>0.0757050539910071</v>
      </c>
      <c r="CP47" s="9" t="n">
        <f aca="false">IF(OR(NOT(ISNUMBER($BJ47)),$EK47=1),$CP46,IF($BJ47&lt;=Setup!$B$26,$CP46+1,0))</f>
        <v>12</v>
      </c>
      <c r="CQ47" s="9" t="n">
        <f aca="false">IF($BT47="","",$A47)</f>
        <v>42</v>
      </c>
      <c r="CR47" s="9" t="n">
        <f aca="false">IF($BW47="","",$A47)</f>
        <v>42</v>
      </c>
      <c r="CS47" s="9" t="n">
        <f aca="false">IF($B47="","",IF(Setup!$A$37="",0,IF(ISNUMBER(SEARCH(Setup!$A$37,$B47)),37,0)))</f>
        <v>0</v>
      </c>
      <c r="CT47" s="9" t="n">
        <f aca="false">IF($B47="","",IF(Setup!$A$38="",0,IF(ISNUMBER(SEARCH(Setup!$A$38,$B47)),38,0)))</f>
        <v>0</v>
      </c>
      <c r="CU47" s="9" t="n">
        <f aca="false">IF($B47="","",IF(Setup!$A$39="",0,IF(ISNUMBER(SEARCH(Setup!$A$39,$B47)),39,0)))</f>
        <v>0</v>
      </c>
      <c r="CV47" s="9" t="n">
        <f aca="false">IF($B47="","",IF(Setup!$A$40="",0,IF(ISNUMBER(SEARCH(Setup!$A$40,$B47)),40,0)))</f>
        <v>0</v>
      </c>
      <c r="CW47" s="9" t="n">
        <f aca="false">IF($B47="","",IF(Setup!$A$41="",0,IF(ISNUMBER(SEARCH(Setup!$A$41,$B47)),41,0)))</f>
        <v>0</v>
      </c>
      <c r="CX47" s="9" t="n">
        <f aca="false">IF($B47="","",IF(Setup!$A$42="",0,IF(ISNUMBER(SEARCH(Setup!$A$42,$B47)),42,0)))</f>
        <v>0</v>
      </c>
      <c r="CY47" s="9" t="n">
        <f aca="false">IF($B47="","",IF(Setup!$A$43="",0,IF(ISNUMBER(SEARCH(Setup!$A$43,$B47)),43,0)))</f>
        <v>43</v>
      </c>
      <c r="CZ47" s="9" t="n">
        <f aca="false">IF($B47="","",IF(Setup!$A$44="",0,IF(ISNUMBER(SEARCH(Setup!$A$44,$B47)),44,0)))</f>
        <v>0</v>
      </c>
      <c r="DA47" s="9" t="n">
        <f aca="false">IF($B47="","",IF(Setup!$A$45="",0,IF(ISNUMBER(SEARCH(Setup!$A$45,$B47)),45,0)))</f>
        <v>0</v>
      </c>
      <c r="DB47" s="9" t="n">
        <f aca="false">IF($B47="","",IF(Setup!$A$46="",0,IF(ISNUMBER(SEARCH(Setup!$A$46,$B47)),46,0)))</f>
        <v>0</v>
      </c>
      <c r="DC47" s="9" t="n">
        <f aca="false">IF($B47="","",IF(Setup!$A$47="",0,IF(ISNUMBER(SEARCH(Setup!$A$47,$B47)),47,0)))</f>
        <v>0</v>
      </c>
      <c r="DD47" s="9" t="n">
        <f aca="false">IF($B47="","",IF(Setup!$A$48="",0,IF(ISNUMBER(SEARCH(Setup!$A$48,$B47)),48,0)))</f>
        <v>0</v>
      </c>
      <c r="DE47" s="9" t="n">
        <f aca="false">IF($B47="","",IF(Setup!$A$49="",0,IF(ISNUMBER(SEARCH(Setup!$A$49,$B47)),49,0)))</f>
        <v>0</v>
      </c>
      <c r="DF47" s="9" t="n">
        <f aca="false">IF($B47="",NA(),$A47)</f>
        <v>42</v>
      </c>
      <c r="DG47" s="22" t="n">
        <f aca="false">IF($BI47="",NA(),$BI47)</f>
        <v>23.2</v>
      </c>
      <c r="DH47" s="22" t="n">
        <f aca="false">IF($N47="",NA(),$N47)</f>
        <v>24.1</v>
      </c>
      <c r="DI47" s="22" t="n">
        <f aca="false">IF(AND($D47="Drift",$N47&lt;&gt;""),$N47,NA())</f>
        <v>24.1</v>
      </c>
      <c r="DJ47" s="22" t="n">
        <f aca="false">IF(AND($D47="Drift",$N47&lt;&gt;""),$N47,"")</f>
        <v>24.1</v>
      </c>
      <c r="DK47" s="9" t="n">
        <f aca="false">IF($DJ47="","",$A47)</f>
        <v>42</v>
      </c>
      <c r="DL47" s="9" t="e">
        <f aca="false">IF($AN47="",NA(),$AM47)</f>
        <v>#N/A</v>
      </c>
      <c r="DM47" s="9" t="e">
        <f aca="false">IF($AN47="",NA(),$AN47)</f>
        <v>#N/A</v>
      </c>
      <c r="DN47" s="9" t="e">
        <f aca="false">IF(AND($D47="Sample",$L47&lt;&gt;""),$L47,NA())</f>
        <v>#N/A</v>
      </c>
      <c r="DO47" s="9" t="e">
        <f aca="false">IF(AND($D47="Sample",$L47&lt;&gt;"",Fits!$B$98&lt;&gt;""),Fits!$B$98,NA())</f>
        <v>#N/A</v>
      </c>
      <c r="DP47" s="24" t="n">
        <f aca="false">IF($AS47="",NA(),$AS47)</f>
        <v>-6.24</v>
      </c>
      <c r="DQ47" s="9" t="e">
        <f aca="false">IF(AND($D47="Drift",$AS47="",$X47&lt;&gt;""),$X47,NA())</f>
        <v>#N/A</v>
      </c>
      <c r="DR47" s="24" t="n">
        <f aca="false">IF(AND($D47="Drift",$Z47&lt;&gt;""),$Z47,NA())</f>
        <v>-6.11856035004561</v>
      </c>
      <c r="DS47" s="9" t="e">
        <f aca="false">IF(AND(OR($D47="Sample",$D47="Check"),$AA47&lt;&gt;""),$AA47,NA())</f>
        <v>#N/A</v>
      </c>
      <c r="DT47" s="25" t="n">
        <f aca="false">IF(OR($B47="",Fits!$B$138=""),NA(),Fits!$B$138)</f>
        <v>1.76</v>
      </c>
      <c r="DU47" s="25" t="n">
        <f aca="false">IF(OR($B47="",Fits!$B$139=""),NA(),Fits!$B$139)</f>
        <v>20.68</v>
      </c>
      <c r="DV47" s="24" t="n">
        <f aca="false">IF($BT47="",NA(),$BT47)</f>
        <v>-1.09</v>
      </c>
      <c r="DW47" s="9" t="e">
        <f aca="false">IF($AP47="",NA(),$AO47)</f>
        <v>#N/A</v>
      </c>
      <c r="DX47" s="9" t="e">
        <f aca="false">IF($AP47="",NA(),$AP47)</f>
        <v>#N/A</v>
      </c>
      <c r="DY47" s="9" t="e">
        <f aca="false">IF(AND($D47="Sample",$P47&lt;&gt;""),$P47,NA())</f>
        <v>#N/A</v>
      </c>
      <c r="DZ47" s="9" t="e">
        <f aca="false">IF(AND($D47="Sample",$P47&lt;&gt;"",Fits!$B$105&lt;&gt;""),Fits!$B$105,NA())</f>
        <v>#N/A</v>
      </c>
      <c r="EA47" s="24" t="n">
        <f aca="false">IF($AT47="",NA(),$AT47)</f>
        <v>-9.49920929371607</v>
      </c>
      <c r="EB47" s="9" t="e">
        <f aca="false">IF(AND($D47="Drift",$AT47="",$AC47&lt;&gt;""),$AC47,NA())</f>
        <v>#N/A</v>
      </c>
      <c r="EC47" s="24" t="n">
        <f aca="false">IF(AND($D47="Drift",$AE47&lt;&gt;""),$AE47,NA())</f>
        <v>-9.52059009279298</v>
      </c>
      <c r="ED47" s="9" t="e">
        <f aca="false">IF(AND(OR($D47="Sample",$D47="Check"),$AF47&lt;&gt;""),$AF47,NA())</f>
        <v>#N/A</v>
      </c>
      <c r="EE47" s="25" t="n">
        <f aca="false">IF(OR($B47="",Fits!$B$158=""),NA(),Fits!$B$158)</f>
        <v>-40.81</v>
      </c>
      <c r="EF47" s="25" t="n">
        <f aca="false">IF(OR($B47="",Fits!$B$159=""),NA(),Fits!$B$159)</f>
        <v>-20.29</v>
      </c>
      <c r="EG47" s="24" t="n">
        <f aca="false">IF($BW47="",NA(),$BW47)</f>
        <v>-25.347</v>
      </c>
      <c r="EH47" s="9" t="e">
        <f aca="false">IF(AND($EN47=1,ISNUMBER($N47)),$N47,NA())</f>
        <v>#N/A</v>
      </c>
      <c r="EI47" s="9" t="n">
        <f aca="false">IF($B47="","",$A47)</f>
        <v>42</v>
      </c>
      <c r="EJ47" s="9" t="n">
        <f aca="false">IF(OR(AND(ISNUMBER($L47),Fits!$B$97&gt;0,$L47&gt;Fits!$B$97),AND(ISNUMBER($P47),Fits!$B$104&gt;0,$P47&gt;Fits!$B$104)),1,0)</f>
        <v>0</v>
      </c>
      <c r="EK47" s="9" t="n">
        <f aca="false">IF(OR($EJ46=1,$EJ45=1),1,0)</f>
        <v>0</v>
      </c>
      <c r="EL47" s="22" t="n">
        <f aca="false">IF(AND($EK47=0,ISNUMBER($N47)),$N47,$EL46)</f>
        <v>24.1</v>
      </c>
      <c r="EM47" s="9" t="str">
        <f aca="false">IF(AND($EK47=1,ISNUMBER($N47),ISNUMBER($EL47)),$N47-$EL47,"")</f>
        <v/>
      </c>
      <c r="EN47" s="9" t="n">
        <f aca="false">IF(Setup!$B$28="",0,IF(ISNUMBER($EM47),IF($EM47&gt;Setup!$B$28,1,0),0))</f>
        <v>0</v>
      </c>
      <c r="EO47" s="9" t="str">
        <f aca="false">IF($EN47=1,COUNTIF($EN$6:$EN47,1),"")</f>
        <v/>
      </c>
      <c r="EP47" s="9" t="n">
        <f aca="false">IF(AND($EJ46=1,OR($D47="Sample",$D47="Check")),1,0)</f>
        <v>0</v>
      </c>
      <c r="EQ47" s="9" t="str">
        <f aca="false">IF(ISNUMBER($BI47),IF(COUNT($BI$6:$BI47)&lt;=5,$BI47,""),"")</f>
        <v/>
      </c>
      <c r="ER47" s="9" t="n">
        <f aca="false">IF(OR(NOT(ISNUMBER($BJ47)),$EK47=1),$ER46,IF($BJ47&lt;=Setup!$B$26,IF($CP46=0,$A47,$ER46),""))</f>
        <v>27</v>
      </c>
    </row>
    <row r="48" customFormat="false" ht="15" hidden="false" customHeight="false" outlineLevel="0" collapsed="false">
      <c r="A48" s="8" t="n">
        <v>43</v>
      </c>
      <c r="B48" s="8" t="str">
        <f aca="false">IFERROR(INDEX(Raw!$B$2:$B$1001,MATCH($A48,Raw!$A$2:$A$1001,0)),"")</f>
        <v>Random</v>
      </c>
      <c r="C48" s="9" t="n">
        <f aca="false">IF($B48="","",MAX($CS48:$DE48))</f>
        <v>0</v>
      </c>
      <c r="D48" s="8" t="str">
        <f aca="false">IF($B48="","",IF($C48=0,"Sample",INDEX(Setup!$B$37:$B$49,$C48-36)))</f>
        <v>Sample</v>
      </c>
      <c r="E48" s="16" t="str">
        <f aca="false">IF($B48="","",IFERROR(IF(INDEX(Raw!$E$2:$E$1001,MATCH($A48,Raw!$A$2:$A$1001,0))=0,"",INDEX(Raw!$E$2:$E$1001,MATCH($A48,Raw!$A$2:$A$1001,0))),""))</f>
        <v/>
      </c>
      <c r="F48" s="18"/>
      <c r="G48" s="16" t="str">
        <f aca="false">IF($B48="","",IF($F48&lt;&gt;"",$F48,IF($E48="","",$E48)))</f>
        <v/>
      </c>
      <c r="H48" s="9" t="n">
        <f aca="false">IF($B48="","",SUMPRODUCT(MAX((Raw!$A$2:$A$1001=$A48)*(Raw!$R$2:$R$1001="N")*Raw!$D$2:$D$1001)))</f>
        <v>3</v>
      </c>
      <c r="I48" s="9" t="str">
        <f aca="false">IF(OR($H48="",$H48=0),"",$A48&amp;"|N|"&amp;$H48)</f>
        <v>43|N|3</v>
      </c>
      <c r="J48" s="9" t="n">
        <f aca="false">IF($B48="","",SUMPRODUCT(MIN((Raw!$A$2:$A$1001=$A48)*(Raw!$R$2:$R$1001="C")*Raw!$D$2:$D$1001+(1-(Raw!$A$2:$A$1001=$A48)*(Raw!$R$2:$R$1001="C"))*9999)))</f>
        <v>4</v>
      </c>
      <c r="K48" s="9" t="str">
        <f aca="false">IF(OR($J48="",$J48=0,$J48=9999),"",$A48&amp;"|C|"&amp;$J48)</f>
        <v>43|C|4</v>
      </c>
      <c r="L48" s="16" t="n">
        <f aca="false">IF($I48="","",IF(INDEX(Raw!$I$2:$I$1001,MATCH($I48,Raw!$S$2:$S$1001,0))&lt;&gt;0,"",INDEX(Raw!$H$2:$H$1001,MATCH($I48,Raw!$S$2:$S$1001,0))))</f>
        <v>2.919</v>
      </c>
      <c r="M48" s="19" t="n">
        <f aca="false">IF($I48="","",IF(INDEX(Raw!$I$2:$I$1001,MATCH($I48,Raw!$S$2:$S$1001,0))&lt;&gt;0,"",INDEX(Raw!$F$2:$F$1001,MATCH($I48,Raw!$S$2:$S$1001,0))))</f>
        <v>105</v>
      </c>
      <c r="N48" s="20" t="n">
        <f aca="false">IF($I48="","",IF(INDEX(Raw!$I$2:$I$1001,MATCH($I48,Raw!$S$2:$S$1001,0))&lt;&gt;0,"",INDEX(Raw!$G$2:$G$1001,MATCH($I48,Raw!$S$2:$S$1001,0))))</f>
        <v>24.1</v>
      </c>
      <c r="O48" s="16" t="n">
        <f aca="false">IF($I48="","",IF(INDEX(Raw!$I$2:$I$1001,MATCH($I48,Raw!$S$2:$S$1001,0))&lt;&gt;0,"",INDEX(Raw!$N$2:$N$1001,MATCH($I48,Raw!$S$2:$S$1001,0))))</f>
        <v>-1.599</v>
      </c>
      <c r="P48" s="16" t="n">
        <f aca="false">IF($K48="","",IF(INDEX(Raw!$I$2:$I$1001,MATCH($K48,Raw!$S$2:$S$1001,0))&lt;&gt;0,"",INDEX(Raw!$K$2:$K$1001,MATCH($K48,Raw!$S$2:$S$1001,0))))</f>
        <v>15.34</v>
      </c>
      <c r="Q48" s="19" t="n">
        <f aca="false">IF($K48="","",IF(INDEX(Raw!$I$2:$I$1001,MATCH($K48,Raw!$S$2:$S$1001,0))&lt;&gt;0,"",INDEX(Raw!$J$2:$J$1001,MATCH($K48,Raw!$S$2:$S$1001,0))))</f>
        <v>710</v>
      </c>
      <c r="R48" s="16" t="n">
        <f aca="false">IF($K48="","",IF(INDEX(Raw!$I$2:$I$1001,MATCH($K48,Raw!$S$2:$S$1001,0))&lt;&gt;0,"",INDEX(Raw!$O$2:$O$1001,MATCH($K48,Raw!$S$2:$S$1001,0))))</f>
        <v>-10.334</v>
      </c>
      <c r="S48" s="21" t="str">
        <f aca="false">IF($B48="","",IF($C48=0,"",IF(INDEX(Setup!$D$37:$D$49,$C48-36)="","",INDEX(Setup!$D$37:$D$49,$C48-36))))</f>
        <v/>
      </c>
      <c r="T48" s="21" t="str">
        <f aca="false">IF($B48="","",IF($C48=0,"",IF(INDEX(Setup!$C$37:$C$49,$C48-36)="","",INDEX(Setup!$C$37:$C$49,$C48-36))))</f>
        <v/>
      </c>
      <c r="U48" s="21" t="str">
        <f aca="false">IF($B48="","",IF($C48=0,"",IF(INDEX(Setup!$F$37:$F$49,$C48-36)="","",INDEX(Setup!$F$37:$F$49,$C48-36))))</f>
        <v/>
      </c>
      <c r="V48" s="21" t="str">
        <f aca="false">IF($B48="","",IF($C48=0,"",IF(INDEX(Setup!$E$37:$E$49,$C48-36)="","",INDEX(Setup!$E$37:$E$49,$C48-36))))</f>
        <v/>
      </c>
      <c r="W48" s="16" t="n">
        <f aca="false">IF($O48="","",IF(OR(Fits!$C$5&lt;&gt;"Yes",$D48="Blank",$L48&lt;=Fits!$B$6),$O48,($L48*$O48-Fits!$B$6*Fits!$B$7)/($L48-Fits!$B$6)))</f>
        <v>-1.599</v>
      </c>
      <c r="X48" s="16" t="n">
        <f aca="false">IF($W48="","",$W48-Fits!$B$20*($L48-Fits!$B$16))</f>
        <v>-1.599</v>
      </c>
      <c r="Y48" s="22" t="n">
        <f aca="false">IF($W48="","",IF(OR(Fits!$B$38="Row",$BI48=""),$A48,$BI48))</f>
        <v>43</v>
      </c>
      <c r="Z48" s="16" t="n">
        <f aca="false">IF($X48="","",$X48-Fits!$B$39*($Y48-Fits!$B$40))</f>
        <v>-1.46280600005115</v>
      </c>
      <c r="AA48" s="23" t="n">
        <f aca="false">IF(OR($Z48="",Fits!$B$55&lt;2),"",Fits!$B$56*$Z48+Fits!$B$57)</f>
        <v>-0.474444234569646</v>
      </c>
      <c r="AB48" s="16" t="n">
        <f aca="false">IF($R48="","",IF(OR(Fits!$C$9&lt;&gt;"Yes",$D48="Blank",$P48&lt;=Fits!$B$10),$R48,($P48*$R48-Fits!$B$10*Fits!$B$11)/($P48-Fits!$B$10)))</f>
        <v>-10.334</v>
      </c>
      <c r="AC48" s="16" t="n">
        <f aca="false">IF($AB48="","",$AB48-Fits!$B$28*($P48-Fits!$B$24))</f>
        <v>-10.1395446283976</v>
      </c>
      <c r="AD48" s="22" t="n">
        <f aca="false">IF($AB48="","",IF(OR(Fits!$B$50="Row",$BI48=""),$A48,$BI48))</f>
        <v>43</v>
      </c>
      <c r="AE48" s="16" t="n">
        <f aca="false">IF($AC48="","",$AC48-Fits!$B$51*($AD48-Fits!$B$52))</f>
        <v>-10.163523094652</v>
      </c>
      <c r="AF48" s="23" t="n">
        <f aca="false">IF(OR($AE48="",Fits!$B$62&lt;2),"",Fits!$B$63*$AE48+Fits!$B$64)</f>
        <v>-27.2995838560812</v>
      </c>
      <c r="AG48" s="21" t="n">
        <f aca="false">IF(OR($L48="",Fits!$B$69&lt;3),"",($L48-Fits!$B$71)/Fits!$B$70)</f>
        <v>1.54310456156687</v>
      </c>
      <c r="AH48" s="21" t="n">
        <f aca="false">IF(OR($P48="",Fits!$B$75&lt;3),"",($P48-Fits!$B$77)/Fits!$B$76)</f>
        <v>30.9580921890857</v>
      </c>
      <c r="AI48" s="23" t="str">
        <f aca="false">IF(OR($AG48="",$G48="",$G48=0),"",$AG48/($G48*1000)*100)</f>
        <v/>
      </c>
      <c r="AJ48" s="23" t="str">
        <f aca="false">IF(OR($AH48="",$G48="",$G48=0),"",$AH48/($G48*1000)*100)</f>
        <v/>
      </c>
      <c r="AK48" s="23" t="n">
        <f aca="false">IF(OR($AG48="",$AH48="",$AG48&lt;=0),"",($AH48/Setup!$B$52)/($AG48/Setup!$B$53))</f>
        <v>23.3961714776468</v>
      </c>
      <c r="AL48" s="23" t="n">
        <f aca="false">IF(OR($AG48="",$AH48="",$AG48&lt;=0),"",$AH48/$AG48)</f>
        <v>20.0622128662822</v>
      </c>
      <c r="AM48" s="9" t="str">
        <f aca="false">IF($D48="Linearity",IF($L48="","",$L48),"")</f>
        <v/>
      </c>
      <c r="AN48" s="9" t="str">
        <f aca="false">IF($D48="Linearity",IF($W48="","",$W48),"")</f>
        <v/>
      </c>
      <c r="AO48" s="9" t="str">
        <f aca="false">IF($D48="Linearity",IF($P48="","",$P48),"")</f>
        <v/>
      </c>
      <c r="AP48" s="9" t="str">
        <f aca="false">IF($D48="Linearity",IF($AB48="","",$AB48),"")</f>
        <v/>
      </c>
      <c r="AQ48" s="9" t="str">
        <f aca="false">IF($D48="Drift",IF($A48&lt;IF(Setup!$B$14="",0,Setup!$B$14),"",$A48),"")</f>
        <v/>
      </c>
      <c r="AR48" s="9" t="str">
        <f aca="false">IF($D48="Drift",IF($A48&lt;IF(Setup!$B$14="",0,Setup!$B$14),"",IF($BI48="","",$BI48)),"")</f>
        <v/>
      </c>
      <c r="AS48" s="9" t="str">
        <f aca="false">IF($D48="Drift",IF($A48&lt;IF(Setup!$B$14="",0,Setup!$B$14),"",IF(OR($X48="",$BX48=1),"",$X48)),"")</f>
        <v/>
      </c>
      <c r="AT48" s="9" t="str">
        <f aca="false">IF($D48="Drift",IF($A48&lt;IF(Setup!$B$14="",0,Setup!$B$14),"",IF(OR($AC48="",$BY48=1),"",$AC48)),"")</f>
        <v/>
      </c>
      <c r="AU48" s="9" t="str">
        <f aca="false">IF($D48="Anchor",IF(OR($Z48="",$S48=""),"",$Z48),"")</f>
        <v/>
      </c>
      <c r="AV48" s="9" t="str">
        <f aca="false">IF($D48="Anchor",IF(OR($Z48="",$S48=""),"",$S48),"")</f>
        <v/>
      </c>
      <c r="AW48" s="9" t="str">
        <f aca="false">IF($D48="Anchor",IF(OR($AE48="",$T48=""),"",$AE48),"")</f>
        <v/>
      </c>
      <c r="AX48" s="9" t="str">
        <f aca="false">IF($D48="Anchor",IF(OR($AE48="",$T48=""),"",$T48),"")</f>
        <v/>
      </c>
      <c r="AY48" s="9" t="str">
        <f aca="false">IF(OR($D48="Blank",$D48="Exclude",$D48="Sample",$D48="",$G48="",$U48="",$L48=""),"",$G48*1000*$U48/100)</f>
        <v/>
      </c>
      <c r="AZ48" s="9" t="str">
        <f aca="false">IF($AY48="","",$L48)</f>
        <v/>
      </c>
      <c r="BA48" s="9" t="str">
        <f aca="false">IF(OR($D48="Blank",$D48="Exclude",$D48="Sample",$D48="",$G48="",$V48="",$P48=""),"",$G48*1000*$V48/100)</f>
        <v/>
      </c>
      <c r="BB48" s="9" t="str">
        <f aca="false">IF($BA48="","",$P48)</f>
        <v/>
      </c>
      <c r="BC48" s="9" t="str">
        <f aca="false">IF(AND($D48="Blank",$L48&lt;&gt;""),$O48,"")</f>
        <v/>
      </c>
      <c r="BD48" s="9" t="str">
        <f aca="false">IF($BC48="","",$L48)</f>
        <v/>
      </c>
      <c r="BE48" s="9" t="str">
        <f aca="false">IF(AND($D48="Blank",$P48&lt;&gt;""),$R48,"")</f>
        <v/>
      </c>
      <c r="BF48" s="9" t="str">
        <f aca="false">IF($BE48="","",$P48)</f>
        <v/>
      </c>
      <c r="BG48" s="9" t="str">
        <f aca="false">IF(AND($D48="Drift",$BX48&lt;&gt;1),IF($AA48="","",$AA48),"")</f>
        <v/>
      </c>
      <c r="BH48" s="9" t="str">
        <f aca="false">IF(AND($D48="Drift",$BY48&lt;&gt;1),IF($AF48="","",$AF48),"")</f>
        <v/>
      </c>
      <c r="BI48" s="20" t="n">
        <f aca="false">IF($B48="","",IFERROR(INDEX(Raw!$G$2:$G$1001,MATCH($A48&amp;"|N|"&amp;SUMPRODUCT(MAX((Raw!$A$2:$A$1001=$A48)*(Raw!$R$2:$R$1001="N")*(Raw!$I$2:$I$1001=1)*Raw!$D$2:$D$1001)),Raw!$S$2:$S$1001,0)),""))</f>
        <v>23.3</v>
      </c>
      <c r="BJ48" s="21" t="n">
        <f aca="false">IF(OR($BI48="",Fits!$B$85&lt;=0),"",($BI48-Fits!$B$83)/Fits!$B$85)</f>
        <v>0.018018018018018</v>
      </c>
      <c r="BK48" s="9" t="str">
        <f aca="false">IF($AS48="","",IF($A48&gt;=Fits!$B$86,"",$A48))</f>
        <v/>
      </c>
      <c r="BL48" s="9" t="str">
        <f aca="false">IF($BK48="","",$X48)</f>
        <v/>
      </c>
      <c r="BM48" s="9" t="str">
        <f aca="false">IF($AS48="","",IF($A48&lt;Fits!$B$86,"",$A48))</f>
        <v/>
      </c>
      <c r="BN48" s="9" t="str">
        <f aca="false">IF($BM48="","",$X48)</f>
        <v/>
      </c>
      <c r="BO48" s="9" t="str">
        <f aca="false">IF(AND($D48="Drift",$BX48&lt;&gt;1),IF($O48="","",$O48),"")</f>
        <v/>
      </c>
      <c r="BP48" s="9" t="str">
        <f aca="false">IF(AND($D48="Drift",$BX48&lt;&gt;1),IF($W48="","",$W48),"")</f>
        <v/>
      </c>
      <c r="BQ48" s="9" t="str">
        <f aca="false">IF(AND($D48="Drift",$BX48&lt;&gt;1),IF($X48="","",$X48),"")</f>
        <v/>
      </c>
      <c r="BR48" s="9" t="str">
        <f aca="false">IF(AND($D48="Drift",$BX48&lt;&gt;1),IF($Z48="","",$Z48),"")</f>
        <v/>
      </c>
      <c r="BS48" s="9" t="n">
        <f aca="false">IF(OR($B48="",$H48=""),"",SUMPRODUCT(MIN((Raw!$A$2:$A$1001=$A48)*(Raw!$R$2:$R$1001="N")*(Raw!$I$2:$I$1001=0)*(Raw!$D$2:$D$1001&lt;$H48)*Raw!$D$2:$D$1001+(1-(Raw!$A$2:$A$1001=$A48)*(Raw!$R$2:$R$1001="N")*(Raw!$I$2:$I$1001=0)*(Raw!$D$2:$D$1001&lt;$H48))*9999)))</f>
        <v>1</v>
      </c>
      <c r="BT48" s="16" t="n">
        <f aca="false">IF(OR($BS48="",$BS48=9999,$BS48=0),"",IFERROR(INDEX(Raw!$N$2:$N$1001,MATCH($A48&amp;"|N|"&amp;$BS48,Raw!$S$2:$S$1001,0)),""))</f>
        <v>-1.277</v>
      </c>
      <c r="BU48" s="9" t="n">
        <f aca="false">IF($B48="","",SUMPRODUCT(MIN((Raw!$A$2:$A$1001=$A48)*(Raw!$R$2:$R$1001="C")*(Raw!$I$2:$I$1001=1)*Raw!$D$2:$D$1001+(1-(Raw!$A$2:$A$1001=$A48)*(Raw!$R$2:$R$1001="C")*(Raw!$I$2:$I$1001=1))*9999)))</f>
        <v>5</v>
      </c>
      <c r="BV48" s="9" t="n">
        <f aca="false">IF(OR($BU48="",$BU48=9999),"",SUMPRODUCT(MIN((Raw!$A$2:$A$1001=$A48)*(Raw!$R$2:$R$1001="C")*(Raw!$I$2:$I$1001=0)*(Raw!$D$2:$D$1001&gt;$BU48)*Raw!$D$2:$D$1001+(1-(Raw!$A$2:$A$1001=$A48)*(Raw!$R$2:$R$1001="C")*(Raw!$I$2:$I$1001=0)*(Raw!$D$2:$D$1001&gt;$BU48))*9999)))</f>
        <v>6</v>
      </c>
      <c r="BW48" s="16" t="n">
        <f aca="false">IF(OR($BV48="",$BV48=9999,$BV48=0),"",IFERROR(INDEX(Raw!$O$2:$O$1001,MATCH($A48&amp;"|C|"&amp;$BV48,Raw!$S$2:$S$1001,0)),""))</f>
        <v>-25.447</v>
      </c>
      <c r="BX48" s="9" t="n">
        <f aca="false">IF($B48="","",IF(ISNUMBER(SEARCH(","&amp;$A48&amp;",",","&amp;SUBSTITUTE(Setup!$B$16," ","")&amp;",")),1,0))</f>
        <v>0</v>
      </c>
      <c r="BY48" s="9" t="n">
        <f aca="false">IF($B48="","",IF(ISNUMBER(SEARCH(","&amp;$A48&amp;",",","&amp;SUBSTITUTE(Setup!$B$17," ","")&amp;",")),1,0))</f>
        <v>0</v>
      </c>
      <c r="BZ48" s="22" t="str">
        <f aca="false">IF($AS48="","",IF(Fits!$B$38="Row",$AQ48,IF($AR48="","",$AR48)))</f>
        <v/>
      </c>
      <c r="CA48" s="22" t="str">
        <f aca="false">IF($AT48="","",IF(Fits!$B$50="Row",$AQ48,IF($AR48="","",$AR48)))</f>
        <v/>
      </c>
      <c r="CB48" s="20" t="str">
        <f aca="false">IF(OR($D48&lt;&gt;"Drift",$X48="",$A48&lt;IF(Setup!$B$14="",0,Setup!$B$14),Fits!$B$107&lt;3,Fits!$B$110="",Fits!$B$109=0,IF(Fits!$B$38="Row",$AQ48,$AR48)=""),"",IF($BX48=1,IF(OR(Fits!$B$111="",Fits!$B$111=0),"",($X48-(IF(Fits!$B$38="Row",Fits!$B$32,Fits!$B$35)*IF(Fits!$B$38="Row",$AQ48,$AR48)+Fits!$B$110))/(Fits!$B$111*SQRT(1+(1/Fits!$B$107+(IF(Fits!$B$38="Row",$AQ48,$AR48)-Fits!$B$108)^2/Fits!$B$109)))),IF(OR(Fits!$B$107&lt;4,(1/Fits!$B$107+(IF(Fits!$B$38="Row",$AQ48,$AR48)-Fits!$B$108)^2/Fits!$B$109)&gt;=1),"",IF((Fits!$B$116-($X48-(IF(Fits!$B$38="Row",Fits!$B$32,Fits!$B$35)*IF(Fits!$B$38="Row",$AQ48,$AR48)+Fits!$B$110))^2/(1-(1/Fits!$B$107+(IF(Fits!$B$38="Row",$AQ48,$AR48)-Fits!$B$108)^2/Fits!$B$109)))&lt;=0,"",($X48-(IF(Fits!$B$38="Row",Fits!$B$32,Fits!$B$35)*IF(Fits!$B$38="Row",$AQ48,$AR48)+Fits!$B$110))/(SQRT((Fits!$B$116-($X48-(IF(Fits!$B$38="Row",Fits!$B$32,Fits!$B$35)*IF(Fits!$B$38="Row",$AQ48,$AR48)+Fits!$B$110))^2/(1-(1/Fits!$B$107+(IF(Fits!$B$38="Row",$AQ48,$AR48)-Fits!$B$108)^2/Fits!$B$109)))/(Fits!$B$107-3))*SQRT(1-(1/Fits!$B$107+(IF(Fits!$B$38="Row",$AQ48,$AR48)-Fits!$B$108)^2/Fits!$B$109)))))))</f>
        <v/>
      </c>
      <c r="CC48" s="20" t="str">
        <f aca="false">IF(OR($D48&lt;&gt;"Drift",$AC48="",$A48&lt;IF(Setup!$B$14="",0,Setup!$B$14),Fits!$B$120&lt;3,Fits!$B$123="",Fits!$B$122=0,IF(Fits!$B$50="Row",$AQ48,$AR48)=""),"",IF($BY48=1,IF(OR(Fits!$B$124="",Fits!$B$124=0),"",($AC48-(IF(Fits!$B$50="Row",Fits!$B$44,Fits!$B$47)*IF(Fits!$B$50="Row",$AQ48,$AR48)+Fits!$B$123))/(Fits!$B$124*SQRT(1+(1/Fits!$B$120+(IF(Fits!$B$50="Row",$AQ48,$AR48)-Fits!$B$121)^2/Fits!$B$122)))),IF(OR(Fits!$B$120&lt;4,(1/Fits!$B$120+(IF(Fits!$B$50="Row",$AQ48,$AR48)-Fits!$B$121)^2/Fits!$B$122)&gt;=1),"",IF((Fits!$B$129-($AC48-(IF(Fits!$B$50="Row",Fits!$B$44,Fits!$B$47)*IF(Fits!$B$50="Row",$AQ48,$AR48)+Fits!$B$123))^2/(1-(1/Fits!$B$120+(IF(Fits!$B$50="Row",$AQ48,$AR48)-Fits!$B$121)^2/Fits!$B$122)))&lt;=0,"",($AC48-(IF(Fits!$B$50="Row",Fits!$B$44,Fits!$B$47)*IF(Fits!$B$50="Row",$AQ48,$AR48)+Fits!$B$123))/(SQRT((Fits!$B$129-($AC48-(IF(Fits!$B$50="Row",Fits!$B$44,Fits!$B$47)*IF(Fits!$B$50="Row",$AQ48,$AR48)+Fits!$B$123))^2/(1-(1/Fits!$B$120+(IF(Fits!$B$50="Row",$AQ48,$AR48)-Fits!$B$121)^2/Fits!$B$122)))/(Fits!$B$120-3))*SQRT(1-(1/Fits!$B$120+(IF(Fits!$B$50="Row",$AQ48,$AR48)-Fits!$B$121)^2/Fits!$B$122)))))))</f>
        <v/>
      </c>
      <c r="CD48" s="9" t="str">
        <f aca="false">IF($AU48="","",1)</f>
        <v/>
      </c>
      <c r="CE48" s="24" t="str">
        <f aca="false">IF($AU48="","",$AU48-Fits!$B$133)</f>
        <v/>
      </c>
      <c r="CF48" s="24" t="str">
        <f aca="false">IF($AU48="","",($AV48-(Fits!$B$56*$AU48+Fits!$B$57))-Fits!$B$56*($AU48-Fits!$B$133))</f>
        <v/>
      </c>
      <c r="CG48" s="25" t="str">
        <f aca="false">IF($AU48="","",$AU48^2)</f>
        <v/>
      </c>
      <c r="CH48" s="9" t="str">
        <f aca="false">IF($AW48="","",1)</f>
        <v/>
      </c>
      <c r="CI48" s="24" t="str">
        <f aca="false">IF($AW48="","",$AW48-Fits!$B$153)</f>
        <v/>
      </c>
      <c r="CJ48" s="24" t="str">
        <f aca="false">IF($AW48="","",($AX48-(Fits!$B$63*$AW48+Fits!$B$64))-Fits!$B$63*($AW48-Fits!$B$153))</f>
        <v/>
      </c>
      <c r="CK48" s="25" t="str">
        <f aca="false">IF($AW48="","",$AW48^2)</f>
        <v/>
      </c>
      <c r="CL48" s="26" t="n">
        <f aca="false">IF(OR($Z48="",Fits!$B$55&lt;3,Fits!$B$133="",Fits!$B$134="",Fits!$B$134=0,Fits!$B$136=""),"",SQRT((Fits!$B$136*Fits!$B$56)^2+SUMPRODUCT((Fits!$J$163:$J$175*(Fits!$B$163:$B$175/Fits!$B$55+Fits!$H$163:$H$175*($Z48-Fits!$B$133)/Fits!$B$134))^2)+SUMPRODUCT((Fits!$G$163:$G$175*(($Z48-Fits!$B$133)*Fits!$I$163:$I$175/Fits!$B$134-Fits!$B$163:$B$175*Fits!$B$56/Fits!$B$55))^2)))</f>
        <v>0.230152434952884</v>
      </c>
      <c r="CM48" s="26" t="n">
        <f aca="false">IF($CL48="","",Setup!$B$32*$CL48)</f>
        <v>0.460304869905768</v>
      </c>
      <c r="CN48" s="26" t="n">
        <f aca="false">IF(OR($AE48="",Fits!$B$62&lt;3,Fits!$B$153="",Fits!$B$154="",Fits!$B$154=0,Fits!$B$156=""),"",SQRT((Fits!$B$156*Fits!$B$63)^2+SUMPRODUCT((Fits!$J$183:$J$195*(Fits!$B$183:$B$195/Fits!$B$62+Fits!$H$183:$H$195*($AE48-Fits!$B$153)/Fits!$B$154))^2)+SUMPRODUCT((Fits!$G$183:$G$195*(($AE48-Fits!$B$153)*Fits!$I$183:$I$195/Fits!$B$154-Fits!$B$183:$B$195*Fits!$B$63/Fits!$B$62))^2)))</f>
        <v>0.0373386404194756</v>
      </c>
      <c r="CO48" s="26" t="n">
        <f aca="false">IF($CN48="","",Setup!$B$32*$CN48)</f>
        <v>0.0746772808389512</v>
      </c>
      <c r="CP48" s="9" t="n">
        <f aca="false">IF(OR(NOT(ISNUMBER($BJ48)),$EK48=1),$CP47,IF($BJ48&lt;=Setup!$B$26,$CP47+1,0))</f>
        <v>13</v>
      </c>
      <c r="CQ48" s="9" t="n">
        <f aca="false">IF($BT48="","",$A48)</f>
        <v>43</v>
      </c>
      <c r="CR48" s="9" t="n">
        <f aca="false">IF($BW48="","",$A48)</f>
        <v>43</v>
      </c>
      <c r="CS48" s="9" t="n">
        <f aca="false">IF($B48="","",IF(Setup!$A$37="",0,IF(ISNUMBER(SEARCH(Setup!$A$37,$B48)),37,0)))</f>
        <v>0</v>
      </c>
      <c r="CT48" s="9" t="n">
        <f aca="false">IF($B48="","",IF(Setup!$A$38="",0,IF(ISNUMBER(SEARCH(Setup!$A$38,$B48)),38,0)))</f>
        <v>0</v>
      </c>
      <c r="CU48" s="9" t="n">
        <f aca="false">IF($B48="","",IF(Setup!$A$39="",0,IF(ISNUMBER(SEARCH(Setup!$A$39,$B48)),39,0)))</f>
        <v>0</v>
      </c>
      <c r="CV48" s="9" t="n">
        <f aca="false">IF($B48="","",IF(Setup!$A$40="",0,IF(ISNUMBER(SEARCH(Setup!$A$40,$B48)),40,0)))</f>
        <v>0</v>
      </c>
      <c r="CW48" s="9" t="n">
        <f aca="false">IF($B48="","",IF(Setup!$A$41="",0,IF(ISNUMBER(SEARCH(Setup!$A$41,$B48)),41,0)))</f>
        <v>0</v>
      </c>
      <c r="CX48" s="9" t="n">
        <f aca="false">IF($B48="","",IF(Setup!$A$42="",0,IF(ISNUMBER(SEARCH(Setup!$A$42,$B48)),42,0)))</f>
        <v>0</v>
      </c>
      <c r="CY48" s="9" t="n">
        <f aca="false">IF($B48="","",IF(Setup!$A$43="",0,IF(ISNUMBER(SEARCH(Setup!$A$43,$B48)),43,0)))</f>
        <v>0</v>
      </c>
      <c r="CZ48" s="9" t="n">
        <f aca="false">IF($B48="","",IF(Setup!$A$44="",0,IF(ISNUMBER(SEARCH(Setup!$A$44,$B48)),44,0)))</f>
        <v>0</v>
      </c>
      <c r="DA48" s="9" t="n">
        <f aca="false">IF($B48="","",IF(Setup!$A$45="",0,IF(ISNUMBER(SEARCH(Setup!$A$45,$B48)),45,0)))</f>
        <v>0</v>
      </c>
      <c r="DB48" s="9" t="n">
        <f aca="false">IF($B48="","",IF(Setup!$A$46="",0,IF(ISNUMBER(SEARCH(Setup!$A$46,$B48)),46,0)))</f>
        <v>0</v>
      </c>
      <c r="DC48" s="9" t="n">
        <f aca="false">IF($B48="","",IF(Setup!$A$47="",0,IF(ISNUMBER(SEARCH(Setup!$A$47,$B48)),47,0)))</f>
        <v>0</v>
      </c>
      <c r="DD48" s="9" t="n">
        <f aca="false">IF($B48="","",IF(Setup!$A$48="",0,IF(ISNUMBER(SEARCH(Setup!$A$48,$B48)),48,0)))</f>
        <v>0</v>
      </c>
      <c r="DE48" s="9" t="n">
        <f aca="false">IF($B48="","",IF(Setup!$A$49="",0,IF(ISNUMBER(SEARCH(Setup!$A$49,$B48)),49,0)))</f>
        <v>0</v>
      </c>
      <c r="DF48" s="9" t="n">
        <f aca="false">IF($B48="",NA(),$A48)</f>
        <v>43</v>
      </c>
      <c r="DG48" s="22" t="n">
        <f aca="false">IF($BI48="",NA(),$BI48)</f>
        <v>23.3</v>
      </c>
      <c r="DH48" s="22" t="n">
        <f aca="false">IF($N48="",NA(),$N48)</f>
        <v>24.1</v>
      </c>
      <c r="DI48" s="9" t="e">
        <f aca="false">IF(AND($D48="Drift",$N48&lt;&gt;""),$N48,NA())</f>
        <v>#N/A</v>
      </c>
      <c r="DJ48" s="9" t="str">
        <f aca="false">IF(AND($D48="Drift",$N48&lt;&gt;""),$N48,"")</f>
        <v/>
      </c>
      <c r="DK48" s="9" t="str">
        <f aca="false">IF($DJ48="","",$A48)</f>
        <v/>
      </c>
      <c r="DL48" s="9" t="e">
        <f aca="false">IF($AN48="",NA(),$AM48)</f>
        <v>#N/A</v>
      </c>
      <c r="DM48" s="9" t="e">
        <f aca="false">IF($AN48="",NA(),$AN48)</f>
        <v>#N/A</v>
      </c>
      <c r="DN48" s="24" t="n">
        <f aca="false">IF(AND($D48="Sample",$L48&lt;&gt;""),$L48,NA())</f>
        <v>2.919</v>
      </c>
      <c r="DO48" s="24" t="n">
        <f aca="false">IF(AND($D48="Sample",$L48&lt;&gt;"",Fits!$B$98&lt;&gt;""),Fits!$B$98,NA())</f>
        <v>-6.0577</v>
      </c>
      <c r="DP48" s="9" t="e">
        <f aca="false">IF($AS48="",NA(),$AS48)</f>
        <v>#N/A</v>
      </c>
      <c r="DQ48" s="9" t="e">
        <f aca="false">IF(AND($D48="Drift",$AS48="",$X48&lt;&gt;""),$X48,NA())</f>
        <v>#N/A</v>
      </c>
      <c r="DR48" s="9" t="e">
        <f aca="false">IF(AND($D48="Drift",$Z48&lt;&gt;""),$Z48,NA())</f>
        <v>#N/A</v>
      </c>
      <c r="DS48" s="25" t="n">
        <f aca="false">IF(AND(OR($D48="Sample",$D48="Check"),$AA48&lt;&gt;""),$AA48,NA())</f>
        <v>-0.474444234569646</v>
      </c>
      <c r="DT48" s="25" t="n">
        <f aca="false">IF(OR($B48="",Fits!$B$138=""),NA(),Fits!$B$138)</f>
        <v>1.76</v>
      </c>
      <c r="DU48" s="25" t="n">
        <f aca="false">IF(OR($B48="",Fits!$B$139=""),NA(),Fits!$B$139)</f>
        <v>20.68</v>
      </c>
      <c r="DV48" s="24" t="n">
        <f aca="false">IF($BT48="",NA(),$BT48)</f>
        <v>-1.277</v>
      </c>
      <c r="DW48" s="9" t="e">
        <f aca="false">IF($AP48="",NA(),$AO48)</f>
        <v>#N/A</v>
      </c>
      <c r="DX48" s="9" t="e">
        <f aca="false">IF($AP48="",NA(),$AP48)</f>
        <v>#N/A</v>
      </c>
      <c r="DY48" s="24" t="n">
        <f aca="false">IF(AND($D48="Sample",$P48&lt;&gt;""),$P48,NA())</f>
        <v>15.34</v>
      </c>
      <c r="DZ48" s="24" t="n">
        <f aca="false">IF(AND($D48="Sample",$P48&lt;&gt;"",Fits!$B$105&lt;&gt;""),Fits!$B$105,NA())</f>
        <v>-9.717</v>
      </c>
      <c r="EA48" s="9" t="e">
        <f aca="false">IF($AT48="",NA(),$AT48)</f>
        <v>#N/A</v>
      </c>
      <c r="EB48" s="9" t="e">
        <f aca="false">IF(AND($D48="Drift",$AT48="",$AC48&lt;&gt;""),$AC48,NA())</f>
        <v>#N/A</v>
      </c>
      <c r="EC48" s="9" t="e">
        <f aca="false">IF(AND($D48="Drift",$AE48&lt;&gt;""),$AE48,NA())</f>
        <v>#N/A</v>
      </c>
      <c r="ED48" s="25" t="n">
        <f aca="false">IF(AND(OR($D48="Sample",$D48="Check"),$AF48&lt;&gt;""),$AF48,NA())</f>
        <v>-27.2995838560812</v>
      </c>
      <c r="EE48" s="25" t="n">
        <f aca="false">IF(OR($B48="",Fits!$B$158=""),NA(),Fits!$B$158)</f>
        <v>-40.81</v>
      </c>
      <c r="EF48" s="25" t="n">
        <f aca="false">IF(OR($B48="",Fits!$B$159=""),NA(),Fits!$B$159)</f>
        <v>-20.29</v>
      </c>
      <c r="EG48" s="24" t="n">
        <f aca="false">IF($BW48="",NA(),$BW48)</f>
        <v>-25.447</v>
      </c>
      <c r="EH48" s="9" t="e">
        <f aca="false">IF(AND($EN48=1,ISNUMBER($N48)),$N48,NA())</f>
        <v>#N/A</v>
      </c>
      <c r="EI48" s="9" t="n">
        <f aca="false">IF($B48="","",$A48)</f>
        <v>43</v>
      </c>
      <c r="EJ48" s="9" t="n">
        <f aca="false">IF(OR(AND(ISNUMBER($L48),Fits!$B$97&gt;0,$L48&gt;Fits!$B$97),AND(ISNUMBER($P48),Fits!$B$104&gt;0,$P48&gt;Fits!$B$104)),1,0)</f>
        <v>0</v>
      </c>
      <c r="EK48" s="9" t="n">
        <f aca="false">IF(OR($EJ47=1,$EJ46=1),1,0)</f>
        <v>0</v>
      </c>
      <c r="EL48" s="22" t="n">
        <f aca="false">IF(AND($EK48=0,ISNUMBER($N48)),$N48,$EL47)</f>
        <v>24.1</v>
      </c>
      <c r="EM48" s="9" t="str">
        <f aca="false">IF(AND($EK48=1,ISNUMBER($N48),ISNUMBER($EL48)),$N48-$EL48,"")</f>
        <v/>
      </c>
      <c r="EN48" s="9" t="n">
        <f aca="false">IF(Setup!$B$28="",0,IF(ISNUMBER($EM48),IF($EM48&gt;Setup!$B$28,1,0),0))</f>
        <v>0</v>
      </c>
      <c r="EO48" s="9" t="str">
        <f aca="false">IF($EN48=1,COUNTIF($EN$6:$EN48,1),"")</f>
        <v/>
      </c>
      <c r="EP48" s="9" t="n">
        <f aca="false">IF(AND($EJ47=1,OR($D48="Sample",$D48="Check")),1,0)</f>
        <v>0</v>
      </c>
      <c r="EQ48" s="9" t="str">
        <f aca="false">IF(ISNUMBER($BI48),IF(COUNT($BI$6:$BI48)&lt;=5,$BI48,""),"")</f>
        <v/>
      </c>
      <c r="ER48" s="9" t="n">
        <f aca="false">IF(OR(NOT(ISNUMBER($BJ48)),$EK48=1),$ER47,IF($BJ48&lt;=Setup!$B$26,IF($CP47=0,$A48,$ER47),""))</f>
        <v>27</v>
      </c>
    </row>
    <row r="49" customFormat="false" ht="15" hidden="false" customHeight="false" outlineLevel="0" collapsed="false">
      <c r="A49" s="8" t="n">
        <v>44</v>
      </c>
      <c r="B49" s="8" t="str">
        <f aca="false">IFERROR(INDEX(Raw!$B$2:$B$1001,MATCH($A49,Raw!$A$2:$A$1001,0)),"")</f>
        <v>Random</v>
      </c>
      <c r="C49" s="9" t="n">
        <f aca="false">IF($B49="","",MAX($CS49:$DE49))</f>
        <v>0</v>
      </c>
      <c r="D49" s="8" t="str">
        <f aca="false">IF($B49="","",IF($C49=0,"Sample",INDEX(Setup!$B$37:$B$49,$C49-36)))</f>
        <v>Sample</v>
      </c>
      <c r="E49" s="16" t="str">
        <f aca="false">IF($B49="","",IFERROR(IF(INDEX(Raw!$E$2:$E$1001,MATCH($A49,Raw!$A$2:$A$1001,0))=0,"",INDEX(Raw!$E$2:$E$1001,MATCH($A49,Raw!$A$2:$A$1001,0))),""))</f>
        <v/>
      </c>
      <c r="F49" s="18"/>
      <c r="G49" s="16" t="str">
        <f aca="false">IF($B49="","",IF($F49&lt;&gt;"",$F49,IF($E49="","",$E49)))</f>
        <v/>
      </c>
      <c r="H49" s="9" t="n">
        <f aca="false">IF($B49="","",SUMPRODUCT(MAX((Raw!$A$2:$A$1001=$A49)*(Raw!$R$2:$R$1001="N")*Raw!$D$2:$D$1001)))</f>
        <v>3</v>
      </c>
      <c r="I49" s="9" t="str">
        <f aca="false">IF(OR($H49="",$H49=0),"",$A49&amp;"|N|"&amp;$H49)</f>
        <v>44|N|3</v>
      </c>
      <c r="J49" s="9" t="n">
        <f aca="false">IF($B49="","",SUMPRODUCT(MIN((Raw!$A$2:$A$1001=$A49)*(Raw!$R$2:$R$1001="C")*Raw!$D$2:$D$1001+(1-(Raw!$A$2:$A$1001=$A49)*(Raw!$R$2:$R$1001="C"))*9999)))</f>
        <v>4</v>
      </c>
      <c r="K49" s="9" t="str">
        <f aca="false">IF(OR($J49="",$J49=0,$J49=9999),"",$A49&amp;"|C|"&amp;$J49)</f>
        <v>44|C|4</v>
      </c>
      <c r="L49" s="16" t="n">
        <f aca="false">IF($I49="","",IF(INDEX(Raw!$I$2:$I$1001,MATCH($I49,Raw!$S$2:$S$1001,0))&lt;&gt;0,"",INDEX(Raw!$H$2:$H$1001,MATCH($I49,Raw!$S$2:$S$1001,0))))</f>
        <v>2.479</v>
      </c>
      <c r="M49" s="19" t="n">
        <f aca="false">IF($I49="","",IF(INDEX(Raw!$I$2:$I$1001,MATCH($I49,Raw!$S$2:$S$1001,0))&lt;&gt;0,"",INDEX(Raw!$F$2:$F$1001,MATCH($I49,Raw!$S$2:$S$1001,0))))</f>
        <v>143</v>
      </c>
      <c r="N49" s="20" t="n">
        <f aca="false">IF($I49="","",IF(INDEX(Raw!$I$2:$I$1001,MATCH($I49,Raw!$S$2:$S$1001,0))&lt;&gt;0,"",INDEX(Raw!$G$2:$G$1001,MATCH($I49,Raw!$S$2:$S$1001,0))))</f>
        <v>24</v>
      </c>
      <c r="O49" s="16" t="n">
        <f aca="false">IF($I49="","",IF(INDEX(Raw!$I$2:$I$1001,MATCH($I49,Raw!$S$2:$S$1001,0))&lt;&gt;0,"",INDEX(Raw!$N$2:$N$1001,MATCH($I49,Raw!$S$2:$S$1001,0))))</f>
        <v>1.903</v>
      </c>
      <c r="P49" s="16" t="n">
        <f aca="false">IF($K49="","",IF(INDEX(Raw!$I$2:$I$1001,MATCH($K49,Raw!$S$2:$S$1001,0))&lt;&gt;0,"",INDEX(Raw!$K$2:$K$1001,MATCH($K49,Raw!$S$2:$S$1001,0))))</f>
        <v>20.814</v>
      </c>
      <c r="Q49" s="19" t="n">
        <f aca="false">IF($K49="","",IF(INDEX(Raw!$I$2:$I$1001,MATCH($K49,Raw!$S$2:$S$1001,0))&lt;&gt;0,"",INDEX(Raw!$J$2:$J$1001,MATCH($K49,Raw!$S$2:$S$1001,0))))</f>
        <v>954</v>
      </c>
      <c r="R49" s="16" t="n">
        <f aca="false">IF($K49="","",IF(INDEX(Raw!$I$2:$I$1001,MATCH($K49,Raw!$S$2:$S$1001,0))&lt;&gt;0,"",INDEX(Raw!$O$2:$O$1001,MATCH($K49,Raw!$S$2:$S$1001,0))))</f>
        <v>-10.725</v>
      </c>
      <c r="S49" s="21" t="str">
        <f aca="false">IF($B49="","",IF($C49=0,"",IF(INDEX(Setup!$D$37:$D$49,$C49-36)="","",INDEX(Setup!$D$37:$D$49,$C49-36))))</f>
        <v/>
      </c>
      <c r="T49" s="21" t="str">
        <f aca="false">IF($B49="","",IF($C49=0,"",IF(INDEX(Setup!$C$37:$C$49,$C49-36)="","",INDEX(Setup!$C$37:$C$49,$C49-36))))</f>
        <v/>
      </c>
      <c r="U49" s="21" t="str">
        <f aca="false">IF($B49="","",IF($C49=0,"",IF(INDEX(Setup!$F$37:$F$49,$C49-36)="","",INDEX(Setup!$F$37:$F$49,$C49-36))))</f>
        <v/>
      </c>
      <c r="V49" s="21" t="str">
        <f aca="false">IF($B49="","",IF($C49=0,"",IF(INDEX(Setup!$E$37:$E$49,$C49-36)="","",INDEX(Setup!$E$37:$E$49,$C49-36))))</f>
        <v/>
      </c>
      <c r="W49" s="16" t="n">
        <f aca="false">IF($O49="","",IF(OR(Fits!$C$5&lt;&gt;"Yes",$D49="Blank",$L49&lt;=Fits!$B$6),$O49,($L49*$O49-Fits!$B$6*Fits!$B$7)/($L49-Fits!$B$6)))</f>
        <v>1.903</v>
      </c>
      <c r="X49" s="16" t="n">
        <f aca="false">IF($W49="","",$W49-Fits!$B$20*($L49-Fits!$B$16))</f>
        <v>1.903</v>
      </c>
      <c r="Y49" s="22" t="n">
        <f aca="false">IF($W49="","",IF(OR(Fits!$B$38="Row",$BI49=""),$A49,$BI49))</f>
        <v>44</v>
      </c>
      <c r="Z49" s="16" t="n">
        <f aca="false">IF($X49="","",$X49-Fits!$B$39*($Y49-Fits!$B$40))</f>
        <v>2.05394834994331</v>
      </c>
      <c r="AA49" s="23" t="n">
        <f aca="false">IF(OR($Z49="",Fits!$B$55&lt;2),"",Fits!$B$56*$Z49+Fits!$B$57)</f>
        <v>3.13584784397863</v>
      </c>
      <c r="AB49" s="16" t="n">
        <f aca="false">IF($R49="","",IF(OR(Fits!$C$9&lt;&gt;"Yes",$D49="Blank",$P49&lt;=Fits!$B$10),$R49,($P49*$R49-Fits!$B$10*Fits!$B$11)/($P49-Fits!$B$10)))</f>
        <v>-10.725</v>
      </c>
      <c r="AC49" s="16" t="n">
        <f aca="false">IF($AB49="","",$AB49-Fits!$B$28*($P49-Fits!$B$24))</f>
        <v>-10.5400297068718</v>
      </c>
      <c r="AD49" s="22" t="n">
        <f aca="false">IF($AB49="","",IF(OR(Fits!$B$50="Row",$BI49=""),$A49,$BI49))</f>
        <v>44</v>
      </c>
      <c r="AE49" s="16" t="n">
        <f aca="false">IF($AC49="","",$AC49-Fits!$B$51*($AD49-Fits!$B$52))</f>
        <v>-10.5666058403038</v>
      </c>
      <c r="AF49" s="23" t="n">
        <f aca="false">IF(OR($AE49="",Fits!$B$62&lt;2),"",Fits!$B$63*$AE49+Fits!$B$64)</f>
        <v>-27.7083704606865</v>
      </c>
      <c r="AG49" s="21" t="n">
        <f aca="false">IF(OR($L49="",Fits!$B$69&lt;3),"",($L49-Fits!$B$71)/Fits!$B$70)</f>
        <v>0.816264874922388</v>
      </c>
      <c r="AH49" s="21" t="n">
        <f aca="false">IF(OR($P49="",Fits!$B$75&lt;3),"",($P49-Fits!$B$77)/Fits!$B$76)</f>
        <v>43.4259687299933</v>
      </c>
      <c r="AI49" s="23" t="str">
        <f aca="false">IF(OR($AG49="",$G49="",$G49=0),"",$AG49/($G49*1000)*100)</f>
        <v/>
      </c>
      <c r="AJ49" s="23" t="str">
        <f aca="false">IF(OR($AH49="",$G49="",$G49=0),"",$AH49/($G49*1000)*100)</f>
        <v/>
      </c>
      <c r="AK49" s="23" t="n">
        <f aca="false">IF(OR($AG49="",$AH49="",$AG49&lt;=0),"",($AH49/Setup!$B$52)/($AG49/Setup!$B$53))</f>
        <v>62.0417970047616</v>
      </c>
      <c r="AL49" s="23" t="n">
        <f aca="false">IF(OR($AG49="",$AH49="",$AG49&lt;=0),"",$AH49/$AG49)</f>
        <v>53.2008298582274</v>
      </c>
      <c r="AM49" s="9" t="str">
        <f aca="false">IF($D49="Linearity",IF($L49="","",$L49),"")</f>
        <v/>
      </c>
      <c r="AN49" s="9" t="str">
        <f aca="false">IF($D49="Linearity",IF($W49="","",$W49),"")</f>
        <v/>
      </c>
      <c r="AO49" s="9" t="str">
        <f aca="false">IF($D49="Linearity",IF($P49="","",$P49),"")</f>
        <v/>
      </c>
      <c r="AP49" s="9" t="str">
        <f aca="false">IF($D49="Linearity",IF($AB49="","",$AB49),"")</f>
        <v/>
      </c>
      <c r="AQ49" s="9" t="str">
        <f aca="false">IF($D49="Drift",IF($A49&lt;IF(Setup!$B$14="",0,Setup!$B$14),"",$A49),"")</f>
        <v/>
      </c>
      <c r="AR49" s="9" t="str">
        <f aca="false">IF($D49="Drift",IF($A49&lt;IF(Setup!$B$14="",0,Setup!$B$14),"",IF($BI49="","",$BI49)),"")</f>
        <v/>
      </c>
      <c r="AS49" s="9" t="str">
        <f aca="false">IF($D49="Drift",IF($A49&lt;IF(Setup!$B$14="",0,Setup!$B$14),"",IF(OR($X49="",$BX49=1),"",$X49)),"")</f>
        <v/>
      </c>
      <c r="AT49" s="9" t="str">
        <f aca="false">IF($D49="Drift",IF($A49&lt;IF(Setup!$B$14="",0,Setup!$B$14),"",IF(OR($AC49="",$BY49=1),"",$AC49)),"")</f>
        <v/>
      </c>
      <c r="AU49" s="9" t="str">
        <f aca="false">IF($D49="Anchor",IF(OR($Z49="",$S49=""),"",$Z49),"")</f>
        <v/>
      </c>
      <c r="AV49" s="9" t="str">
        <f aca="false">IF($D49="Anchor",IF(OR($Z49="",$S49=""),"",$S49),"")</f>
        <v/>
      </c>
      <c r="AW49" s="9" t="str">
        <f aca="false">IF($D49="Anchor",IF(OR($AE49="",$T49=""),"",$AE49),"")</f>
        <v/>
      </c>
      <c r="AX49" s="9" t="str">
        <f aca="false">IF($D49="Anchor",IF(OR($AE49="",$T49=""),"",$T49),"")</f>
        <v/>
      </c>
      <c r="AY49" s="9" t="str">
        <f aca="false">IF(OR($D49="Blank",$D49="Exclude",$D49="Sample",$D49="",$G49="",$U49="",$L49=""),"",$G49*1000*$U49/100)</f>
        <v/>
      </c>
      <c r="AZ49" s="9" t="str">
        <f aca="false">IF($AY49="","",$L49)</f>
        <v/>
      </c>
      <c r="BA49" s="9" t="str">
        <f aca="false">IF(OR($D49="Blank",$D49="Exclude",$D49="Sample",$D49="",$G49="",$V49="",$P49=""),"",$G49*1000*$V49/100)</f>
        <v/>
      </c>
      <c r="BB49" s="9" t="str">
        <f aca="false">IF($BA49="","",$P49)</f>
        <v/>
      </c>
      <c r="BC49" s="9" t="str">
        <f aca="false">IF(AND($D49="Blank",$L49&lt;&gt;""),$O49,"")</f>
        <v/>
      </c>
      <c r="BD49" s="9" t="str">
        <f aca="false">IF($BC49="","",$L49)</f>
        <v/>
      </c>
      <c r="BE49" s="9" t="str">
        <f aca="false">IF(AND($D49="Blank",$P49&lt;&gt;""),$R49,"")</f>
        <v/>
      </c>
      <c r="BF49" s="9" t="str">
        <f aca="false">IF($BE49="","",$P49)</f>
        <v/>
      </c>
      <c r="BG49" s="9" t="str">
        <f aca="false">IF(AND($D49="Drift",$BX49&lt;&gt;1),IF($AA49="","",$AA49),"")</f>
        <v/>
      </c>
      <c r="BH49" s="9" t="str">
        <f aca="false">IF(AND($D49="Drift",$BY49&lt;&gt;1),IF($AF49="","",$AF49),"")</f>
        <v/>
      </c>
      <c r="BI49" s="20" t="n">
        <f aca="false">IF($B49="","",IFERROR(INDEX(Raw!$G$2:$G$1001,MATCH($A49&amp;"|N|"&amp;SUMPRODUCT(MAX((Raw!$A$2:$A$1001=$A49)*(Raw!$R$2:$R$1001="N")*(Raw!$I$2:$I$1001=1)*Raw!$D$2:$D$1001)),Raw!$S$2:$S$1001,0)),""))</f>
        <v>23.2</v>
      </c>
      <c r="BJ49" s="21" t="n">
        <f aca="false">IF(OR($BI49="",Fits!$B$85&lt;=0),"",($BI49-Fits!$B$83)/Fits!$B$85)</f>
        <v>0.00900900900900882</v>
      </c>
      <c r="BK49" s="9" t="str">
        <f aca="false">IF($AS49="","",IF($A49&gt;=Fits!$B$86,"",$A49))</f>
        <v/>
      </c>
      <c r="BL49" s="9" t="str">
        <f aca="false">IF($BK49="","",$X49)</f>
        <v/>
      </c>
      <c r="BM49" s="9" t="str">
        <f aca="false">IF($AS49="","",IF($A49&lt;Fits!$B$86,"",$A49))</f>
        <v/>
      </c>
      <c r="BN49" s="9" t="str">
        <f aca="false">IF($BM49="","",$X49)</f>
        <v/>
      </c>
      <c r="BO49" s="9" t="str">
        <f aca="false">IF(AND($D49="Drift",$BX49&lt;&gt;1),IF($O49="","",$O49),"")</f>
        <v/>
      </c>
      <c r="BP49" s="9" t="str">
        <f aca="false">IF(AND($D49="Drift",$BX49&lt;&gt;1),IF($W49="","",$W49),"")</f>
        <v/>
      </c>
      <c r="BQ49" s="9" t="str">
        <f aca="false">IF(AND($D49="Drift",$BX49&lt;&gt;1),IF($X49="","",$X49),"")</f>
        <v/>
      </c>
      <c r="BR49" s="9" t="str">
        <f aca="false">IF(AND($D49="Drift",$BX49&lt;&gt;1),IF($Z49="","",$Z49),"")</f>
        <v/>
      </c>
      <c r="BS49" s="9" t="n">
        <f aca="false">IF(OR($B49="",$H49=""),"",SUMPRODUCT(MIN((Raw!$A$2:$A$1001=$A49)*(Raw!$R$2:$R$1001="N")*(Raw!$I$2:$I$1001=0)*(Raw!$D$2:$D$1001&lt;$H49)*Raw!$D$2:$D$1001+(1-(Raw!$A$2:$A$1001=$A49)*(Raw!$R$2:$R$1001="N")*(Raw!$I$2:$I$1001=0)*(Raw!$D$2:$D$1001&lt;$H49))*9999)))</f>
        <v>1</v>
      </c>
      <c r="BT49" s="16" t="n">
        <f aca="false">IF(OR($BS49="",$BS49=9999,$BS49=0),"",IFERROR(INDEX(Raw!$N$2:$N$1001,MATCH($A49&amp;"|N|"&amp;$BS49,Raw!$S$2:$S$1001,0)),""))</f>
        <v>-1.265</v>
      </c>
      <c r="BU49" s="9" t="n">
        <f aca="false">IF($B49="","",SUMPRODUCT(MIN((Raw!$A$2:$A$1001=$A49)*(Raw!$R$2:$R$1001="C")*(Raw!$I$2:$I$1001=1)*Raw!$D$2:$D$1001+(1-(Raw!$A$2:$A$1001=$A49)*(Raw!$R$2:$R$1001="C")*(Raw!$I$2:$I$1001=1))*9999)))</f>
        <v>5</v>
      </c>
      <c r="BV49" s="9" t="n">
        <f aca="false">IF(OR($BU49="",$BU49=9999),"",SUMPRODUCT(MIN((Raw!$A$2:$A$1001=$A49)*(Raw!$R$2:$R$1001="C")*(Raw!$I$2:$I$1001=0)*(Raw!$D$2:$D$1001&gt;$BU49)*Raw!$D$2:$D$1001+(1-(Raw!$A$2:$A$1001=$A49)*(Raw!$R$2:$R$1001="C")*(Raw!$I$2:$I$1001=0)*(Raw!$D$2:$D$1001&gt;$BU49))*9999)))</f>
        <v>6</v>
      </c>
      <c r="BW49" s="16" t="n">
        <f aca="false">IF(OR($BV49="",$BV49=9999,$BV49=0),"",IFERROR(INDEX(Raw!$O$2:$O$1001,MATCH($A49&amp;"|C|"&amp;$BV49,Raw!$S$2:$S$1001,0)),""))</f>
        <v>-25.415</v>
      </c>
      <c r="BX49" s="9" t="n">
        <f aca="false">IF($B49="","",IF(ISNUMBER(SEARCH(","&amp;$A49&amp;",",","&amp;SUBSTITUTE(Setup!$B$16," ","")&amp;",")),1,0))</f>
        <v>0</v>
      </c>
      <c r="BY49" s="9" t="n">
        <f aca="false">IF($B49="","",IF(ISNUMBER(SEARCH(","&amp;$A49&amp;",",","&amp;SUBSTITUTE(Setup!$B$17," ","")&amp;",")),1,0))</f>
        <v>0</v>
      </c>
      <c r="BZ49" s="22" t="str">
        <f aca="false">IF($AS49="","",IF(Fits!$B$38="Row",$AQ49,IF($AR49="","",$AR49)))</f>
        <v/>
      </c>
      <c r="CA49" s="22" t="str">
        <f aca="false">IF($AT49="","",IF(Fits!$B$50="Row",$AQ49,IF($AR49="","",$AR49)))</f>
        <v/>
      </c>
      <c r="CB49" s="20" t="str">
        <f aca="false">IF(OR($D49&lt;&gt;"Drift",$X49="",$A49&lt;IF(Setup!$B$14="",0,Setup!$B$14),Fits!$B$107&lt;3,Fits!$B$110="",Fits!$B$109=0,IF(Fits!$B$38="Row",$AQ49,$AR49)=""),"",IF($BX49=1,IF(OR(Fits!$B$111="",Fits!$B$111=0),"",($X49-(IF(Fits!$B$38="Row",Fits!$B$32,Fits!$B$35)*IF(Fits!$B$38="Row",$AQ49,$AR49)+Fits!$B$110))/(Fits!$B$111*SQRT(1+(1/Fits!$B$107+(IF(Fits!$B$38="Row",$AQ49,$AR49)-Fits!$B$108)^2/Fits!$B$109)))),IF(OR(Fits!$B$107&lt;4,(1/Fits!$B$107+(IF(Fits!$B$38="Row",$AQ49,$AR49)-Fits!$B$108)^2/Fits!$B$109)&gt;=1),"",IF((Fits!$B$116-($X49-(IF(Fits!$B$38="Row",Fits!$B$32,Fits!$B$35)*IF(Fits!$B$38="Row",$AQ49,$AR49)+Fits!$B$110))^2/(1-(1/Fits!$B$107+(IF(Fits!$B$38="Row",$AQ49,$AR49)-Fits!$B$108)^2/Fits!$B$109)))&lt;=0,"",($X49-(IF(Fits!$B$38="Row",Fits!$B$32,Fits!$B$35)*IF(Fits!$B$38="Row",$AQ49,$AR49)+Fits!$B$110))/(SQRT((Fits!$B$116-($X49-(IF(Fits!$B$38="Row",Fits!$B$32,Fits!$B$35)*IF(Fits!$B$38="Row",$AQ49,$AR49)+Fits!$B$110))^2/(1-(1/Fits!$B$107+(IF(Fits!$B$38="Row",$AQ49,$AR49)-Fits!$B$108)^2/Fits!$B$109)))/(Fits!$B$107-3))*SQRT(1-(1/Fits!$B$107+(IF(Fits!$B$38="Row",$AQ49,$AR49)-Fits!$B$108)^2/Fits!$B$109)))))))</f>
        <v/>
      </c>
      <c r="CC49" s="20" t="str">
        <f aca="false">IF(OR($D49&lt;&gt;"Drift",$AC49="",$A49&lt;IF(Setup!$B$14="",0,Setup!$B$14),Fits!$B$120&lt;3,Fits!$B$123="",Fits!$B$122=0,IF(Fits!$B$50="Row",$AQ49,$AR49)=""),"",IF($BY49=1,IF(OR(Fits!$B$124="",Fits!$B$124=0),"",($AC49-(IF(Fits!$B$50="Row",Fits!$B$44,Fits!$B$47)*IF(Fits!$B$50="Row",$AQ49,$AR49)+Fits!$B$123))/(Fits!$B$124*SQRT(1+(1/Fits!$B$120+(IF(Fits!$B$50="Row",$AQ49,$AR49)-Fits!$B$121)^2/Fits!$B$122)))),IF(OR(Fits!$B$120&lt;4,(1/Fits!$B$120+(IF(Fits!$B$50="Row",$AQ49,$AR49)-Fits!$B$121)^2/Fits!$B$122)&gt;=1),"",IF((Fits!$B$129-($AC49-(IF(Fits!$B$50="Row",Fits!$B$44,Fits!$B$47)*IF(Fits!$B$50="Row",$AQ49,$AR49)+Fits!$B$123))^2/(1-(1/Fits!$B$120+(IF(Fits!$B$50="Row",$AQ49,$AR49)-Fits!$B$121)^2/Fits!$B$122)))&lt;=0,"",($AC49-(IF(Fits!$B$50="Row",Fits!$B$44,Fits!$B$47)*IF(Fits!$B$50="Row",$AQ49,$AR49)+Fits!$B$123))/(SQRT((Fits!$B$129-($AC49-(IF(Fits!$B$50="Row",Fits!$B$44,Fits!$B$47)*IF(Fits!$B$50="Row",$AQ49,$AR49)+Fits!$B$123))^2/(1-(1/Fits!$B$120+(IF(Fits!$B$50="Row",$AQ49,$AR49)-Fits!$B$121)^2/Fits!$B$122)))/(Fits!$B$120-3))*SQRT(1-(1/Fits!$B$120+(IF(Fits!$B$50="Row",$AQ49,$AR49)-Fits!$B$121)^2/Fits!$B$122)))))))</f>
        <v/>
      </c>
      <c r="CD49" s="9" t="str">
        <f aca="false">IF($AU49="","",1)</f>
        <v/>
      </c>
      <c r="CE49" s="24" t="str">
        <f aca="false">IF($AU49="","",$AU49-Fits!$B$133)</f>
        <v/>
      </c>
      <c r="CF49" s="24" t="str">
        <f aca="false">IF($AU49="","",($AV49-(Fits!$B$56*$AU49+Fits!$B$57))-Fits!$B$56*($AU49-Fits!$B$133))</f>
        <v/>
      </c>
      <c r="CG49" s="25" t="str">
        <f aca="false">IF($AU49="","",$AU49^2)</f>
        <v/>
      </c>
      <c r="CH49" s="9" t="str">
        <f aca="false">IF($AW49="","",1)</f>
        <v/>
      </c>
      <c r="CI49" s="24" t="str">
        <f aca="false">IF($AW49="","",$AW49-Fits!$B$153)</f>
        <v/>
      </c>
      <c r="CJ49" s="24" t="str">
        <f aca="false">IF($AW49="","",($AX49-(Fits!$B$63*$AW49+Fits!$B$64))-Fits!$B$63*($AW49-Fits!$B$153))</f>
        <v/>
      </c>
      <c r="CK49" s="25" t="str">
        <f aca="false">IF($AW49="","",$AW49^2)</f>
        <v/>
      </c>
      <c r="CL49" s="26" t="n">
        <f aca="false">IF(OR($Z49="",Fits!$B$55&lt;3,Fits!$B$133="",Fits!$B$134="",Fits!$B$134=0,Fits!$B$136=""),"",SQRT((Fits!$B$136*Fits!$B$56)^2+SUMPRODUCT((Fits!$J$163:$J$175*(Fits!$B$163:$B$175/Fits!$B$55+Fits!$H$163:$H$175*($Z49-Fits!$B$133)/Fits!$B$134))^2)+SUMPRODUCT((Fits!$G$163:$G$175*(($Z49-Fits!$B$133)*Fits!$I$163:$I$175/Fits!$B$134-Fits!$B$163:$B$175*Fits!$B$56/Fits!$B$55))^2)))</f>
        <v>0.213944140377504</v>
      </c>
      <c r="CM49" s="26" t="n">
        <f aca="false">IF($CL49="","",Setup!$B$32*$CL49)</f>
        <v>0.427888280755007</v>
      </c>
      <c r="CN49" s="26" t="n">
        <f aca="false">IF(OR($AE49="",Fits!$B$62&lt;3,Fits!$B$153="",Fits!$B$154="",Fits!$B$154=0,Fits!$B$156=""),"",SQRT((Fits!$B$156*Fits!$B$63)^2+SUMPRODUCT((Fits!$J$183:$J$195*(Fits!$B$183:$B$195/Fits!$B$62+Fits!$H$183:$H$195*($AE49-Fits!$B$153)/Fits!$B$154))^2)+SUMPRODUCT((Fits!$G$183:$G$195*(($AE49-Fits!$B$153)*Fits!$I$183:$I$195/Fits!$B$154-Fits!$B$183:$B$195*Fits!$B$63/Fits!$B$62))^2)))</f>
        <v>0.0370613396248734</v>
      </c>
      <c r="CO49" s="26" t="n">
        <f aca="false">IF($CN49="","",Setup!$B$32*$CN49)</f>
        <v>0.0741226792497468</v>
      </c>
      <c r="CP49" s="9" t="n">
        <f aca="false">IF(OR(NOT(ISNUMBER($BJ49)),$EK49=1),$CP48,IF($BJ49&lt;=Setup!$B$26,$CP48+1,0))</f>
        <v>14</v>
      </c>
      <c r="CQ49" s="9" t="n">
        <f aca="false">IF($BT49="","",$A49)</f>
        <v>44</v>
      </c>
      <c r="CR49" s="9" t="n">
        <f aca="false">IF($BW49="","",$A49)</f>
        <v>44</v>
      </c>
      <c r="CS49" s="9" t="n">
        <f aca="false">IF($B49="","",IF(Setup!$A$37="",0,IF(ISNUMBER(SEARCH(Setup!$A$37,$B49)),37,0)))</f>
        <v>0</v>
      </c>
      <c r="CT49" s="9" t="n">
        <f aca="false">IF($B49="","",IF(Setup!$A$38="",0,IF(ISNUMBER(SEARCH(Setup!$A$38,$B49)),38,0)))</f>
        <v>0</v>
      </c>
      <c r="CU49" s="9" t="n">
        <f aca="false">IF($B49="","",IF(Setup!$A$39="",0,IF(ISNUMBER(SEARCH(Setup!$A$39,$B49)),39,0)))</f>
        <v>0</v>
      </c>
      <c r="CV49" s="9" t="n">
        <f aca="false">IF($B49="","",IF(Setup!$A$40="",0,IF(ISNUMBER(SEARCH(Setup!$A$40,$B49)),40,0)))</f>
        <v>0</v>
      </c>
      <c r="CW49" s="9" t="n">
        <f aca="false">IF($B49="","",IF(Setup!$A$41="",0,IF(ISNUMBER(SEARCH(Setup!$A$41,$B49)),41,0)))</f>
        <v>0</v>
      </c>
      <c r="CX49" s="9" t="n">
        <f aca="false">IF($B49="","",IF(Setup!$A$42="",0,IF(ISNUMBER(SEARCH(Setup!$A$42,$B49)),42,0)))</f>
        <v>0</v>
      </c>
      <c r="CY49" s="9" t="n">
        <f aca="false">IF($B49="","",IF(Setup!$A$43="",0,IF(ISNUMBER(SEARCH(Setup!$A$43,$B49)),43,0)))</f>
        <v>0</v>
      </c>
      <c r="CZ49" s="9" t="n">
        <f aca="false">IF($B49="","",IF(Setup!$A$44="",0,IF(ISNUMBER(SEARCH(Setup!$A$44,$B49)),44,0)))</f>
        <v>0</v>
      </c>
      <c r="DA49" s="9" t="n">
        <f aca="false">IF($B49="","",IF(Setup!$A$45="",0,IF(ISNUMBER(SEARCH(Setup!$A$45,$B49)),45,0)))</f>
        <v>0</v>
      </c>
      <c r="DB49" s="9" t="n">
        <f aca="false">IF($B49="","",IF(Setup!$A$46="",0,IF(ISNUMBER(SEARCH(Setup!$A$46,$B49)),46,0)))</f>
        <v>0</v>
      </c>
      <c r="DC49" s="9" t="n">
        <f aca="false">IF($B49="","",IF(Setup!$A$47="",0,IF(ISNUMBER(SEARCH(Setup!$A$47,$B49)),47,0)))</f>
        <v>0</v>
      </c>
      <c r="DD49" s="9" t="n">
        <f aca="false">IF($B49="","",IF(Setup!$A$48="",0,IF(ISNUMBER(SEARCH(Setup!$A$48,$B49)),48,0)))</f>
        <v>0</v>
      </c>
      <c r="DE49" s="9" t="n">
        <f aca="false">IF($B49="","",IF(Setup!$A$49="",0,IF(ISNUMBER(SEARCH(Setup!$A$49,$B49)),49,0)))</f>
        <v>0</v>
      </c>
      <c r="DF49" s="9" t="n">
        <f aca="false">IF($B49="",NA(),$A49)</f>
        <v>44</v>
      </c>
      <c r="DG49" s="22" t="n">
        <f aca="false">IF($BI49="",NA(),$BI49)</f>
        <v>23.2</v>
      </c>
      <c r="DH49" s="22" t="n">
        <f aca="false">IF($N49="",NA(),$N49)</f>
        <v>24</v>
      </c>
      <c r="DI49" s="9" t="e">
        <f aca="false">IF(AND($D49="Drift",$N49&lt;&gt;""),$N49,NA())</f>
        <v>#N/A</v>
      </c>
      <c r="DJ49" s="9" t="str">
        <f aca="false">IF(AND($D49="Drift",$N49&lt;&gt;""),$N49,"")</f>
        <v/>
      </c>
      <c r="DK49" s="9" t="str">
        <f aca="false">IF($DJ49="","",$A49)</f>
        <v/>
      </c>
      <c r="DL49" s="9" t="e">
        <f aca="false">IF($AN49="",NA(),$AM49)</f>
        <v>#N/A</v>
      </c>
      <c r="DM49" s="9" t="e">
        <f aca="false">IF($AN49="",NA(),$AN49)</f>
        <v>#N/A</v>
      </c>
      <c r="DN49" s="24" t="n">
        <f aca="false">IF(AND($D49="Sample",$L49&lt;&gt;""),$L49,NA())</f>
        <v>2.479</v>
      </c>
      <c r="DO49" s="24" t="n">
        <f aca="false">IF(AND($D49="Sample",$L49&lt;&gt;"",Fits!$B$98&lt;&gt;""),Fits!$B$98,NA())</f>
        <v>-6.0577</v>
      </c>
      <c r="DP49" s="9" t="e">
        <f aca="false">IF($AS49="",NA(),$AS49)</f>
        <v>#N/A</v>
      </c>
      <c r="DQ49" s="9" t="e">
        <f aca="false">IF(AND($D49="Drift",$AS49="",$X49&lt;&gt;""),$X49,NA())</f>
        <v>#N/A</v>
      </c>
      <c r="DR49" s="9" t="e">
        <f aca="false">IF(AND($D49="Drift",$Z49&lt;&gt;""),$Z49,NA())</f>
        <v>#N/A</v>
      </c>
      <c r="DS49" s="25" t="n">
        <f aca="false">IF(AND(OR($D49="Sample",$D49="Check"),$AA49&lt;&gt;""),$AA49,NA())</f>
        <v>3.13584784397863</v>
      </c>
      <c r="DT49" s="25" t="n">
        <f aca="false">IF(OR($B49="",Fits!$B$138=""),NA(),Fits!$B$138)</f>
        <v>1.76</v>
      </c>
      <c r="DU49" s="25" t="n">
        <f aca="false">IF(OR($B49="",Fits!$B$139=""),NA(),Fits!$B$139)</f>
        <v>20.68</v>
      </c>
      <c r="DV49" s="24" t="n">
        <f aca="false">IF($BT49="",NA(),$BT49)</f>
        <v>-1.265</v>
      </c>
      <c r="DW49" s="9" t="e">
        <f aca="false">IF($AP49="",NA(),$AO49)</f>
        <v>#N/A</v>
      </c>
      <c r="DX49" s="9" t="e">
        <f aca="false">IF($AP49="",NA(),$AP49)</f>
        <v>#N/A</v>
      </c>
      <c r="DY49" s="24" t="n">
        <f aca="false">IF(AND($D49="Sample",$P49&lt;&gt;""),$P49,NA())</f>
        <v>20.814</v>
      </c>
      <c r="DZ49" s="24" t="n">
        <f aca="false">IF(AND($D49="Sample",$P49&lt;&gt;"",Fits!$B$105&lt;&gt;""),Fits!$B$105,NA())</f>
        <v>-9.717</v>
      </c>
      <c r="EA49" s="9" t="e">
        <f aca="false">IF($AT49="",NA(),$AT49)</f>
        <v>#N/A</v>
      </c>
      <c r="EB49" s="9" t="e">
        <f aca="false">IF(AND($D49="Drift",$AT49="",$AC49&lt;&gt;""),$AC49,NA())</f>
        <v>#N/A</v>
      </c>
      <c r="EC49" s="9" t="e">
        <f aca="false">IF(AND($D49="Drift",$AE49&lt;&gt;""),$AE49,NA())</f>
        <v>#N/A</v>
      </c>
      <c r="ED49" s="25" t="n">
        <f aca="false">IF(AND(OR($D49="Sample",$D49="Check"),$AF49&lt;&gt;""),$AF49,NA())</f>
        <v>-27.7083704606865</v>
      </c>
      <c r="EE49" s="25" t="n">
        <f aca="false">IF(OR($B49="",Fits!$B$158=""),NA(),Fits!$B$158)</f>
        <v>-40.81</v>
      </c>
      <c r="EF49" s="25" t="n">
        <f aca="false">IF(OR($B49="",Fits!$B$159=""),NA(),Fits!$B$159)</f>
        <v>-20.29</v>
      </c>
      <c r="EG49" s="24" t="n">
        <f aca="false">IF($BW49="",NA(),$BW49)</f>
        <v>-25.415</v>
      </c>
      <c r="EH49" s="9" t="e">
        <f aca="false">IF(AND($EN49=1,ISNUMBER($N49)),$N49,NA())</f>
        <v>#N/A</v>
      </c>
      <c r="EI49" s="9" t="n">
        <f aca="false">IF($B49="","",$A49)</f>
        <v>44</v>
      </c>
      <c r="EJ49" s="9" t="n">
        <f aca="false">IF(OR(AND(ISNUMBER($L49),Fits!$B$97&gt;0,$L49&gt;Fits!$B$97),AND(ISNUMBER($P49),Fits!$B$104&gt;0,$P49&gt;Fits!$B$104)),1,0)</f>
        <v>0</v>
      </c>
      <c r="EK49" s="9" t="n">
        <f aca="false">IF(OR($EJ48=1,$EJ47=1),1,0)</f>
        <v>0</v>
      </c>
      <c r="EL49" s="22" t="n">
        <f aca="false">IF(AND($EK49=0,ISNUMBER($N49)),$N49,$EL48)</f>
        <v>24</v>
      </c>
      <c r="EM49" s="9" t="str">
        <f aca="false">IF(AND($EK49=1,ISNUMBER($N49),ISNUMBER($EL49)),$N49-$EL49,"")</f>
        <v/>
      </c>
      <c r="EN49" s="9" t="n">
        <f aca="false">IF(Setup!$B$28="",0,IF(ISNUMBER($EM49),IF($EM49&gt;Setup!$B$28,1,0),0))</f>
        <v>0</v>
      </c>
      <c r="EO49" s="9" t="str">
        <f aca="false">IF($EN49=1,COUNTIF($EN$6:$EN49,1),"")</f>
        <v/>
      </c>
      <c r="EP49" s="9" t="n">
        <f aca="false">IF(AND($EJ48=1,OR($D49="Sample",$D49="Check")),1,0)</f>
        <v>0</v>
      </c>
      <c r="EQ49" s="9" t="str">
        <f aca="false">IF(ISNUMBER($BI49),IF(COUNT($BI$6:$BI49)&lt;=5,$BI49,""),"")</f>
        <v/>
      </c>
      <c r="ER49" s="9" t="n">
        <f aca="false">IF(OR(NOT(ISNUMBER($BJ49)),$EK49=1),$ER48,IF($BJ49&lt;=Setup!$B$26,IF($CP48=0,$A49,$ER48),""))</f>
        <v>27</v>
      </c>
    </row>
    <row r="50" customFormat="false" ht="15" hidden="false" customHeight="false" outlineLevel="0" collapsed="false">
      <c r="A50" s="8" t="n">
        <v>45</v>
      </c>
      <c r="B50" s="8" t="str">
        <f aca="false">IFERROR(INDEX(Raw!$B$2:$B$1001,MATCH($A50,Raw!$A$2:$A$1001,0)),"")</f>
        <v>Random</v>
      </c>
      <c r="C50" s="9" t="n">
        <f aca="false">IF($B50="","",MAX($CS50:$DE50))</f>
        <v>0</v>
      </c>
      <c r="D50" s="8" t="str">
        <f aca="false">IF($B50="","",IF($C50=0,"Sample",INDEX(Setup!$B$37:$B$49,$C50-36)))</f>
        <v>Sample</v>
      </c>
      <c r="E50" s="16" t="str">
        <f aca="false">IF($B50="","",IFERROR(IF(INDEX(Raw!$E$2:$E$1001,MATCH($A50,Raw!$A$2:$A$1001,0))=0,"",INDEX(Raw!$E$2:$E$1001,MATCH($A50,Raw!$A$2:$A$1001,0))),""))</f>
        <v/>
      </c>
      <c r="F50" s="18"/>
      <c r="G50" s="16" t="str">
        <f aca="false">IF($B50="","",IF($F50&lt;&gt;"",$F50,IF($E50="","",$E50)))</f>
        <v/>
      </c>
      <c r="H50" s="9" t="n">
        <f aca="false">IF($B50="","",SUMPRODUCT(MAX((Raw!$A$2:$A$1001=$A50)*(Raw!$R$2:$R$1001="N")*Raw!$D$2:$D$1001)))</f>
        <v>3</v>
      </c>
      <c r="I50" s="9" t="str">
        <f aca="false">IF(OR($H50="",$H50=0),"",$A50&amp;"|N|"&amp;$H50)</f>
        <v>45|N|3</v>
      </c>
      <c r="J50" s="9" t="n">
        <f aca="false">IF($B50="","",SUMPRODUCT(MIN((Raw!$A$2:$A$1001=$A50)*(Raw!$R$2:$R$1001="C")*Raw!$D$2:$D$1001+(1-(Raw!$A$2:$A$1001=$A50)*(Raw!$R$2:$R$1001="C"))*9999)))</f>
        <v>4</v>
      </c>
      <c r="K50" s="9" t="str">
        <f aca="false">IF(OR($J50="",$J50=0,$J50=9999),"",$A50&amp;"|C|"&amp;$J50)</f>
        <v>45|C|4</v>
      </c>
      <c r="L50" s="16" t="n">
        <f aca="false">IF($I50="","",IF(INDEX(Raw!$I$2:$I$1001,MATCH($I50,Raw!$S$2:$S$1001,0))&lt;&gt;0,"",INDEX(Raw!$H$2:$H$1001,MATCH($I50,Raw!$S$2:$S$1001,0))))</f>
        <v>2.478</v>
      </c>
      <c r="M50" s="19" t="n">
        <f aca="false">IF($I50="","",IF(INDEX(Raw!$I$2:$I$1001,MATCH($I50,Raw!$S$2:$S$1001,0))&lt;&gt;0,"",INDEX(Raw!$F$2:$F$1001,MATCH($I50,Raw!$S$2:$S$1001,0))))</f>
        <v>141</v>
      </c>
      <c r="N50" s="20" t="n">
        <f aca="false">IF($I50="","",IF(INDEX(Raw!$I$2:$I$1001,MATCH($I50,Raw!$S$2:$S$1001,0))&lt;&gt;0,"",INDEX(Raw!$G$2:$G$1001,MATCH($I50,Raw!$S$2:$S$1001,0))))</f>
        <v>24</v>
      </c>
      <c r="O50" s="16" t="n">
        <f aca="false">IF($I50="","",IF(INDEX(Raw!$I$2:$I$1001,MATCH($I50,Raw!$S$2:$S$1001,0))&lt;&gt;0,"",INDEX(Raw!$N$2:$N$1001,MATCH($I50,Raw!$S$2:$S$1001,0))))</f>
        <v>1.975</v>
      </c>
      <c r="P50" s="16" t="n">
        <f aca="false">IF($K50="","",IF(INDEX(Raw!$I$2:$I$1001,MATCH($K50,Raw!$S$2:$S$1001,0))&lt;&gt;0,"",INDEX(Raw!$K$2:$K$1001,MATCH($K50,Raw!$S$2:$S$1001,0))))</f>
        <v>20.462</v>
      </c>
      <c r="Q50" s="19" t="n">
        <f aca="false">IF($K50="","",IF(INDEX(Raw!$I$2:$I$1001,MATCH($K50,Raw!$S$2:$S$1001,0))&lt;&gt;0,"",INDEX(Raw!$J$2:$J$1001,MATCH($K50,Raw!$S$2:$S$1001,0))))</f>
        <v>945</v>
      </c>
      <c r="R50" s="16" t="n">
        <f aca="false">IF($K50="","",IF(INDEX(Raw!$I$2:$I$1001,MATCH($K50,Raw!$S$2:$S$1001,0))&lt;&gt;0,"",INDEX(Raw!$O$2:$O$1001,MATCH($K50,Raw!$S$2:$S$1001,0))))</f>
        <v>-10.909</v>
      </c>
      <c r="S50" s="21" t="str">
        <f aca="false">IF($B50="","",IF($C50=0,"",IF(INDEX(Setup!$D$37:$D$49,$C50-36)="","",INDEX(Setup!$D$37:$D$49,$C50-36))))</f>
        <v/>
      </c>
      <c r="T50" s="21" t="str">
        <f aca="false">IF($B50="","",IF($C50=0,"",IF(INDEX(Setup!$C$37:$C$49,$C50-36)="","",INDEX(Setup!$C$37:$C$49,$C50-36))))</f>
        <v/>
      </c>
      <c r="U50" s="21" t="str">
        <f aca="false">IF($B50="","",IF($C50=0,"",IF(INDEX(Setup!$F$37:$F$49,$C50-36)="","",INDEX(Setup!$F$37:$F$49,$C50-36))))</f>
        <v/>
      </c>
      <c r="V50" s="21" t="str">
        <f aca="false">IF($B50="","",IF($C50=0,"",IF(INDEX(Setup!$E$37:$E$49,$C50-36)="","",INDEX(Setup!$E$37:$E$49,$C50-36))))</f>
        <v/>
      </c>
      <c r="W50" s="16" t="n">
        <f aca="false">IF($O50="","",IF(OR(Fits!$C$5&lt;&gt;"Yes",$D50="Blank",$L50&lt;=Fits!$B$6),$O50,($L50*$O50-Fits!$B$6*Fits!$B$7)/($L50-Fits!$B$6)))</f>
        <v>1.975</v>
      </c>
      <c r="X50" s="16" t="n">
        <f aca="false">IF($W50="","",$W50-Fits!$B$20*($L50-Fits!$B$16))</f>
        <v>1.975</v>
      </c>
      <c r="Y50" s="22" t="n">
        <f aca="false">IF($W50="","",IF(OR(Fits!$B$38="Row",$BI50=""),$A50,$BI50))</f>
        <v>45</v>
      </c>
      <c r="Z50" s="16" t="n">
        <f aca="false">IF($X50="","",$X50-Fits!$B$39*($Y50-Fits!$B$40))</f>
        <v>2.14070269993777</v>
      </c>
      <c r="AA50" s="23" t="n">
        <f aca="false">IF(OR($Z50="",Fits!$B$55&lt;2),"",Fits!$B$56*$Z50+Fits!$B$57)</f>
        <v>3.22490966388229</v>
      </c>
      <c r="AB50" s="16" t="n">
        <f aca="false">IF($R50="","",IF(OR(Fits!$C$9&lt;&gt;"Yes",$D50="Blank",$P50&lt;=Fits!$B$10),$R50,($P50*$R50-Fits!$B$10*Fits!$B$11)/($P50-Fits!$B$10)))</f>
        <v>-10.909</v>
      </c>
      <c r="AC50" s="16" t="n">
        <f aca="false">IF($AB50="","",$AB50-Fits!$B$28*($P50-Fits!$B$24))</f>
        <v>-10.7234197785519</v>
      </c>
      <c r="AD50" s="22" t="n">
        <f aca="false">IF($AB50="","",IF(OR(Fits!$B$50="Row",$BI50=""),$A50,$BI50))</f>
        <v>45</v>
      </c>
      <c r="AE50" s="16" t="n">
        <f aca="false">IF($AC50="","",$AC50-Fits!$B$51*($AD50-Fits!$B$52))</f>
        <v>-10.7525935791615</v>
      </c>
      <c r="AF50" s="23" t="n">
        <f aca="false">IF(OR($AE50="",Fits!$B$62&lt;2),"",Fits!$B$63*$AE50+Fits!$B$64)</f>
        <v>-27.8969900359127</v>
      </c>
      <c r="AG50" s="21" t="n">
        <f aca="false">IF(OR($L50="",Fits!$B$69&lt;3),"",($L50-Fits!$B$71)/Fits!$B$70)</f>
        <v>0.814612966543651</v>
      </c>
      <c r="AH50" s="21" t="n">
        <f aca="false">IF(OR($P50="",Fits!$B$75&lt;3),"",($P50-Fits!$B$77)/Fits!$B$76)</f>
        <v>42.6242346155615</v>
      </c>
      <c r="AI50" s="23" t="str">
        <f aca="false">IF(OR($AG50="",$G50="",$G50=0),"",$AG50/($G50*1000)*100)</f>
        <v/>
      </c>
      <c r="AJ50" s="23" t="str">
        <f aca="false">IF(OR($AH50="",$G50="",$G50=0),"",$AH50/($G50*1000)*100)</f>
        <v/>
      </c>
      <c r="AK50" s="23" t="n">
        <f aca="false">IF(OR($AG50="",$AH50="",$AG50&lt;=0),"",($AH50/Setup!$B$52)/($AG50/Setup!$B$53))</f>
        <v>61.0198641829321</v>
      </c>
      <c r="AL50" s="23" t="n">
        <f aca="false">IF(OR($AG50="",$AH50="",$AG50&lt;=0),"",$AH50/$AG50)</f>
        <v>52.3245226459055</v>
      </c>
      <c r="AM50" s="9" t="str">
        <f aca="false">IF($D50="Linearity",IF($L50="","",$L50),"")</f>
        <v/>
      </c>
      <c r="AN50" s="9" t="str">
        <f aca="false">IF($D50="Linearity",IF($W50="","",$W50),"")</f>
        <v/>
      </c>
      <c r="AO50" s="9" t="str">
        <f aca="false">IF($D50="Linearity",IF($P50="","",$P50),"")</f>
        <v/>
      </c>
      <c r="AP50" s="9" t="str">
        <f aca="false">IF($D50="Linearity",IF($AB50="","",$AB50),"")</f>
        <v/>
      </c>
      <c r="AQ50" s="9" t="str">
        <f aca="false">IF($D50="Drift",IF($A50&lt;IF(Setup!$B$14="",0,Setup!$B$14),"",$A50),"")</f>
        <v/>
      </c>
      <c r="AR50" s="9" t="str">
        <f aca="false">IF($D50="Drift",IF($A50&lt;IF(Setup!$B$14="",0,Setup!$B$14),"",IF($BI50="","",$BI50)),"")</f>
        <v/>
      </c>
      <c r="AS50" s="9" t="str">
        <f aca="false">IF($D50="Drift",IF($A50&lt;IF(Setup!$B$14="",0,Setup!$B$14),"",IF(OR($X50="",$BX50=1),"",$X50)),"")</f>
        <v/>
      </c>
      <c r="AT50" s="9" t="str">
        <f aca="false">IF($D50="Drift",IF($A50&lt;IF(Setup!$B$14="",0,Setup!$B$14),"",IF(OR($AC50="",$BY50=1),"",$AC50)),"")</f>
        <v/>
      </c>
      <c r="AU50" s="9" t="str">
        <f aca="false">IF($D50="Anchor",IF(OR($Z50="",$S50=""),"",$Z50),"")</f>
        <v/>
      </c>
      <c r="AV50" s="9" t="str">
        <f aca="false">IF($D50="Anchor",IF(OR($Z50="",$S50=""),"",$S50),"")</f>
        <v/>
      </c>
      <c r="AW50" s="9" t="str">
        <f aca="false">IF($D50="Anchor",IF(OR($AE50="",$T50=""),"",$AE50),"")</f>
        <v/>
      </c>
      <c r="AX50" s="9" t="str">
        <f aca="false">IF($D50="Anchor",IF(OR($AE50="",$T50=""),"",$T50),"")</f>
        <v/>
      </c>
      <c r="AY50" s="9" t="str">
        <f aca="false">IF(OR($D50="Blank",$D50="Exclude",$D50="Sample",$D50="",$G50="",$U50="",$L50=""),"",$G50*1000*$U50/100)</f>
        <v/>
      </c>
      <c r="AZ50" s="9" t="str">
        <f aca="false">IF($AY50="","",$L50)</f>
        <v/>
      </c>
      <c r="BA50" s="9" t="str">
        <f aca="false">IF(OR($D50="Blank",$D50="Exclude",$D50="Sample",$D50="",$G50="",$V50="",$P50=""),"",$G50*1000*$V50/100)</f>
        <v/>
      </c>
      <c r="BB50" s="9" t="str">
        <f aca="false">IF($BA50="","",$P50)</f>
        <v/>
      </c>
      <c r="BC50" s="9" t="str">
        <f aca="false">IF(AND($D50="Blank",$L50&lt;&gt;""),$O50,"")</f>
        <v/>
      </c>
      <c r="BD50" s="9" t="str">
        <f aca="false">IF($BC50="","",$L50)</f>
        <v/>
      </c>
      <c r="BE50" s="9" t="str">
        <f aca="false">IF(AND($D50="Blank",$P50&lt;&gt;""),$R50,"")</f>
        <v/>
      </c>
      <c r="BF50" s="9" t="str">
        <f aca="false">IF($BE50="","",$P50)</f>
        <v/>
      </c>
      <c r="BG50" s="9" t="str">
        <f aca="false">IF(AND($D50="Drift",$BX50&lt;&gt;1),IF($AA50="","",$AA50),"")</f>
        <v/>
      </c>
      <c r="BH50" s="9" t="str">
        <f aca="false">IF(AND($D50="Drift",$BY50&lt;&gt;1),IF($AF50="","",$AF50),"")</f>
        <v/>
      </c>
      <c r="BI50" s="20" t="n">
        <f aca="false">IF($B50="","",IFERROR(INDEX(Raw!$G$2:$G$1001,MATCH($A50&amp;"|N|"&amp;SUMPRODUCT(MAX((Raw!$A$2:$A$1001=$A50)*(Raw!$R$2:$R$1001="N")*(Raw!$I$2:$I$1001=1)*Raw!$D$2:$D$1001)),Raw!$S$2:$S$1001,0)),""))</f>
        <v>23.1</v>
      </c>
      <c r="BJ50" s="21" t="n">
        <f aca="false">IF(OR($BI50="",Fits!$B$85&lt;=0),"",($BI50-Fits!$B$83)/Fits!$B$85)</f>
        <v>0</v>
      </c>
      <c r="BK50" s="9" t="str">
        <f aca="false">IF($AS50="","",IF($A50&gt;=Fits!$B$86,"",$A50))</f>
        <v/>
      </c>
      <c r="BL50" s="9" t="str">
        <f aca="false">IF($BK50="","",$X50)</f>
        <v/>
      </c>
      <c r="BM50" s="9" t="str">
        <f aca="false">IF($AS50="","",IF($A50&lt;Fits!$B$86,"",$A50))</f>
        <v/>
      </c>
      <c r="BN50" s="9" t="str">
        <f aca="false">IF($BM50="","",$X50)</f>
        <v/>
      </c>
      <c r="BO50" s="9" t="str">
        <f aca="false">IF(AND($D50="Drift",$BX50&lt;&gt;1),IF($O50="","",$O50),"")</f>
        <v/>
      </c>
      <c r="BP50" s="9" t="str">
        <f aca="false">IF(AND($D50="Drift",$BX50&lt;&gt;1),IF($W50="","",$W50),"")</f>
        <v/>
      </c>
      <c r="BQ50" s="9" t="str">
        <f aca="false">IF(AND($D50="Drift",$BX50&lt;&gt;1),IF($X50="","",$X50),"")</f>
        <v/>
      </c>
      <c r="BR50" s="9" t="str">
        <f aca="false">IF(AND($D50="Drift",$BX50&lt;&gt;1),IF($Z50="","",$Z50),"")</f>
        <v/>
      </c>
      <c r="BS50" s="9" t="n">
        <f aca="false">IF(OR($B50="",$H50=""),"",SUMPRODUCT(MIN((Raw!$A$2:$A$1001=$A50)*(Raw!$R$2:$R$1001="N")*(Raw!$I$2:$I$1001=0)*(Raw!$D$2:$D$1001&lt;$H50)*Raw!$D$2:$D$1001+(1-(Raw!$A$2:$A$1001=$A50)*(Raw!$R$2:$R$1001="N")*(Raw!$I$2:$I$1001=0)*(Raw!$D$2:$D$1001&lt;$H50))*9999)))</f>
        <v>1</v>
      </c>
      <c r="BT50" s="16" t="n">
        <f aca="false">IF(OR($BS50="",$BS50=9999,$BS50=0),"",IFERROR(INDEX(Raw!$N$2:$N$1001,MATCH($A50&amp;"|N|"&amp;$BS50,Raw!$S$2:$S$1001,0)),""))</f>
        <v>-1.315</v>
      </c>
      <c r="BU50" s="9" t="n">
        <f aca="false">IF($B50="","",SUMPRODUCT(MIN((Raw!$A$2:$A$1001=$A50)*(Raw!$R$2:$R$1001="C")*(Raw!$I$2:$I$1001=1)*Raw!$D$2:$D$1001+(1-(Raw!$A$2:$A$1001=$A50)*(Raw!$R$2:$R$1001="C")*(Raw!$I$2:$I$1001=1))*9999)))</f>
        <v>5</v>
      </c>
      <c r="BV50" s="9" t="n">
        <f aca="false">IF(OR($BU50="",$BU50=9999),"",SUMPRODUCT(MIN((Raw!$A$2:$A$1001=$A50)*(Raw!$R$2:$R$1001="C")*(Raw!$I$2:$I$1001=0)*(Raw!$D$2:$D$1001&gt;$BU50)*Raw!$D$2:$D$1001+(1-(Raw!$A$2:$A$1001=$A50)*(Raw!$R$2:$R$1001="C")*(Raw!$I$2:$I$1001=0)*(Raw!$D$2:$D$1001&gt;$BU50))*9999)))</f>
        <v>6</v>
      </c>
      <c r="BW50" s="16" t="n">
        <f aca="false">IF(OR($BV50="",$BV50=9999,$BV50=0),"",IFERROR(INDEX(Raw!$O$2:$O$1001,MATCH($A50&amp;"|C|"&amp;$BV50,Raw!$S$2:$S$1001,0)),""))</f>
        <v>-25.444</v>
      </c>
      <c r="BX50" s="9" t="n">
        <f aca="false">IF($B50="","",IF(ISNUMBER(SEARCH(","&amp;$A50&amp;",",","&amp;SUBSTITUTE(Setup!$B$16," ","")&amp;",")),1,0))</f>
        <v>0</v>
      </c>
      <c r="BY50" s="9" t="n">
        <f aca="false">IF($B50="","",IF(ISNUMBER(SEARCH(","&amp;$A50&amp;",",","&amp;SUBSTITUTE(Setup!$B$17," ","")&amp;",")),1,0))</f>
        <v>0</v>
      </c>
      <c r="BZ50" s="22" t="str">
        <f aca="false">IF($AS50="","",IF(Fits!$B$38="Row",$AQ50,IF($AR50="","",$AR50)))</f>
        <v/>
      </c>
      <c r="CA50" s="22" t="str">
        <f aca="false">IF($AT50="","",IF(Fits!$B$50="Row",$AQ50,IF($AR50="","",$AR50)))</f>
        <v/>
      </c>
      <c r="CB50" s="20" t="str">
        <f aca="false">IF(OR($D50&lt;&gt;"Drift",$X50="",$A50&lt;IF(Setup!$B$14="",0,Setup!$B$14),Fits!$B$107&lt;3,Fits!$B$110="",Fits!$B$109=0,IF(Fits!$B$38="Row",$AQ50,$AR50)=""),"",IF($BX50=1,IF(OR(Fits!$B$111="",Fits!$B$111=0),"",($X50-(IF(Fits!$B$38="Row",Fits!$B$32,Fits!$B$35)*IF(Fits!$B$38="Row",$AQ50,$AR50)+Fits!$B$110))/(Fits!$B$111*SQRT(1+(1/Fits!$B$107+(IF(Fits!$B$38="Row",$AQ50,$AR50)-Fits!$B$108)^2/Fits!$B$109)))),IF(OR(Fits!$B$107&lt;4,(1/Fits!$B$107+(IF(Fits!$B$38="Row",$AQ50,$AR50)-Fits!$B$108)^2/Fits!$B$109)&gt;=1),"",IF((Fits!$B$116-($X50-(IF(Fits!$B$38="Row",Fits!$B$32,Fits!$B$35)*IF(Fits!$B$38="Row",$AQ50,$AR50)+Fits!$B$110))^2/(1-(1/Fits!$B$107+(IF(Fits!$B$38="Row",$AQ50,$AR50)-Fits!$B$108)^2/Fits!$B$109)))&lt;=0,"",($X50-(IF(Fits!$B$38="Row",Fits!$B$32,Fits!$B$35)*IF(Fits!$B$38="Row",$AQ50,$AR50)+Fits!$B$110))/(SQRT((Fits!$B$116-($X50-(IF(Fits!$B$38="Row",Fits!$B$32,Fits!$B$35)*IF(Fits!$B$38="Row",$AQ50,$AR50)+Fits!$B$110))^2/(1-(1/Fits!$B$107+(IF(Fits!$B$38="Row",$AQ50,$AR50)-Fits!$B$108)^2/Fits!$B$109)))/(Fits!$B$107-3))*SQRT(1-(1/Fits!$B$107+(IF(Fits!$B$38="Row",$AQ50,$AR50)-Fits!$B$108)^2/Fits!$B$109)))))))</f>
        <v/>
      </c>
      <c r="CC50" s="20" t="str">
        <f aca="false">IF(OR($D50&lt;&gt;"Drift",$AC50="",$A50&lt;IF(Setup!$B$14="",0,Setup!$B$14),Fits!$B$120&lt;3,Fits!$B$123="",Fits!$B$122=0,IF(Fits!$B$50="Row",$AQ50,$AR50)=""),"",IF($BY50=1,IF(OR(Fits!$B$124="",Fits!$B$124=0),"",($AC50-(IF(Fits!$B$50="Row",Fits!$B$44,Fits!$B$47)*IF(Fits!$B$50="Row",$AQ50,$AR50)+Fits!$B$123))/(Fits!$B$124*SQRT(1+(1/Fits!$B$120+(IF(Fits!$B$50="Row",$AQ50,$AR50)-Fits!$B$121)^2/Fits!$B$122)))),IF(OR(Fits!$B$120&lt;4,(1/Fits!$B$120+(IF(Fits!$B$50="Row",$AQ50,$AR50)-Fits!$B$121)^2/Fits!$B$122)&gt;=1),"",IF((Fits!$B$129-($AC50-(IF(Fits!$B$50="Row",Fits!$B$44,Fits!$B$47)*IF(Fits!$B$50="Row",$AQ50,$AR50)+Fits!$B$123))^2/(1-(1/Fits!$B$120+(IF(Fits!$B$50="Row",$AQ50,$AR50)-Fits!$B$121)^2/Fits!$B$122)))&lt;=0,"",($AC50-(IF(Fits!$B$50="Row",Fits!$B$44,Fits!$B$47)*IF(Fits!$B$50="Row",$AQ50,$AR50)+Fits!$B$123))/(SQRT((Fits!$B$129-($AC50-(IF(Fits!$B$50="Row",Fits!$B$44,Fits!$B$47)*IF(Fits!$B$50="Row",$AQ50,$AR50)+Fits!$B$123))^2/(1-(1/Fits!$B$120+(IF(Fits!$B$50="Row",$AQ50,$AR50)-Fits!$B$121)^2/Fits!$B$122)))/(Fits!$B$120-3))*SQRT(1-(1/Fits!$B$120+(IF(Fits!$B$50="Row",$AQ50,$AR50)-Fits!$B$121)^2/Fits!$B$122)))))))</f>
        <v/>
      </c>
      <c r="CD50" s="9" t="str">
        <f aca="false">IF($AU50="","",1)</f>
        <v/>
      </c>
      <c r="CE50" s="24" t="str">
        <f aca="false">IF($AU50="","",$AU50-Fits!$B$133)</f>
        <v/>
      </c>
      <c r="CF50" s="24" t="str">
        <f aca="false">IF($AU50="","",($AV50-(Fits!$B$56*$AU50+Fits!$B$57))-Fits!$B$56*($AU50-Fits!$B$133))</f>
        <v/>
      </c>
      <c r="CG50" s="25" t="str">
        <f aca="false">IF($AU50="","",$AU50^2)</f>
        <v/>
      </c>
      <c r="CH50" s="9" t="str">
        <f aca="false">IF($AW50="","",1)</f>
        <v/>
      </c>
      <c r="CI50" s="24" t="str">
        <f aca="false">IF($AW50="","",$AW50-Fits!$B$153)</f>
        <v/>
      </c>
      <c r="CJ50" s="24" t="str">
        <f aca="false">IF($AW50="","",($AX50-(Fits!$B$63*$AW50+Fits!$B$64))-Fits!$B$63*($AW50-Fits!$B$153))</f>
        <v/>
      </c>
      <c r="CK50" s="25" t="str">
        <f aca="false">IF($AW50="","",$AW50^2)</f>
        <v/>
      </c>
      <c r="CL50" s="26" t="n">
        <f aca="false">IF(OR($Z50="",Fits!$B$55&lt;3,Fits!$B$133="",Fits!$B$134="",Fits!$B$134=0,Fits!$B$136=""),"",SQRT((Fits!$B$136*Fits!$B$56)^2+SUMPRODUCT((Fits!$J$163:$J$175*(Fits!$B$163:$B$175/Fits!$B$55+Fits!$H$163:$H$175*($Z50-Fits!$B$133)/Fits!$B$134))^2)+SUMPRODUCT((Fits!$G$163:$G$175*(($Z50-Fits!$B$133)*Fits!$I$163:$I$175/Fits!$B$134-Fits!$B$163:$B$175*Fits!$B$56/Fits!$B$55))^2)))</f>
        <v>0.21358739666561</v>
      </c>
      <c r="CM50" s="26" t="n">
        <f aca="false">IF($CL50="","",Setup!$B$32*$CL50)</f>
        <v>0.427174793331219</v>
      </c>
      <c r="CN50" s="26" t="n">
        <f aca="false">IF(OR($AE50="",Fits!$B$62&lt;3,Fits!$B$153="",Fits!$B$154="",Fits!$B$154=0,Fits!$B$156=""),"",SQRT((Fits!$B$156*Fits!$B$63)^2+SUMPRODUCT((Fits!$J$183:$J$195*(Fits!$B$183:$B$195/Fits!$B$62+Fits!$H$183:$H$195*($AE50-Fits!$B$153)/Fits!$B$154))^2)+SUMPRODUCT((Fits!$G$183:$G$195*(($AE50-Fits!$B$153)*Fits!$I$183:$I$195/Fits!$B$154-Fits!$B$183:$B$195*Fits!$B$63/Fits!$B$62))^2)))</f>
        <v>0.0369453275493973</v>
      </c>
      <c r="CO50" s="26" t="n">
        <f aca="false">IF($CN50="","",Setup!$B$32*$CN50)</f>
        <v>0.0738906550987946</v>
      </c>
      <c r="CP50" s="9" t="n">
        <f aca="false">IF(OR(NOT(ISNUMBER($BJ50)),$EK50=1),$CP49,IF($BJ50&lt;=Setup!$B$26,$CP49+1,0))</f>
        <v>15</v>
      </c>
      <c r="CQ50" s="9" t="n">
        <f aca="false">IF($BT50="","",$A50)</f>
        <v>45</v>
      </c>
      <c r="CR50" s="9" t="n">
        <f aca="false">IF($BW50="","",$A50)</f>
        <v>45</v>
      </c>
      <c r="CS50" s="9" t="n">
        <f aca="false">IF($B50="","",IF(Setup!$A$37="",0,IF(ISNUMBER(SEARCH(Setup!$A$37,$B50)),37,0)))</f>
        <v>0</v>
      </c>
      <c r="CT50" s="9" t="n">
        <f aca="false">IF($B50="","",IF(Setup!$A$38="",0,IF(ISNUMBER(SEARCH(Setup!$A$38,$B50)),38,0)))</f>
        <v>0</v>
      </c>
      <c r="CU50" s="9" t="n">
        <f aca="false">IF($B50="","",IF(Setup!$A$39="",0,IF(ISNUMBER(SEARCH(Setup!$A$39,$B50)),39,0)))</f>
        <v>0</v>
      </c>
      <c r="CV50" s="9" t="n">
        <f aca="false">IF($B50="","",IF(Setup!$A$40="",0,IF(ISNUMBER(SEARCH(Setup!$A$40,$B50)),40,0)))</f>
        <v>0</v>
      </c>
      <c r="CW50" s="9" t="n">
        <f aca="false">IF($B50="","",IF(Setup!$A$41="",0,IF(ISNUMBER(SEARCH(Setup!$A$41,$B50)),41,0)))</f>
        <v>0</v>
      </c>
      <c r="CX50" s="9" t="n">
        <f aca="false">IF($B50="","",IF(Setup!$A$42="",0,IF(ISNUMBER(SEARCH(Setup!$A$42,$B50)),42,0)))</f>
        <v>0</v>
      </c>
      <c r="CY50" s="9" t="n">
        <f aca="false">IF($B50="","",IF(Setup!$A$43="",0,IF(ISNUMBER(SEARCH(Setup!$A$43,$B50)),43,0)))</f>
        <v>0</v>
      </c>
      <c r="CZ50" s="9" t="n">
        <f aca="false">IF($B50="","",IF(Setup!$A$44="",0,IF(ISNUMBER(SEARCH(Setup!$A$44,$B50)),44,0)))</f>
        <v>0</v>
      </c>
      <c r="DA50" s="9" t="n">
        <f aca="false">IF($B50="","",IF(Setup!$A$45="",0,IF(ISNUMBER(SEARCH(Setup!$A$45,$B50)),45,0)))</f>
        <v>0</v>
      </c>
      <c r="DB50" s="9" t="n">
        <f aca="false">IF($B50="","",IF(Setup!$A$46="",0,IF(ISNUMBER(SEARCH(Setup!$A$46,$B50)),46,0)))</f>
        <v>0</v>
      </c>
      <c r="DC50" s="9" t="n">
        <f aca="false">IF($B50="","",IF(Setup!$A$47="",0,IF(ISNUMBER(SEARCH(Setup!$A$47,$B50)),47,0)))</f>
        <v>0</v>
      </c>
      <c r="DD50" s="9" t="n">
        <f aca="false">IF($B50="","",IF(Setup!$A$48="",0,IF(ISNUMBER(SEARCH(Setup!$A$48,$B50)),48,0)))</f>
        <v>0</v>
      </c>
      <c r="DE50" s="9" t="n">
        <f aca="false">IF($B50="","",IF(Setup!$A$49="",0,IF(ISNUMBER(SEARCH(Setup!$A$49,$B50)),49,0)))</f>
        <v>0</v>
      </c>
      <c r="DF50" s="9" t="n">
        <f aca="false">IF($B50="",NA(),$A50)</f>
        <v>45</v>
      </c>
      <c r="DG50" s="22" t="n">
        <f aca="false">IF($BI50="",NA(),$BI50)</f>
        <v>23.1</v>
      </c>
      <c r="DH50" s="22" t="n">
        <f aca="false">IF($N50="",NA(),$N50)</f>
        <v>24</v>
      </c>
      <c r="DI50" s="9" t="e">
        <f aca="false">IF(AND($D50="Drift",$N50&lt;&gt;""),$N50,NA())</f>
        <v>#N/A</v>
      </c>
      <c r="DJ50" s="9" t="str">
        <f aca="false">IF(AND($D50="Drift",$N50&lt;&gt;""),$N50,"")</f>
        <v/>
      </c>
      <c r="DK50" s="9" t="str">
        <f aca="false">IF($DJ50="","",$A50)</f>
        <v/>
      </c>
      <c r="DL50" s="9" t="e">
        <f aca="false">IF($AN50="",NA(),$AM50)</f>
        <v>#N/A</v>
      </c>
      <c r="DM50" s="9" t="e">
        <f aca="false">IF($AN50="",NA(),$AN50)</f>
        <v>#N/A</v>
      </c>
      <c r="DN50" s="24" t="n">
        <f aca="false">IF(AND($D50="Sample",$L50&lt;&gt;""),$L50,NA())</f>
        <v>2.478</v>
      </c>
      <c r="DO50" s="24" t="n">
        <f aca="false">IF(AND($D50="Sample",$L50&lt;&gt;"",Fits!$B$98&lt;&gt;""),Fits!$B$98,NA())</f>
        <v>-6.0577</v>
      </c>
      <c r="DP50" s="9" t="e">
        <f aca="false">IF($AS50="",NA(),$AS50)</f>
        <v>#N/A</v>
      </c>
      <c r="DQ50" s="9" t="e">
        <f aca="false">IF(AND($D50="Drift",$AS50="",$X50&lt;&gt;""),$X50,NA())</f>
        <v>#N/A</v>
      </c>
      <c r="DR50" s="9" t="e">
        <f aca="false">IF(AND($D50="Drift",$Z50&lt;&gt;""),$Z50,NA())</f>
        <v>#N/A</v>
      </c>
      <c r="DS50" s="25" t="n">
        <f aca="false">IF(AND(OR($D50="Sample",$D50="Check"),$AA50&lt;&gt;""),$AA50,NA())</f>
        <v>3.22490966388229</v>
      </c>
      <c r="DT50" s="25" t="n">
        <f aca="false">IF(OR($B50="",Fits!$B$138=""),NA(),Fits!$B$138)</f>
        <v>1.76</v>
      </c>
      <c r="DU50" s="25" t="n">
        <f aca="false">IF(OR($B50="",Fits!$B$139=""),NA(),Fits!$B$139)</f>
        <v>20.68</v>
      </c>
      <c r="DV50" s="24" t="n">
        <f aca="false">IF($BT50="",NA(),$BT50)</f>
        <v>-1.315</v>
      </c>
      <c r="DW50" s="9" t="e">
        <f aca="false">IF($AP50="",NA(),$AO50)</f>
        <v>#N/A</v>
      </c>
      <c r="DX50" s="9" t="e">
        <f aca="false">IF($AP50="",NA(),$AP50)</f>
        <v>#N/A</v>
      </c>
      <c r="DY50" s="24" t="n">
        <f aca="false">IF(AND($D50="Sample",$P50&lt;&gt;""),$P50,NA())</f>
        <v>20.462</v>
      </c>
      <c r="DZ50" s="24" t="n">
        <f aca="false">IF(AND($D50="Sample",$P50&lt;&gt;"",Fits!$B$105&lt;&gt;""),Fits!$B$105,NA())</f>
        <v>-9.717</v>
      </c>
      <c r="EA50" s="9" t="e">
        <f aca="false">IF($AT50="",NA(),$AT50)</f>
        <v>#N/A</v>
      </c>
      <c r="EB50" s="9" t="e">
        <f aca="false">IF(AND($D50="Drift",$AT50="",$AC50&lt;&gt;""),$AC50,NA())</f>
        <v>#N/A</v>
      </c>
      <c r="EC50" s="9" t="e">
        <f aca="false">IF(AND($D50="Drift",$AE50&lt;&gt;""),$AE50,NA())</f>
        <v>#N/A</v>
      </c>
      <c r="ED50" s="25" t="n">
        <f aca="false">IF(AND(OR($D50="Sample",$D50="Check"),$AF50&lt;&gt;""),$AF50,NA())</f>
        <v>-27.8969900359127</v>
      </c>
      <c r="EE50" s="25" t="n">
        <f aca="false">IF(OR($B50="",Fits!$B$158=""),NA(),Fits!$B$158)</f>
        <v>-40.81</v>
      </c>
      <c r="EF50" s="25" t="n">
        <f aca="false">IF(OR($B50="",Fits!$B$159=""),NA(),Fits!$B$159)</f>
        <v>-20.29</v>
      </c>
      <c r="EG50" s="24" t="n">
        <f aca="false">IF($BW50="",NA(),$BW50)</f>
        <v>-25.444</v>
      </c>
      <c r="EH50" s="9" t="e">
        <f aca="false">IF(AND($EN50=1,ISNUMBER($N50)),$N50,NA())</f>
        <v>#N/A</v>
      </c>
      <c r="EI50" s="9" t="n">
        <f aca="false">IF($B50="","",$A50)</f>
        <v>45</v>
      </c>
      <c r="EJ50" s="9" t="n">
        <f aca="false">IF(OR(AND(ISNUMBER($L50),Fits!$B$97&gt;0,$L50&gt;Fits!$B$97),AND(ISNUMBER($P50),Fits!$B$104&gt;0,$P50&gt;Fits!$B$104)),1,0)</f>
        <v>0</v>
      </c>
      <c r="EK50" s="9" t="n">
        <f aca="false">IF(OR($EJ49=1,$EJ48=1),1,0)</f>
        <v>0</v>
      </c>
      <c r="EL50" s="22" t="n">
        <f aca="false">IF(AND($EK50=0,ISNUMBER($N50)),$N50,$EL49)</f>
        <v>24</v>
      </c>
      <c r="EM50" s="9" t="str">
        <f aca="false">IF(AND($EK50=1,ISNUMBER($N50),ISNUMBER($EL50)),$N50-$EL50,"")</f>
        <v/>
      </c>
      <c r="EN50" s="9" t="n">
        <f aca="false">IF(Setup!$B$28="",0,IF(ISNUMBER($EM50),IF($EM50&gt;Setup!$B$28,1,0),0))</f>
        <v>0</v>
      </c>
      <c r="EO50" s="9" t="str">
        <f aca="false">IF($EN50=1,COUNTIF($EN$6:$EN50,1),"")</f>
        <v/>
      </c>
      <c r="EP50" s="9" t="n">
        <f aca="false">IF(AND($EJ49=1,OR($D50="Sample",$D50="Check")),1,0)</f>
        <v>0</v>
      </c>
      <c r="EQ50" s="9" t="str">
        <f aca="false">IF(ISNUMBER($BI50),IF(COUNT($BI$6:$BI50)&lt;=5,$BI50,""),"")</f>
        <v/>
      </c>
      <c r="ER50" s="9" t="n">
        <f aca="false">IF(OR(NOT(ISNUMBER($BJ50)),$EK50=1),$ER49,IF($BJ50&lt;=Setup!$B$26,IF($CP49=0,$A50,$ER49),""))</f>
        <v>27</v>
      </c>
    </row>
    <row r="51" customFormat="false" ht="15" hidden="false" customHeight="false" outlineLevel="0" collapsed="false">
      <c r="A51" s="8" t="n">
        <v>46</v>
      </c>
      <c r="B51" s="8" t="str">
        <f aca="false">IFERROR(INDEX(Raw!$B$2:$B$1001,MATCH($A51,Raw!$A$2:$A$1001,0)),"")</f>
        <v>Ace Drift10</v>
      </c>
      <c r="C51" s="9" t="n">
        <f aca="false">IF($B51="","",MAX($CS51:$DE51))</f>
        <v>43</v>
      </c>
      <c r="D51" s="8" t="str">
        <f aca="false">IF($B51="","",IF($C51=0,"Sample",INDEX(Setup!$B$37:$B$49,$C51-36)))</f>
        <v>Drift</v>
      </c>
      <c r="E51" s="16" t="n">
        <f aca="false">IF($B51="","",IFERROR(IF(INDEX(Raw!$E$2:$E$1001,MATCH($A51,Raw!$A$2:$A$1001,0))=0,"",INDEX(Raw!$E$2:$E$1001,MATCH($A51,Raw!$A$2:$A$1001,0))),""))</f>
        <v>0.419</v>
      </c>
      <c r="F51" s="18"/>
      <c r="G51" s="16" t="n">
        <f aca="false">IF($B51="","",IF($F51&lt;&gt;"",$F51,IF($E51="","",$E51)))</f>
        <v>0.419</v>
      </c>
      <c r="H51" s="9" t="n">
        <f aca="false">IF($B51="","",SUMPRODUCT(MAX((Raw!$A$2:$A$1001=$A51)*(Raw!$R$2:$R$1001="N")*Raw!$D$2:$D$1001)))</f>
        <v>3</v>
      </c>
      <c r="I51" s="9" t="str">
        <f aca="false">IF(OR($H51="",$H51=0),"",$A51&amp;"|N|"&amp;$H51)</f>
        <v>46|N|3</v>
      </c>
      <c r="J51" s="9" t="n">
        <f aca="false">IF($B51="","",SUMPRODUCT(MIN((Raw!$A$2:$A$1001=$A51)*(Raw!$R$2:$R$1001="C")*Raw!$D$2:$D$1001+(1-(Raw!$A$2:$A$1001=$A51)*(Raw!$R$2:$R$1001="C"))*9999)))</f>
        <v>4</v>
      </c>
      <c r="K51" s="9" t="str">
        <f aca="false">IF(OR($J51="",$J51=0,$J51=9999),"",$A51&amp;"|C|"&amp;$J51)</f>
        <v>46|C|4</v>
      </c>
      <c r="L51" s="16" t="n">
        <f aca="false">IF($I51="","",IF(INDEX(Raw!$I$2:$I$1001,MATCH($I51,Raw!$S$2:$S$1001,0))&lt;&gt;0,"",INDEX(Raw!$H$2:$H$1001,MATCH($I51,Raw!$S$2:$S$1001,0))))</f>
        <v>29.047</v>
      </c>
      <c r="M51" s="19" t="n">
        <f aca="false">IF($I51="","",IF(INDEX(Raw!$I$2:$I$1001,MATCH($I51,Raw!$S$2:$S$1001,0))&lt;&gt;0,"",INDEX(Raw!$F$2:$F$1001,MATCH($I51,Raw!$S$2:$S$1001,0))))</f>
        <v>1652</v>
      </c>
      <c r="N51" s="20" t="n">
        <f aca="false">IF($I51="","",IF(INDEX(Raw!$I$2:$I$1001,MATCH($I51,Raw!$S$2:$S$1001,0))&lt;&gt;0,"",INDEX(Raw!$G$2:$G$1001,MATCH($I51,Raw!$S$2:$S$1001,0))))</f>
        <v>23.9</v>
      </c>
      <c r="O51" s="16" t="n">
        <f aca="false">IF($I51="","",IF(INDEX(Raw!$I$2:$I$1001,MATCH($I51,Raw!$S$2:$S$1001,0))&lt;&gt;0,"",INDEX(Raw!$N$2:$N$1001,MATCH($I51,Raw!$S$2:$S$1001,0))))</f>
        <v>-6.231</v>
      </c>
      <c r="P51" s="16" t="n">
        <f aca="false">IF($K51="","",IF(INDEX(Raw!$I$2:$I$1001,MATCH($K51,Raw!$S$2:$S$1001,0))&lt;&gt;0,"",INDEX(Raw!$K$2:$K$1001,MATCH($K51,Raw!$S$2:$S$1001,0))))</f>
        <v>135.61</v>
      </c>
      <c r="Q51" s="19" t="n">
        <f aca="false">IF($K51="","",IF(INDEX(Raw!$I$2:$I$1001,MATCH($K51,Raw!$S$2:$S$1001,0))&lt;&gt;0,"",INDEX(Raw!$J$2:$J$1001,MATCH($K51,Raw!$S$2:$S$1001,0))))</f>
        <v>5971</v>
      </c>
      <c r="R51" s="16" t="n">
        <f aca="false">IF($K51="","",IF(INDEX(Raw!$I$2:$I$1001,MATCH($K51,Raw!$S$2:$S$1001,0))&lt;&gt;0,"",INDEX(Raw!$O$2:$O$1001,MATCH($K51,Raw!$S$2:$S$1001,0))))</f>
        <v>-9.407</v>
      </c>
      <c r="S51" s="21" t="str">
        <f aca="false">IF($B51="","",IF($C51=0,"",IF(INDEX(Setup!$D$37:$D$49,$C51-36)="","",INDEX(Setup!$D$37:$D$49,$C51-36))))</f>
        <v/>
      </c>
      <c r="T51" s="21" t="str">
        <f aca="false">IF($B51="","",IF($C51=0,"",IF(INDEX(Setup!$C$37:$C$49,$C51-36)="","",INDEX(Setup!$C$37:$C$49,$C51-36))))</f>
        <v/>
      </c>
      <c r="U51" s="21" t="n">
        <f aca="false">IF($B51="","",IF($C51=0,"",IF(INDEX(Setup!$F$37:$F$49,$C51-36)="","",INDEX(Setup!$F$37:$F$49,$C51-36))))</f>
        <v>10.36</v>
      </c>
      <c r="V51" s="21" t="n">
        <f aca="false">IF($B51="","",IF($C51=0,"",IF(INDEX(Setup!$E$37:$E$49,$C51-36)="","",INDEX(Setup!$E$37:$E$49,$C51-36))))</f>
        <v>71.09</v>
      </c>
      <c r="W51" s="16" t="n">
        <f aca="false">IF($O51="","",IF(OR(Fits!$C$5&lt;&gt;"Yes",$D51="Blank",$L51&lt;=Fits!$B$6),$O51,($L51*$O51-Fits!$B$6*Fits!$B$7)/($L51-Fits!$B$6)))</f>
        <v>-6.231</v>
      </c>
      <c r="X51" s="16" t="n">
        <f aca="false">IF($W51="","",$W51-Fits!$B$20*($L51-Fits!$B$16))</f>
        <v>-6.231</v>
      </c>
      <c r="Y51" s="22" t="n">
        <f aca="false">IF($W51="","",IF(OR(Fits!$B$38="Row",$BI51=""),$A51,$BI51))</f>
        <v>46</v>
      </c>
      <c r="Z51" s="16" t="n">
        <f aca="false">IF($X51="","",$X51-Fits!$B$39*($Y51-Fits!$B$40))</f>
        <v>-6.05054295006778</v>
      </c>
      <c r="AA51" s="23" t="n">
        <f aca="false">IF(OR($Z51="",Fits!$B$55&lt;2),"",Fits!$B$56*$Z51+Fits!$B$57)</f>
        <v>-5.18420463314124</v>
      </c>
      <c r="AB51" s="16" t="n">
        <f aca="false">IF($R51="","",IF(OR(Fits!$C$9&lt;&gt;"Yes",$D51="Blank",$P51&lt;=Fits!$B$10),$R51,($P51*$R51-Fits!$B$10*Fits!$B$11)/($P51-Fits!$B$10)))</f>
        <v>-9.407</v>
      </c>
      <c r="AC51" s="16" t="n">
        <f aca="false">IF($AB51="","",$AB51-Fits!$B$28*($P51-Fits!$B$24))</f>
        <v>-9.42094258018685</v>
      </c>
      <c r="AD51" s="22" t="n">
        <f aca="false">IF($AB51="","",IF(OR(Fits!$B$50="Row",$BI51=""),$A51,$BI51))</f>
        <v>46</v>
      </c>
      <c r="AE51" s="16" t="n">
        <f aca="false">IF($AC51="","",$AC51-Fits!$B$51*($AD51-Fits!$B$52))</f>
        <v>-9.45271404797403</v>
      </c>
      <c r="AF51" s="23" t="n">
        <f aca="false">IF(OR($AE51="",Fits!$B$62&lt;2),"",Fits!$B$63*$AE51+Fits!$B$64)</f>
        <v>-26.578716441515</v>
      </c>
      <c r="AG51" s="21" t="n">
        <f aca="false">IF(OR($L51="",Fits!$B$69&lt;3),"",($L51-Fits!$B$71)/Fits!$B$70)</f>
        <v>44.7041666812192</v>
      </c>
      <c r="AH51" s="21" t="n">
        <f aca="false">IF(OR($P51="",Fits!$B$75&lt;3),"",($P51-Fits!$B$77)/Fits!$B$76)</f>
        <v>304.891506799053</v>
      </c>
      <c r="AI51" s="23" t="n">
        <f aca="false">IF(OR($AG51="",$G51="",$G51=0),"",$AG51/($G51*1000)*100)</f>
        <v>10.6692521912218</v>
      </c>
      <c r="AJ51" s="23" t="n">
        <f aca="false">IF(OR($AH51="",$G51="",$G51=0),"",$AH51/($G51*1000)*100)</f>
        <v>72.7664694031152</v>
      </c>
      <c r="AK51" s="23" t="n">
        <f aca="false">IF(OR($AG51="",$AH51="",$AG51&lt;=0),"",($AH51/Setup!$B$52)/($AG51/Setup!$B$53))</f>
        <v>7.95359155343031</v>
      </c>
      <c r="AL51" s="23" t="n">
        <f aca="false">IF(OR($AG51="",$AH51="",$AG51&lt;=0),"",$AH51/$AG51)</f>
        <v>6.82020333749207</v>
      </c>
      <c r="AM51" s="9" t="str">
        <f aca="false">IF($D51="Linearity",IF($L51="","",$L51),"")</f>
        <v/>
      </c>
      <c r="AN51" s="9" t="str">
        <f aca="false">IF($D51="Linearity",IF($W51="","",$W51),"")</f>
        <v/>
      </c>
      <c r="AO51" s="9" t="str">
        <f aca="false">IF($D51="Linearity",IF($P51="","",$P51),"")</f>
        <v/>
      </c>
      <c r="AP51" s="9" t="str">
        <f aca="false">IF($D51="Linearity",IF($AB51="","",$AB51),"")</f>
        <v/>
      </c>
      <c r="AQ51" s="9" t="n">
        <f aca="false">IF($D51="Drift",IF($A51&lt;IF(Setup!$B$14="",0,Setup!$B$14),"",$A51),"")</f>
        <v>46</v>
      </c>
      <c r="AR51" s="22" t="n">
        <f aca="false">IF($D51="Drift",IF($A51&lt;IF(Setup!$B$14="",0,Setup!$B$14),"",IF($BI51="","",$BI51)),"")</f>
        <v>23.1</v>
      </c>
      <c r="AS51" s="24" t="n">
        <f aca="false">IF($D51="Drift",IF($A51&lt;IF(Setup!$B$14="",0,Setup!$B$14),"",IF(OR($X51="",$BX51=1),"",$X51)),"")</f>
        <v>-6.231</v>
      </c>
      <c r="AT51" s="24" t="n">
        <f aca="false">IF($D51="Drift",IF($A51&lt;IF(Setup!$B$14="",0,Setup!$B$14),"",IF(OR($AC51="",$BY51=1),"",$AC51)),"")</f>
        <v>-9.42094258018685</v>
      </c>
      <c r="AU51" s="9" t="str">
        <f aca="false">IF($D51="Anchor",IF(OR($Z51="",$S51=""),"",$Z51),"")</f>
        <v/>
      </c>
      <c r="AV51" s="9" t="str">
        <f aca="false">IF($D51="Anchor",IF(OR($Z51="",$S51=""),"",$S51),"")</f>
        <v/>
      </c>
      <c r="AW51" s="9" t="str">
        <f aca="false">IF($D51="Anchor",IF(OR($AE51="",$T51=""),"",$AE51),"")</f>
        <v/>
      </c>
      <c r="AX51" s="9" t="str">
        <f aca="false">IF($D51="Anchor",IF(OR($AE51="",$T51=""),"",$T51),"")</f>
        <v/>
      </c>
      <c r="AY51" s="9" t="n">
        <f aca="false">IF(OR($D51="Blank",$D51="Exclude",$D51="Sample",$D51="",$G51="",$U51="",$L51=""),"",$G51*1000*$U51/100)</f>
        <v>43.4084</v>
      </c>
      <c r="AZ51" s="24" t="n">
        <f aca="false">IF($AY51="","",$L51)</f>
        <v>29.047</v>
      </c>
      <c r="BA51" s="9" t="n">
        <f aca="false">IF(OR($D51="Blank",$D51="Exclude",$D51="Sample",$D51="",$G51="",$V51="",$P51=""),"",$G51*1000*$V51/100)</f>
        <v>297.8671</v>
      </c>
      <c r="BB51" s="24" t="n">
        <f aca="false">IF($BA51="","",$P51)</f>
        <v>135.61</v>
      </c>
      <c r="BC51" s="9" t="str">
        <f aca="false">IF(AND($D51="Blank",$L51&lt;&gt;""),$O51,"")</f>
        <v/>
      </c>
      <c r="BD51" s="9" t="str">
        <f aca="false">IF($BC51="","",$L51)</f>
        <v/>
      </c>
      <c r="BE51" s="9" t="str">
        <f aca="false">IF(AND($D51="Blank",$P51&lt;&gt;""),$R51,"")</f>
        <v/>
      </c>
      <c r="BF51" s="9" t="str">
        <f aca="false">IF($BE51="","",$P51)</f>
        <v/>
      </c>
      <c r="BG51" s="25" t="n">
        <f aca="false">IF(AND($D51="Drift",$BX51&lt;&gt;1),IF($AA51="","",$AA51),"")</f>
        <v>-5.18420463314124</v>
      </c>
      <c r="BH51" s="25" t="n">
        <f aca="false">IF(AND($D51="Drift",$BY51&lt;&gt;1),IF($AF51="","",$AF51),"")</f>
        <v>-26.578716441515</v>
      </c>
      <c r="BI51" s="20" t="n">
        <f aca="false">IF($B51="","",IFERROR(INDEX(Raw!$G$2:$G$1001,MATCH($A51&amp;"|N|"&amp;SUMPRODUCT(MAX((Raw!$A$2:$A$1001=$A51)*(Raw!$R$2:$R$1001="N")*(Raw!$I$2:$I$1001=1)*Raw!$D$2:$D$1001)),Raw!$S$2:$S$1001,0)),""))</f>
        <v>23.1</v>
      </c>
      <c r="BJ51" s="21" t="n">
        <f aca="false">IF(OR($BI51="",Fits!$B$85&lt;=0),"",($BI51-Fits!$B$83)/Fits!$B$85)</f>
        <v>0</v>
      </c>
      <c r="BK51" s="9" t="str">
        <f aca="false">IF($AS51="","",IF($A51&gt;=Fits!$B$86,"",$A51))</f>
        <v/>
      </c>
      <c r="BL51" s="9" t="str">
        <f aca="false">IF($BK51="","",$X51)</f>
        <v/>
      </c>
      <c r="BM51" s="9" t="n">
        <f aca="false">IF($AS51="","",IF($A51&lt;Fits!$B$86,"",$A51))</f>
        <v>46</v>
      </c>
      <c r="BN51" s="24" t="n">
        <f aca="false">IF($BM51="","",$X51)</f>
        <v>-6.231</v>
      </c>
      <c r="BO51" s="24" t="n">
        <f aca="false">IF(AND($D51="Drift",$BX51&lt;&gt;1),IF($O51="","",$O51),"")</f>
        <v>-6.231</v>
      </c>
      <c r="BP51" s="24" t="n">
        <f aca="false">IF(AND($D51="Drift",$BX51&lt;&gt;1),IF($W51="","",$W51),"")</f>
        <v>-6.231</v>
      </c>
      <c r="BQ51" s="24" t="n">
        <f aca="false">IF(AND($D51="Drift",$BX51&lt;&gt;1),IF($X51="","",$X51),"")</f>
        <v>-6.231</v>
      </c>
      <c r="BR51" s="24" t="n">
        <f aca="false">IF(AND($D51="Drift",$BX51&lt;&gt;1),IF($Z51="","",$Z51),"")</f>
        <v>-6.05054295006778</v>
      </c>
      <c r="BS51" s="9" t="n">
        <f aca="false">IF(OR($B51="",$H51=""),"",SUMPRODUCT(MIN((Raw!$A$2:$A$1001=$A51)*(Raw!$R$2:$R$1001="N")*(Raw!$I$2:$I$1001=0)*(Raw!$D$2:$D$1001&lt;$H51)*Raw!$D$2:$D$1001+(1-(Raw!$A$2:$A$1001=$A51)*(Raw!$R$2:$R$1001="N")*(Raw!$I$2:$I$1001=0)*(Raw!$D$2:$D$1001&lt;$H51))*9999)))</f>
        <v>1</v>
      </c>
      <c r="BT51" s="16" t="n">
        <f aca="false">IF(OR($BS51="",$BS51=9999,$BS51=0),"",IFERROR(INDEX(Raw!$N$2:$N$1001,MATCH($A51&amp;"|N|"&amp;$BS51,Raw!$S$2:$S$1001,0)),""))</f>
        <v>-1.263</v>
      </c>
      <c r="BU51" s="9" t="n">
        <f aca="false">IF($B51="","",SUMPRODUCT(MIN((Raw!$A$2:$A$1001=$A51)*(Raw!$R$2:$R$1001="C")*(Raw!$I$2:$I$1001=1)*Raw!$D$2:$D$1001+(1-(Raw!$A$2:$A$1001=$A51)*(Raw!$R$2:$R$1001="C")*(Raw!$I$2:$I$1001=1))*9999)))</f>
        <v>5</v>
      </c>
      <c r="BV51" s="9" t="n">
        <f aca="false">IF(OR($BU51="",$BU51=9999),"",SUMPRODUCT(MIN((Raw!$A$2:$A$1001=$A51)*(Raw!$R$2:$R$1001="C")*(Raw!$I$2:$I$1001=0)*(Raw!$D$2:$D$1001&gt;$BU51)*Raw!$D$2:$D$1001+(1-(Raw!$A$2:$A$1001=$A51)*(Raw!$R$2:$R$1001="C")*(Raw!$I$2:$I$1001=0)*(Raw!$D$2:$D$1001&gt;$BU51))*9999)))</f>
        <v>6</v>
      </c>
      <c r="BW51" s="16" t="n">
        <f aca="false">IF(OR($BV51="",$BV51=9999,$BV51=0),"",IFERROR(INDEX(Raw!$O$2:$O$1001,MATCH($A51&amp;"|C|"&amp;$BV51,Raw!$S$2:$S$1001,0)),""))</f>
        <v>-25.35</v>
      </c>
      <c r="BX51" s="9" t="n">
        <f aca="false">IF($B51="","",IF(ISNUMBER(SEARCH(","&amp;$A51&amp;",",","&amp;SUBSTITUTE(Setup!$B$16," ","")&amp;",")),1,0))</f>
        <v>0</v>
      </c>
      <c r="BY51" s="9" t="n">
        <f aca="false">IF($B51="","",IF(ISNUMBER(SEARCH(","&amp;$A51&amp;",",","&amp;SUBSTITUTE(Setup!$B$17," ","")&amp;",")),1,0))</f>
        <v>0</v>
      </c>
      <c r="BZ51" s="22" t="n">
        <f aca="false">IF($AS51="","",IF(Fits!$B$38="Row",$AQ51,IF($AR51="","",$AR51)))</f>
        <v>46</v>
      </c>
      <c r="CA51" s="22" t="n">
        <f aca="false">IF($AT51="","",IF(Fits!$B$50="Row",$AQ51,IF($AR51="","",$AR51)))</f>
        <v>46</v>
      </c>
      <c r="CB51" s="20" t="n">
        <f aca="false">IF(OR($D51&lt;&gt;"Drift",$X51="",$A51&lt;IF(Setup!$B$14="",0,Setup!$B$14),Fits!$B$107&lt;3,Fits!$B$110="",Fits!$B$109=0,IF(Fits!$B$38="Row",$AQ51,$AR51)=""),"",IF($BX51=1,IF(OR(Fits!$B$111="",Fits!$B$111=0),"",($X51-(IF(Fits!$B$38="Row",Fits!$B$32,Fits!$B$35)*IF(Fits!$B$38="Row",$AQ51,$AR51)+Fits!$B$110))/(Fits!$B$111*SQRT(1+(1/Fits!$B$107+(IF(Fits!$B$38="Row",$AQ51,$AR51)-Fits!$B$108)^2/Fits!$B$109)))),IF(OR(Fits!$B$107&lt;4,(1/Fits!$B$107+(IF(Fits!$B$38="Row",$AQ51,$AR51)-Fits!$B$108)^2/Fits!$B$109)&gt;=1),"",IF((Fits!$B$116-($X51-(IF(Fits!$B$38="Row",Fits!$B$32,Fits!$B$35)*IF(Fits!$B$38="Row",$AQ51,$AR51)+Fits!$B$110))^2/(1-(1/Fits!$B$107+(IF(Fits!$B$38="Row",$AQ51,$AR51)-Fits!$B$108)^2/Fits!$B$109)))&lt;=0,"",($X51-(IF(Fits!$B$38="Row",Fits!$B$32,Fits!$B$35)*IF(Fits!$B$38="Row",$AQ51,$AR51)+Fits!$B$110))/(SQRT((Fits!$B$116-($X51-(IF(Fits!$B$38="Row",Fits!$B$32,Fits!$B$35)*IF(Fits!$B$38="Row",$AQ51,$AR51)+Fits!$B$110))^2/(1-(1/Fits!$B$107+(IF(Fits!$B$38="Row",$AQ51,$AR51)-Fits!$B$108)^2/Fits!$B$109)))/(Fits!$B$107-3))*SQRT(1-(1/Fits!$B$107+(IF(Fits!$B$38="Row",$AQ51,$AR51)-Fits!$B$108)^2/Fits!$B$109)))))))</f>
        <v>0.37541686010914</v>
      </c>
      <c r="CC51" s="20" t="n">
        <f aca="false">IF(OR($D51&lt;&gt;"Drift",$AC51="",$A51&lt;IF(Setup!$B$14="",0,Setup!$B$14),Fits!$B$120&lt;3,Fits!$B$123="",Fits!$B$122=0,IF(Fits!$B$50="Row",$AQ51,$AR51)=""),"",IF($BY51=1,IF(OR(Fits!$B$124="",Fits!$B$124=0),"",($AC51-(IF(Fits!$B$50="Row",Fits!$B$44,Fits!$B$47)*IF(Fits!$B$50="Row",$AQ51,$AR51)+Fits!$B$123))/(Fits!$B$124*SQRT(1+(1/Fits!$B$120+(IF(Fits!$B$50="Row",$AQ51,$AR51)-Fits!$B$121)^2/Fits!$B$122)))),IF(OR(Fits!$B$120&lt;4,(1/Fits!$B$120+(IF(Fits!$B$50="Row",$AQ51,$AR51)-Fits!$B$121)^2/Fits!$B$122)&gt;=1),"",IF((Fits!$B$129-($AC51-(IF(Fits!$B$50="Row",Fits!$B$44,Fits!$B$47)*IF(Fits!$B$50="Row",$AQ51,$AR51)+Fits!$B$123))^2/(1-(1/Fits!$B$120+(IF(Fits!$B$50="Row",$AQ51,$AR51)-Fits!$B$121)^2/Fits!$B$122)))&lt;=0,"",($AC51-(IF(Fits!$B$50="Row",Fits!$B$44,Fits!$B$47)*IF(Fits!$B$50="Row",$AQ51,$AR51)+Fits!$B$123))/(SQRT((Fits!$B$129-($AC51-(IF(Fits!$B$50="Row",Fits!$B$44,Fits!$B$47)*IF(Fits!$B$50="Row",$AQ51,$AR51)+Fits!$B$123))^2/(1-(1/Fits!$B$120+(IF(Fits!$B$50="Row",$AQ51,$AR51)-Fits!$B$121)^2/Fits!$B$122)))/(Fits!$B$120-3))*SQRT(1-(1/Fits!$B$120+(IF(Fits!$B$50="Row",$AQ51,$AR51)-Fits!$B$121)^2/Fits!$B$122)))))))</f>
        <v>0.608371621250466</v>
      </c>
      <c r="CD51" s="9" t="str">
        <f aca="false">IF($AU51="","",1)</f>
        <v/>
      </c>
      <c r="CE51" s="24" t="str">
        <f aca="false">IF($AU51="","",$AU51-Fits!$B$133)</f>
        <v/>
      </c>
      <c r="CF51" s="24" t="str">
        <f aca="false">IF($AU51="","",($AV51-(Fits!$B$56*$AU51+Fits!$B$57))-Fits!$B$56*($AU51-Fits!$B$133))</f>
        <v/>
      </c>
      <c r="CG51" s="25" t="str">
        <f aca="false">IF($AU51="","",$AU51^2)</f>
        <v/>
      </c>
      <c r="CH51" s="9" t="str">
        <f aca="false">IF($AW51="","",1)</f>
        <v/>
      </c>
      <c r="CI51" s="24" t="str">
        <f aca="false">IF($AW51="","",$AW51-Fits!$B$153)</f>
        <v/>
      </c>
      <c r="CJ51" s="24" t="str">
        <f aca="false">IF($AW51="","",($AX51-(Fits!$B$63*$AW51+Fits!$B$64))-Fits!$B$63*($AW51-Fits!$B$153))</f>
        <v/>
      </c>
      <c r="CK51" s="25" t="str">
        <f aca="false">IF($AW51="","",$AW51^2)</f>
        <v/>
      </c>
      <c r="CL51" s="26" t="n">
        <f aca="false">IF(OR($Z51="",Fits!$B$55&lt;3,Fits!$B$133="",Fits!$B$134="",Fits!$B$134=0,Fits!$B$136=""),"",SQRT((Fits!$B$136*Fits!$B$56)^2+SUMPRODUCT((Fits!$J$163:$J$175*(Fits!$B$163:$B$175/Fits!$B$55+Fits!$H$163:$H$175*($Z51-Fits!$B$133)/Fits!$B$134))^2)+SUMPRODUCT((Fits!$G$163:$G$175*(($Z51-Fits!$B$133)*Fits!$I$163:$I$175/Fits!$B$134-Fits!$B$163:$B$175*Fits!$B$56/Fits!$B$55))^2)))</f>
        <v>0.255615716621816</v>
      </c>
      <c r="CM51" s="26" t="n">
        <f aca="false">IF($CL51="","",Setup!$B$32*$CL51)</f>
        <v>0.511231433243631</v>
      </c>
      <c r="CN51" s="26" t="n">
        <f aca="false">IF(OR($AE51="",Fits!$B$62&lt;3,Fits!$B$153="",Fits!$B$154="",Fits!$B$154=0,Fits!$B$156=""),"",SQRT((Fits!$B$156*Fits!$B$63)^2+SUMPRODUCT((Fits!$J$183:$J$195*(Fits!$B$183:$B$195/Fits!$B$62+Fits!$H$183:$H$195*($AE51-Fits!$B$153)/Fits!$B$154))^2)+SUMPRODUCT((Fits!$G$183:$G$195*(($AE51-Fits!$B$153)*Fits!$I$183:$I$195/Fits!$B$154-Fits!$B$183:$B$195*Fits!$B$63/Fits!$B$62))^2)))</f>
        <v>0.0379117966371653</v>
      </c>
      <c r="CO51" s="26" t="n">
        <f aca="false">IF($CN51="","",Setup!$B$32*$CN51)</f>
        <v>0.0758235932743305</v>
      </c>
      <c r="CP51" s="9" t="n">
        <f aca="false">IF(OR(NOT(ISNUMBER($BJ51)),$EK51=1),$CP50,IF($BJ51&lt;=Setup!$B$26,$CP50+1,0))</f>
        <v>16</v>
      </c>
      <c r="CQ51" s="9" t="n">
        <f aca="false">IF($BT51="","",$A51)</f>
        <v>46</v>
      </c>
      <c r="CR51" s="9" t="n">
        <f aca="false">IF($BW51="","",$A51)</f>
        <v>46</v>
      </c>
      <c r="CS51" s="9" t="n">
        <f aca="false">IF($B51="","",IF(Setup!$A$37="",0,IF(ISNUMBER(SEARCH(Setup!$A$37,$B51)),37,0)))</f>
        <v>0</v>
      </c>
      <c r="CT51" s="9" t="n">
        <f aca="false">IF($B51="","",IF(Setup!$A$38="",0,IF(ISNUMBER(SEARCH(Setup!$A$38,$B51)),38,0)))</f>
        <v>0</v>
      </c>
      <c r="CU51" s="9" t="n">
        <f aca="false">IF($B51="","",IF(Setup!$A$39="",0,IF(ISNUMBER(SEARCH(Setup!$A$39,$B51)),39,0)))</f>
        <v>0</v>
      </c>
      <c r="CV51" s="9" t="n">
        <f aca="false">IF($B51="","",IF(Setup!$A$40="",0,IF(ISNUMBER(SEARCH(Setup!$A$40,$B51)),40,0)))</f>
        <v>0</v>
      </c>
      <c r="CW51" s="9" t="n">
        <f aca="false">IF($B51="","",IF(Setup!$A$41="",0,IF(ISNUMBER(SEARCH(Setup!$A$41,$B51)),41,0)))</f>
        <v>0</v>
      </c>
      <c r="CX51" s="9" t="n">
        <f aca="false">IF($B51="","",IF(Setup!$A$42="",0,IF(ISNUMBER(SEARCH(Setup!$A$42,$B51)),42,0)))</f>
        <v>0</v>
      </c>
      <c r="CY51" s="9" t="n">
        <f aca="false">IF($B51="","",IF(Setup!$A$43="",0,IF(ISNUMBER(SEARCH(Setup!$A$43,$B51)),43,0)))</f>
        <v>43</v>
      </c>
      <c r="CZ51" s="9" t="n">
        <f aca="false">IF($B51="","",IF(Setup!$A$44="",0,IF(ISNUMBER(SEARCH(Setup!$A$44,$B51)),44,0)))</f>
        <v>0</v>
      </c>
      <c r="DA51" s="9" t="n">
        <f aca="false">IF($B51="","",IF(Setup!$A$45="",0,IF(ISNUMBER(SEARCH(Setup!$A$45,$B51)),45,0)))</f>
        <v>0</v>
      </c>
      <c r="DB51" s="9" t="n">
        <f aca="false">IF($B51="","",IF(Setup!$A$46="",0,IF(ISNUMBER(SEARCH(Setup!$A$46,$B51)),46,0)))</f>
        <v>0</v>
      </c>
      <c r="DC51" s="9" t="n">
        <f aca="false">IF($B51="","",IF(Setup!$A$47="",0,IF(ISNUMBER(SEARCH(Setup!$A$47,$B51)),47,0)))</f>
        <v>0</v>
      </c>
      <c r="DD51" s="9" t="n">
        <f aca="false">IF($B51="","",IF(Setup!$A$48="",0,IF(ISNUMBER(SEARCH(Setup!$A$48,$B51)),48,0)))</f>
        <v>0</v>
      </c>
      <c r="DE51" s="9" t="n">
        <f aca="false">IF($B51="","",IF(Setup!$A$49="",0,IF(ISNUMBER(SEARCH(Setup!$A$49,$B51)),49,0)))</f>
        <v>0</v>
      </c>
      <c r="DF51" s="9" t="n">
        <f aca="false">IF($B51="",NA(),$A51)</f>
        <v>46</v>
      </c>
      <c r="DG51" s="22" t="n">
        <f aca="false">IF($BI51="",NA(),$BI51)</f>
        <v>23.1</v>
      </c>
      <c r="DH51" s="22" t="n">
        <f aca="false">IF($N51="",NA(),$N51)</f>
        <v>23.9</v>
      </c>
      <c r="DI51" s="22" t="n">
        <f aca="false">IF(AND($D51="Drift",$N51&lt;&gt;""),$N51,NA())</f>
        <v>23.9</v>
      </c>
      <c r="DJ51" s="22" t="n">
        <f aca="false">IF(AND($D51="Drift",$N51&lt;&gt;""),$N51,"")</f>
        <v>23.9</v>
      </c>
      <c r="DK51" s="9" t="n">
        <f aca="false">IF($DJ51="","",$A51)</f>
        <v>46</v>
      </c>
      <c r="DL51" s="9" t="e">
        <f aca="false">IF($AN51="",NA(),$AM51)</f>
        <v>#N/A</v>
      </c>
      <c r="DM51" s="9" t="e">
        <f aca="false">IF($AN51="",NA(),$AN51)</f>
        <v>#N/A</v>
      </c>
      <c r="DN51" s="9" t="e">
        <f aca="false">IF(AND($D51="Sample",$L51&lt;&gt;""),$L51,NA())</f>
        <v>#N/A</v>
      </c>
      <c r="DO51" s="9" t="e">
        <f aca="false">IF(AND($D51="Sample",$L51&lt;&gt;"",Fits!$B$98&lt;&gt;""),Fits!$B$98,NA())</f>
        <v>#N/A</v>
      </c>
      <c r="DP51" s="24" t="n">
        <f aca="false">IF($AS51="",NA(),$AS51)</f>
        <v>-6.231</v>
      </c>
      <c r="DQ51" s="9" t="e">
        <f aca="false">IF(AND($D51="Drift",$AS51="",$X51&lt;&gt;""),$X51,NA())</f>
        <v>#N/A</v>
      </c>
      <c r="DR51" s="24" t="n">
        <f aca="false">IF(AND($D51="Drift",$Z51&lt;&gt;""),$Z51,NA())</f>
        <v>-6.05054295006778</v>
      </c>
      <c r="DS51" s="9" t="e">
        <f aca="false">IF(AND(OR($D51="Sample",$D51="Check"),$AA51&lt;&gt;""),$AA51,NA())</f>
        <v>#N/A</v>
      </c>
      <c r="DT51" s="25" t="n">
        <f aca="false">IF(OR($B51="",Fits!$B$138=""),NA(),Fits!$B$138)</f>
        <v>1.76</v>
      </c>
      <c r="DU51" s="25" t="n">
        <f aca="false">IF(OR($B51="",Fits!$B$139=""),NA(),Fits!$B$139)</f>
        <v>20.68</v>
      </c>
      <c r="DV51" s="24" t="n">
        <f aca="false">IF($BT51="",NA(),$BT51)</f>
        <v>-1.263</v>
      </c>
      <c r="DW51" s="9" t="e">
        <f aca="false">IF($AP51="",NA(),$AO51)</f>
        <v>#N/A</v>
      </c>
      <c r="DX51" s="9" t="e">
        <f aca="false">IF($AP51="",NA(),$AP51)</f>
        <v>#N/A</v>
      </c>
      <c r="DY51" s="9" t="e">
        <f aca="false">IF(AND($D51="Sample",$P51&lt;&gt;""),$P51,NA())</f>
        <v>#N/A</v>
      </c>
      <c r="DZ51" s="9" t="e">
        <f aca="false">IF(AND($D51="Sample",$P51&lt;&gt;"",Fits!$B$105&lt;&gt;""),Fits!$B$105,NA())</f>
        <v>#N/A</v>
      </c>
      <c r="EA51" s="24" t="n">
        <f aca="false">IF($AT51="",NA(),$AT51)</f>
        <v>-9.42094258018685</v>
      </c>
      <c r="EB51" s="9" t="e">
        <f aca="false">IF(AND($D51="Drift",$AT51="",$AC51&lt;&gt;""),$AC51,NA())</f>
        <v>#N/A</v>
      </c>
      <c r="EC51" s="24" t="n">
        <f aca="false">IF(AND($D51="Drift",$AE51&lt;&gt;""),$AE51,NA())</f>
        <v>-9.45271404797403</v>
      </c>
      <c r="ED51" s="9" t="e">
        <f aca="false">IF(AND(OR($D51="Sample",$D51="Check"),$AF51&lt;&gt;""),$AF51,NA())</f>
        <v>#N/A</v>
      </c>
      <c r="EE51" s="25" t="n">
        <f aca="false">IF(OR($B51="",Fits!$B$158=""),NA(),Fits!$B$158)</f>
        <v>-40.81</v>
      </c>
      <c r="EF51" s="25" t="n">
        <f aca="false">IF(OR($B51="",Fits!$B$159=""),NA(),Fits!$B$159)</f>
        <v>-20.29</v>
      </c>
      <c r="EG51" s="24" t="n">
        <f aca="false">IF($BW51="",NA(),$BW51)</f>
        <v>-25.35</v>
      </c>
      <c r="EH51" s="9" t="e">
        <f aca="false">IF(AND($EN51=1,ISNUMBER($N51)),$N51,NA())</f>
        <v>#N/A</v>
      </c>
      <c r="EI51" s="9" t="n">
        <f aca="false">IF($B51="","",$A51)</f>
        <v>46</v>
      </c>
      <c r="EJ51" s="9" t="n">
        <f aca="false">IF(OR(AND(ISNUMBER($L51),Fits!$B$97&gt;0,$L51&gt;Fits!$B$97),AND(ISNUMBER($P51),Fits!$B$104&gt;0,$P51&gt;Fits!$B$104)),1,0)</f>
        <v>0</v>
      </c>
      <c r="EK51" s="9" t="n">
        <f aca="false">IF(OR($EJ50=1,$EJ49=1),1,0)</f>
        <v>0</v>
      </c>
      <c r="EL51" s="22" t="n">
        <f aca="false">IF(AND($EK51=0,ISNUMBER($N51)),$N51,$EL50)</f>
        <v>23.9</v>
      </c>
      <c r="EM51" s="9" t="str">
        <f aca="false">IF(AND($EK51=1,ISNUMBER($N51),ISNUMBER($EL51)),$N51-$EL51,"")</f>
        <v/>
      </c>
      <c r="EN51" s="9" t="n">
        <f aca="false">IF(Setup!$B$28="",0,IF(ISNUMBER($EM51),IF($EM51&gt;Setup!$B$28,1,0),0))</f>
        <v>0</v>
      </c>
      <c r="EO51" s="9" t="str">
        <f aca="false">IF($EN51=1,COUNTIF($EN$6:$EN51,1),"")</f>
        <v/>
      </c>
      <c r="EP51" s="9" t="n">
        <f aca="false">IF(AND($EJ50=1,OR($D51="Sample",$D51="Check")),1,0)</f>
        <v>0</v>
      </c>
      <c r="EQ51" s="9" t="str">
        <f aca="false">IF(ISNUMBER($BI51),IF(COUNT($BI$6:$BI51)&lt;=5,$BI51,""),"")</f>
        <v/>
      </c>
      <c r="ER51" s="9" t="n">
        <f aca="false">IF(OR(NOT(ISNUMBER($BJ51)),$EK51=1),$ER50,IF($BJ51&lt;=Setup!$B$26,IF($CP50=0,$A51,$ER50),""))</f>
        <v>27</v>
      </c>
    </row>
    <row r="52" customFormat="false" ht="15" hidden="false" customHeight="false" outlineLevel="0" collapsed="false">
      <c r="A52" s="8" t="n">
        <v>47</v>
      </c>
      <c r="B52" s="8" t="str">
        <f aca="false">IFERROR(INDEX(Raw!$B$2:$B$1001,MATCH($A52,Raw!$A$2:$A$1001,0)),"")</f>
        <v>Random</v>
      </c>
      <c r="C52" s="9" t="n">
        <f aca="false">IF($B52="","",MAX($CS52:$DE52))</f>
        <v>0</v>
      </c>
      <c r="D52" s="8" t="str">
        <f aca="false">IF($B52="","",IF($C52=0,"Sample",INDEX(Setup!$B$37:$B$49,$C52-36)))</f>
        <v>Sample</v>
      </c>
      <c r="E52" s="16" t="str">
        <f aca="false">IF($B52="","",IFERROR(IF(INDEX(Raw!$E$2:$E$1001,MATCH($A52,Raw!$A$2:$A$1001,0))=0,"",INDEX(Raw!$E$2:$E$1001,MATCH($A52,Raw!$A$2:$A$1001,0))),""))</f>
        <v/>
      </c>
      <c r="F52" s="18"/>
      <c r="G52" s="16" t="str">
        <f aca="false">IF($B52="","",IF($F52&lt;&gt;"",$F52,IF($E52="","",$E52)))</f>
        <v/>
      </c>
      <c r="H52" s="9" t="n">
        <f aca="false">IF($B52="","",SUMPRODUCT(MAX((Raw!$A$2:$A$1001=$A52)*(Raw!$R$2:$R$1001="N")*Raw!$D$2:$D$1001)))</f>
        <v>3</v>
      </c>
      <c r="I52" s="9" t="str">
        <f aca="false">IF(OR($H52="",$H52=0),"",$A52&amp;"|N|"&amp;$H52)</f>
        <v>47|N|3</v>
      </c>
      <c r="J52" s="9" t="n">
        <f aca="false">IF($B52="","",SUMPRODUCT(MIN((Raw!$A$2:$A$1001=$A52)*(Raw!$R$2:$R$1001="C")*Raw!$D$2:$D$1001+(1-(Raw!$A$2:$A$1001=$A52)*(Raw!$R$2:$R$1001="C"))*9999)))</f>
        <v>4</v>
      </c>
      <c r="K52" s="9" t="str">
        <f aca="false">IF(OR($J52="",$J52=0,$J52=9999),"",$A52&amp;"|C|"&amp;$J52)</f>
        <v>47|C|4</v>
      </c>
      <c r="L52" s="16" t="n">
        <f aca="false">IF($I52="","",IF(INDEX(Raw!$I$2:$I$1001,MATCH($I52,Raw!$S$2:$S$1001,0))&lt;&gt;0,"",INDEX(Raw!$H$2:$H$1001,MATCH($I52,Raw!$S$2:$S$1001,0))))</f>
        <v>2.464</v>
      </c>
      <c r="M52" s="19" t="n">
        <f aca="false">IF($I52="","",IF(INDEX(Raw!$I$2:$I$1001,MATCH($I52,Raw!$S$2:$S$1001,0))&lt;&gt;0,"",INDEX(Raw!$F$2:$F$1001,MATCH($I52,Raw!$S$2:$S$1001,0))))</f>
        <v>142</v>
      </c>
      <c r="N52" s="20" t="n">
        <f aca="false">IF($I52="","",IF(INDEX(Raw!$I$2:$I$1001,MATCH($I52,Raw!$S$2:$S$1001,0))&lt;&gt;0,"",INDEX(Raw!$G$2:$G$1001,MATCH($I52,Raw!$S$2:$S$1001,0))))</f>
        <v>24.1</v>
      </c>
      <c r="O52" s="16" t="n">
        <f aca="false">IF($I52="","",IF(INDEX(Raw!$I$2:$I$1001,MATCH($I52,Raw!$S$2:$S$1001,0))&lt;&gt;0,"",INDEX(Raw!$N$2:$N$1001,MATCH($I52,Raw!$S$2:$S$1001,0))))</f>
        <v>1.617</v>
      </c>
      <c r="P52" s="16" t="n">
        <f aca="false">IF($K52="","",IF(INDEX(Raw!$I$2:$I$1001,MATCH($K52,Raw!$S$2:$S$1001,0))&lt;&gt;0,"",INDEX(Raw!$K$2:$K$1001,MATCH($K52,Raw!$S$2:$S$1001,0))))</f>
        <v>20.21</v>
      </c>
      <c r="Q52" s="19" t="n">
        <f aca="false">IF($K52="","",IF(INDEX(Raw!$I$2:$I$1001,MATCH($K52,Raw!$S$2:$S$1001,0))&lt;&gt;0,"",INDEX(Raw!$J$2:$J$1001,MATCH($K52,Raw!$S$2:$S$1001,0))))</f>
        <v>926</v>
      </c>
      <c r="R52" s="16" t="n">
        <f aca="false">IF($K52="","",IF(INDEX(Raw!$I$2:$I$1001,MATCH($K52,Raw!$S$2:$S$1001,0))&lt;&gt;0,"",INDEX(Raw!$O$2:$O$1001,MATCH($K52,Raw!$S$2:$S$1001,0))))</f>
        <v>-10.686</v>
      </c>
      <c r="S52" s="21" t="str">
        <f aca="false">IF($B52="","",IF($C52=0,"",IF(INDEX(Setup!$D$37:$D$49,$C52-36)="","",INDEX(Setup!$D$37:$D$49,$C52-36))))</f>
        <v/>
      </c>
      <c r="T52" s="21" t="str">
        <f aca="false">IF($B52="","",IF($C52=0,"",IF(INDEX(Setup!$C$37:$C$49,$C52-36)="","",INDEX(Setup!$C$37:$C$49,$C52-36))))</f>
        <v/>
      </c>
      <c r="U52" s="21" t="str">
        <f aca="false">IF($B52="","",IF($C52=0,"",IF(INDEX(Setup!$F$37:$F$49,$C52-36)="","",INDEX(Setup!$F$37:$F$49,$C52-36))))</f>
        <v/>
      </c>
      <c r="V52" s="21" t="str">
        <f aca="false">IF($B52="","",IF($C52=0,"",IF(INDEX(Setup!$E$37:$E$49,$C52-36)="","",INDEX(Setup!$E$37:$E$49,$C52-36))))</f>
        <v/>
      </c>
      <c r="W52" s="16" t="n">
        <f aca="false">IF($O52="","",IF(OR(Fits!$C$5&lt;&gt;"Yes",$D52="Blank",$L52&lt;=Fits!$B$6),$O52,($L52*$O52-Fits!$B$6*Fits!$B$7)/($L52-Fits!$B$6)))</f>
        <v>1.617</v>
      </c>
      <c r="X52" s="16" t="n">
        <f aca="false">IF($W52="","",$W52-Fits!$B$20*($L52-Fits!$B$16))</f>
        <v>1.617</v>
      </c>
      <c r="Y52" s="22" t="n">
        <f aca="false">IF($W52="","",IF(OR(Fits!$B$38="Row",$BI52=""),$A52,$BI52))</f>
        <v>47</v>
      </c>
      <c r="Z52" s="16" t="n">
        <f aca="false">IF($X52="","",$X52-Fits!$B$39*($Y52-Fits!$B$40))</f>
        <v>1.81221139992668</v>
      </c>
      <c r="AA52" s="23" t="n">
        <f aca="false">IF(OR($Z52="",Fits!$B$55&lt;2),"",Fits!$B$56*$Z52+Fits!$B$57)</f>
        <v>2.88768123668097</v>
      </c>
      <c r="AB52" s="16" t="n">
        <f aca="false">IF($R52="","",IF(OR(Fits!$C$9&lt;&gt;"Yes",$D52="Blank",$P52&lt;=Fits!$B$10),$R52,($P52*$R52-Fits!$B$10*Fits!$B$11)/($P52-Fits!$B$10)))</f>
        <v>-10.686</v>
      </c>
      <c r="AC52" s="16" t="n">
        <f aca="false">IF($AB52="","",$AB52-Fits!$B$28*($P52-Fits!$B$24))</f>
        <v>-10.4999831253229</v>
      </c>
      <c r="AD52" s="22" t="n">
        <f aca="false">IF($AB52="","",IF(OR(Fits!$B$50="Row",$BI52=""),$A52,$BI52))</f>
        <v>47</v>
      </c>
      <c r="AE52" s="16" t="n">
        <f aca="false">IF($AC52="","",$AC52-Fits!$B$51*($AD52-Fits!$B$52))</f>
        <v>-10.5343522602877</v>
      </c>
      <c r="AF52" s="23" t="n">
        <f aca="false">IF(OR($AE52="",Fits!$B$62&lt;2),"",Fits!$B$63*$AE52+Fits!$B$64)</f>
        <v>-27.6756604734608</v>
      </c>
      <c r="AG52" s="21" t="n">
        <f aca="false">IF(OR($L52="",Fits!$B$69&lt;3),"",($L52-Fits!$B$71)/Fits!$B$70)</f>
        <v>0.791486249241326</v>
      </c>
      <c r="AH52" s="21" t="n">
        <f aca="false">IF(OR($P52="",Fits!$B$75&lt;3),"",($P52-Fits!$B$77)/Fits!$B$76)</f>
        <v>42.0502658745479</v>
      </c>
      <c r="AI52" s="23" t="str">
        <f aca="false">IF(OR($AG52="",$G52="",$G52=0),"",$AG52/($G52*1000)*100)</f>
        <v/>
      </c>
      <c r="AJ52" s="23" t="str">
        <f aca="false">IF(OR($AH52="",$G52="",$G52=0),"",$AH52/($G52*1000)*100)</f>
        <v/>
      </c>
      <c r="AK52" s="23" t="n">
        <f aca="false">IF(OR($AG52="",$AH52="",$AG52&lt;=0),"",($AH52/Setup!$B$52)/($AG52/Setup!$B$53))</f>
        <v>61.957135940593</v>
      </c>
      <c r="AL52" s="23" t="n">
        <f aca="false">IF(OR($AG52="",$AH52="",$AG52&lt;=0),"",$AH52/$AG52)</f>
        <v>53.1282330108133</v>
      </c>
      <c r="AM52" s="9" t="str">
        <f aca="false">IF($D52="Linearity",IF($L52="","",$L52),"")</f>
        <v/>
      </c>
      <c r="AN52" s="9" t="str">
        <f aca="false">IF($D52="Linearity",IF($W52="","",$W52),"")</f>
        <v/>
      </c>
      <c r="AO52" s="9" t="str">
        <f aca="false">IF($D52="Linearity",IF($P52="","",$P52),"")</f>
        <v/>
      </c>
      <c r="AP52" s="9" t="str">
        <f aca="false">IF($D52="Linearity",IF($AB52="","",$AB52),"")</f>
        <v/>
      </c>
      <c r="AQ52" s="9" t="str">
        <f aca="false">IF($D52="Drift",IF($A52&lt;IF(Setup!$B$14="",0,Setup!$B$14),"",$A52),"")</f>
        <v/>
      </c>
      <c r="AR52" s="9" t="str">
        <f aca="false">IF($D52="Drift",IF($A52&lt;IF(Setup!$B$14="",0,Setup!$B$14),"",IF($BI52="","",$BI52)),"")</f>
        <v/>
      </c>
      <c r="AS52" s="9" t="str">
        <f aca="false">IF($D52="Drift",IF($A52&lt;IF(Setup!$B$14="",0,Setup!$B$14),"",IF(OR($X52="",$BX52=1),"",$X52)),"")</f>
        <v/>
      </c>
      <c r="AT52" s="9" t="str">
        <f aca="false">IF($D52="Drift",IF($A52&lt;IF(Setup!$B$14="",0,Setup!$B$14),"",IF(OR($AC52="",$BY52=1),"",$AC52)),"")</f>
        <v/>
      </c>
      <c r="AU52" s="9" t="str">
        <f aca="false">IF($D52="Anchor",IF(OR($Z52="",$S52=""),"",$Z52),"")</f>
        <v/>
      </c>
      <c r="AV52" s="9" t="str">
        <f aca="false">IF($D52="Anchor",IF(OR($Z52="",$S52=""),"",$S52),"")</f>
        <v/>
      </c>
      <c r="AW52" s="9" t="str">
        <f aca="false">IF($D52="Anchor",IF(OR($AE52="",$T52=""),"",$AE52),"")</f>
        <v/>
      </c>
      <c r="AX52" s="9" t="str">
        <f aca="false">IF($D52="Anchor",IF(OR($AE52="",$T52=""),"",$T52),"")</f>
        <v/>
      </c>
      <c r="AY52" s="9" t="str">
        <f aca="false">IF(OR($D52="Blank",$D52="Exclude",$D52="Sample",$D52="",$G52="",$U52="",$L52=""),"",$G52*1000*$U52/100)</f>
        <v/>
      </c>
      <c r="AZ52" s="9" t="str">
        <f aca="false">IF($AY52="","",$L52)</f>
        <v/>
      </c>
      <c r="BA52" s="9" t="str">
        <f aca="false">IF(OR($D52="Blank",$D52="Exclude",$D52="Sample",$D52="",$G52="",$V52="",$P52=""),"",$G52*1000*$V52/100)</f>
        <v/>
      </c>
      <c r="BB52" s="9" t="str">
        <f aca="false">IF($BA52="","",$P52)</f>
        <v/>
      </c>
      <c r="BC52" s="9" t="str">
        <f aca="false">IF(AND($D52="Blank",$L52&lt;&gt;""),$O52,"")</f>
        <v/>
      </c>
      <c r="BD52" s="9" t="str">
        <f aca="false">IF($BC52="","",$L52)</f>
        <v/>
      </c>
      <c r="BE52" s="9" t="str">
        <f aca="false">IF(AND($D52="Blank",$P52&lt;&gt;""),$R52,"")</f>
        <v/>
      </c>
      <c r="BF52" s="9" t="str">
        <f aca="false">IF($BE52="","",$P52)</f>
        <v/>
      </c>
      <c r="BG52" s="9" t="str">
        <f aca="false">IF(AND($D52="Drift",$BX52&lt;&gt;1),IF($AA52="","",$AA52),"")</f>
        <v/>
      </c>
      <c r="BH52" s="9" t="str">
        <f aca="false">IF(AND($D52="Drift",$BY52&lt;&gt;1),IF($AF52="","",$AF52),"")</f>
        <v/>
      </c>
      <c r="BI52" s="20" t="n">
        <f aca="false">IF($B52="","",IFERROR(INDEX(Raw!$G$2:$G$1001,MATCH($A52&amp;"|N|"&amp;SUMPRODUCT(MAX((Raw!$A$2:$A$1001=$A52)*(Raw!$R$2:$R$1001="N")*(Raw!$I$2:$I$1001=1)*Raw!$D$2:$D$1001)),Raw!$S$2:$S$1001,0)),""))</f>
        <v>23.3</v>
      </c>
      <c r="BJ52" s="21" t="n">
        <f aca="false">IF(OR($BI52="",Fits!$B$85&lt;=0),"",($BI52-Fits!$B$83)/Fits!$B$85)</f>
        <v>0.018018018018018</v>
      </c>
      <c r="BK52" s="9" t="str">
        <f aca="false">IF($AS52="","",IF($A52&gt;=Fits!$B$86,"",$A52))</f>
        <v/>
      </c>
      <c r="BL52" s="9" t="str">
        <f aca="false">IF($BK52="","",$X52)</f>
        <v/>
      </c>
      <c r="BM52" s="9" t="str">
        <f aca="false">IF($AS52="","",IF($A52&lt;Fits!$B$86,"",$A52))</f>
        <v/>
      </c>
      <c r="BN52" s="9" t="str">
        <f aca="false">IF($BM52="","",$X52)</f>
        <v/>
      </c>
      <c r="BO52" s="9" t="str">
        <f aca="false">IF(AND($D52="Drift",$BX52&lt;&gt;1),IF($O52="","",$O52),"")</f>
        <v/>
      </c>
      <c r="BP52" s="9" t="str">
        <f aca="false">IF(AND($D52="Drift",$BX52&lt;&gt;1),IF($W52="","",$W52),"")</f>
        <v/>
      </c>
      <c r="BQ52" s="9" t="str">
        <f aca="false">IF(AND($D52="Drift",$BX52&lt;&gt;1),IF($X52="","",$X52),"")</f>
        <v/>
      </c>
      <c r="BR52" s="9" t="str">
        <f aca="false">IF(AND($D52="Drift",$BX52&lt;&gt;1),IF($Z52="","",$Z52),"")</f>
        <v/>
      </c>
      <c r="BS52" s="9" t="n">
        <f aca="false">IF(OR($B52="",$H52=""),"",SUMPRODUCT(MIN((Raw!$A$2:$A$1001=$A52)*(Raw!$R$2:$R$1001="N")*(Raw!$I$2:$I$1001=0)*(Raw!$D$2:$D$1001&lt;$H52)*Raw!$D$2:$D$1001+(1-(Raw!$A$2:$A$1001=$A52)*(Raw!$R$2:$R$1001="N")*(Raw!$I$2:$I$1001=0)*(Raw!$D$2:$D$1001&lt;$H52))*9999)))</f>
        <v>1</v>
      </c>
      <c r="BT52" s="16" t="n">
        <f aca="false">IF(OR($BS52="",$BS52=9999,$BS52=0),"",IFERROR(INDEX(Raw!$N$2:$N$1001,MATCH($A52&amp;"|N|"&amp;$BS52,Raw!$S$2:$S$1001,0)),""))</f>
        <v>-1.175</v>
      </c>
      <c r="BU52" s="9" t="n">
        <f aca="false">IF($B52="","",SUMPRODUCT(MIN((Raw!$A$2:$A$1001=$A52)*(Raw!$R$2:$R$1001="C")*(Raw!$I$2:$I$1001=1)*Raw!$D$2:$D$1001+(1-(Raw!$A$2:$A$1001=$A52)*(Raw!$R$2:$R$1001="C")*(Raw!$I$2:$I$1001=1))*9999)))</f>
        <v>5</v>
      </c>
      <c r="BV52" s="9" t="n">
        <f aca="false">IF(OR($BU52="",$BU52=9999),"",SUMPRODUCT(MIN((Raw!$A$2:$A$1001=$A52)*(Raw!$R$2:$R$1001="C")*(Raw!$I$2:$I$1001=0)*(Raw!$D$2:$D$1001&gt;$BU52)*Raw!$D$2:$D$1001+(1-(Raw!$A$2:$A$1001=$A52)*(Raw!$R$2:$R$1001="C")*(Raw!$I$2:$I$1001=0)*(Raw!$D$2:$D$1001&gt;$BU52))*9999)))</f>
        <v>6</v>
      </c>
      <c r="BW52" s="16" t="n">
        <f aca="false">IF(OR($BV52="",$BV52=9999,$BV52=0),"",IFERROR(INDEX(Raw!$O$2:$O$1001,MATCH($A52&amp;"|C|"&amp;$BV52,Raw!$S$2:$S$1001,0)),""))</f>
        <v>-25.449</v>
      </c>
      <c r="BX52" s="9" t="n">
        <f aca="false">IF($B52="","",IF(ISNUMBER(SEARCH(","&amp;$A52&amp;",",","&amp;SUBSTITUTE(Setup!$B$16," ","")&amp;",")),1,0))</f>
        <v>0</v>
      </c>
      <c r="BY52" s="9" t="n">
        <f aca="false">IF($B52="","",IF(ISNUMBER(SEARCH(","&amp;$A52&amp;",",","&amp;SUBSTITUTE(Setup!$B$17," ","")&amp;",")),1,0))</f>
        <v>0</v>
      </c>
      <c r="BZ52" s="22" t="str">
        <f aca="false">IF($AS52="","",IF(Fits!$B$38="Row",$AQ52,IF($AR52="","",$AR52)))</f>
        <v/>
      </c>
      <c r="CA52" s="22" t="str">
        <f aca="false">IF($AT52="","",IF(Fits!$B$50="Row",$AQ52,IF($AR52="","",$AR52)))</f>
        <v/>
      </c>
      <c r="CB52" s="20" t="str">
        <f aca="false">IF(OR($D52&lt;&gt;"Drift",$X52="",$A52&lt;IF(Setup!$B$14="",0,Setup!$B$14),Fits!$B$107&lt;3,Fits!$B$110="",Fits!$B$109=0,IF(Fits!$B$38="Row",$AQ52,$AR52)=""),"",IF($BX52=1,IF(OR(Fits!$B$111="",Fits!$B$111=0),"",($X52-(IF(Fits!$B$38="Row",Fits!$B$32,Fits!$B$35)*IF(Fits!$B$38="Row",$AQ52,$AR52)+Fits!$B$110))/(Fits!$B$111*SQRT(1+(1/Fits!$B$107+(IF(Fits!$B$38="Row",$AQ52,$AR52)-Fits!$B$108)^2/Fits!$B$109)))),IF(OR(Fits!$B$107&lt;4,(1/Fits!$B$107+(IF(Fits!$B$38="Row",$AQ52,$AR52)-Fits!$B$108)^2/Fits!$B$109)&gt;=1),"",IF((Fits!$B$116-($X52-(IF(Fits!$B$38="Row",Fits!$B$32,Fits!$B$35)*IF(Fits!$B$38="Row",$AQ52,$AR52)+Fits!$B$110))^2/(1-(1/Fits!$B$107+(IF(Fits!$B$38="Row",$AQ52,$AR52)-Fits!$B$108)^2/Fits!$B$109)))&lt;=0,"",($X52-(IF(Fits!$B$38="Row",Fits!$B$32,Fits!$B$35)*IF(Fits!$B$38="Row",$AQ52,$AR52)+Fits!$B$110))/(SQRT((Fits!$B$116-($X52-(IF(Fits!$B$38="Row",Fits!$B$32,Fits!$B$35)*IF(Fits!$B$38="Row",$AQ52,$AR52)+Fits!$B$110))^2/(1-(1/Fits!$B$107+(IF(Fits!$B$38="Row",$AQ52,$AR52)-Fits!$B$108)^2/Fits!$B$109)))/(Fits!$B$107-3))*SQRT(1-(1/Fits!$B$107+(IF(Fits!$B$38="Row",$AQ52,$AR52)-Fits!$B$108)^2/Fits!$B$109)))))))</f>
        <v/>
      </c>
      <c r="CC52" s="20" t="str">
        <f aca="false">IF(OR($D52&lt;&gt;"Drift",$AC52="",$A52&lt;IF(Setup!$B$14="",0,Setup!$B$14),Fits!$B$120&lt;3,Fits!$B$123="",Fits!$B$122=0,IF(Fits!$B$50="Row",$AQ52,$AR52)=""),"",IF($BY52=1,IF(OR(Fits!$B$124="",Fits!$B$124=0),"",($AC52-(IF(Fits!$B$50="Row",Fits!$B$44,Fits!$B$47)*IF(Fits!$B$50="Row",$AQ52,$AR52)+Fits!$B$123))/(Fits!$B$124*SQRT(1+(1/Fits!$B$120+(IF(Fits!$B$50="Row",$AQ52,$AR52)-Fits!$B$121)^2/Fits!$B$122)))),IF(OR(Fits!$B$120&lt;4,(1/Fits!$B$120+(IF(Fits!$B$50="Row",$AQ52,$AR52)-Fits!$B$121)^2/Fits!$B$122)&gt;=1),"",IF((Fits!$B$129-($AC52-(IF(Fits!$B$50="Row",Fits!$B$44,Fits!$B$47)*IF(Fits!$B$50="Row",$AQ52,$AR52)+Fits!$B$123))^2/(1-(1/Fits!$B$120+(IF(Fits!$B$50="Row",$AQ52,$AR52)-Fits!$B$121)^2/Fits!$B$122)))&lt;=0,"",($AC52-(IF(Fits!$B$50="Row",Fits!$B$44,Fits!$B$47)*IF(Fits!$B$50="Row",$AQ52,$AR52)+Fits!$B$123))/(SQRT((Fits!$B$129-($AC52-(IF(Fits!$B$50="Row",Fits!$B$44,Fits!$B$47)*IF(Fits!$B$50="Row",$AQ52,$AR52)+Fits!$B$123))^2/(1-(1/Fits!$B$120+(IF(Fits!$B$50="Row",$AQ52,$AR52)-Fits!$B$121)^2/Fits!$B$122)))/(Fits!$B$120-3))*SQRT(1-(1/Fits!$B$120+(IF(Fits!$B$50="Row",$AQ52,$AR52)-Fits!$B$121)^2/Fits!$B$122)))))))</f>
        <v/>
      </c>
      <c r="CD52" s="9" t="str">
        <f aca="false">IF($AU52="","",1)</f>
        <v/>
      </c>
      <c r="CE52" s="24" t="str">
        <f aca="false">IF($AU52="","",$AU52-Fits!$B$133)</f>
        <v/>
      </c>
      <c r="CF52" s="24" t="str">
        <f aca="false">IF($AU52="","",($AV52-(Fits!$B$56*$AU52+Fits!$B$57))-Fits!$B$56*($AU52-Fits!$B$133))</f>
        <v/>
      </c>
      <c r="CG52" s="25" t="str">
        <f aca="false">IF($AU52="","",$AU52^2)</f>
        <v/>
      </c>
      <c r="CH52" s="9" t="str">
        <f aca="false">IF($AW52="","",1)</f>
        <v/>
      </c>
      <c r="CI52" s="24" t="str">
        <f aca="false">IF($AW52="","",$AW52-Fits!$B$153)</f>
        <v/>
      </c>
      <c r="CJ52" s="24" t="str">
        <f aca="false">IF($AW52="","",($AX52-(Fits!$B$63*$AW52+Fits!$B$64))-Fits!$B$63*($AW52-Fits!$B$153))</f>
        <v/>
      </c>
      <c r="CK52" s="25" t="str">
        <f aca="false">IF($AW52="","",$AW52^2)</f>
        <v/>
      </c>
      <c r="CL52" s="26" t="n">
        <f aca="false">IF(OR($Z52="",Fits!$B$55&lt;3,Fits!$B$133="",Fits!$B$134="",Fits!$B$134=0,Fits!$B$136=""),"",SQRT((Fits!$B$136*Fits!$B$56)^2+SUMPRODUCT((Fits!$J$163:$J$175*(Fits!$B$163:$B$175/Fits!$B$55+Fits!$H$163:$H$175*($Z52-Fits!$B$133)/Fits!$B$134))^2)+SUMPRODUCT((Fits!$G$163:$G$175*(($Z52-Fits!$B$133)*Fits!$I$163:$I$175/Fits!$B$134-Fits!$B$163:$B$175*Fits!$B$56/Fits!$B$55))^2)))</f>
        <v>0.214949867100112</v>
      </c>
      <c r="CM52" s="26" t="n">
        <f aca="false">IF($CL52="","",Setup!$B$32*$CL52)</f>
        <v>0.429899734200223</v>
      </c>
      <c r="CN52" s="26" t="n">
        <f aca="false">IF(OR($AE52="",Fits!$B$62&lt;3,Fits!$B$153="",Fits!$B$154="",Fits!$B$154=0,Fits!$B$156=""),"",SQRT((Fits!$B$156*Fits!$B$63)^2+SUMPRODUCT((Fits!$J$183:$J$195*(Fits!$B$183:$B$195/Fits!$B$62+Fits!$H$183:$H$195*($AE52-Fits!$B$153)/Fits!$B$154))^2)+SUMPRODUCT((Fits!$G$183:$G$195*(($AE52-Fits!$B$153)*Fits!$I$183:$I$195/Fits!$B$154-Fits!$B$183:$B$195*Fits!$B$63/Fits!$B$62))^2)))</f>
        <v>0.0370822302369861</v>
      </c>
      <c r="CO52" s="26" t="n">
        <f aca="false">IF($CN52="","",Setup!$B$32*$CN52)</f>
        <v>0.0741644604739722</v>
      </c>
      <c r="CP52" s="9" t="n">
        <f aca="false">IF(OR(NOT(ISNUMBER($BJ52)),$EK52=1),$CP51,IF($BJ52&lt;=Setup!$B$26,$CP51+1,0))</f>
        <v>17</v>
      </c>
      <c r="CQ52" s="9" t="n">
        <f aca="false">IF($BT52="","",$A52)</f>
        <v>47</v>
      </c>
      <c r="CR52" s="9" t="n">
        <f aca="false">IF($BW52="","",$A52)</f>
        <v>47</v>
      </c>
      <c r="CS52" s="9" t="n">
        <f aca="false">IF($B52="","",IF(Setup!$A$37="",0,IF(ISNUMBER(SEARCH(Setup!$A$37,$B52)),37,0)))</f>
        <v>0</v>
      </c>
      <c r="CT52" s="9" t="n">
        <f aca="false">IF($B52="","",IF(Setup!$A$38="",0,IF(ISNUMBER(SEARCH(Setup!$A$38,$B52)),38,0)))</f>
        <v>0</v>
      </c>
      <c r="CU52" s="9" t="n">
        <f aca="false">IF($B52="","",IF(Setup!$A$39="",0,IF(ISNUMBER(SEARCH(Setup!$A$39,$B52)),39,0)))</f>
        <v>0</v>
      </c>
      <c r="CV52" s="9" t="n">
        <f aca="false">IF($B52="","",IF(Setup!$A$40="",0,IF(ISNUMBER(SEARCH(Setup!$A$40,$B52)),40,0)))</f>
        <v>0</v>
      </c>
      <c r="CW52" s="9" t="n">
        <f aca="false">IF($B52="","",IF(Setup!$A$41="",0,IF(ISNUMBER(SEARCH(Setup!$A$41,$B52)),41,0)))</f>
        <v>0</v>
      </c>
      <c r="CX52" s="9" t="n">
        <f aca="false">IF($B52="","",IF(Setup!$A$42="",0,IF(ISNUMBER(SEARCH(Setup!$A$42,$B52)),42,0)))</f>
        <v>0</v>
      </c>
      <c r="CY52" s="9" t="n">
        <f aca="false">IF($B52="","",IF(Setup!$A$43="",0,IF(ISNUMBER(SEARCH(Setup!$A$43,$B52)),43,0)))</f>
        <v>0</v>
      </c>
      <c r="CZ52" s="9" t="n">
        <f aca="false">IF($B52="","",IF(Setup!$A$44="",0,IF(ISNUMBER(SEARCH(Setup!$A$44,$B52)),44,0)))</f>
        <v>0</v>
      </c>
      <c r="DA52" s="9" t="n">
        <f aca="false">IF($B52="","",IF(Setup!$A$45="",0,IF(ISNUMBER(SEARCH(Setup!$A$45,$B52)),45,0)))</f>
        <v>0</v>
      </c>
      <c r="DB52" s="9" t="n">
        <f aca="false">IF($B52="","",IF(Setup!$A$46="",0,IF(ISNUMBER(SEARCH(Setup!$A$46,$B52)),46,0)))</f>
        <v>0</v>
      </c>
      <c r="DC52" s="9" t="n">
        <f aca="false">IF($B52="","",IF(Setup!$A$47="",0,IF(ISNUMBER(SEARCH(Setup!$A$47,$B52)),47,0)))</f>
        <v>0</v>
      </c>
      <c r="DD52" s="9" t="n">
        <f aca="false">IF($B52="","",IF(Setup!$A$48="",0,IF(ISNUMBER(SEARCH(Setup!$A$48,$B52)),48,0)))</f>
        <v>0</v>
      </c>
      <c r="DE52" s="9" t="n">
        <f aca="false">IF($B52="","",IF(Setup!$A$49="",0,IF(ISNUMBER(SEARCH(Setup!$A$49,$B52)),49,0)))</f>
        <v>0</v>
      </c>
      <c r="DF52" s="9" t="n">
        <f aca="false">IF($B52="",NA(),$A52)</f>
        <v>47</v>
      </c>
      <c r="DG52" s="22" t="n">
        <f aca="false">IF($BI52="",NA(),$BI52)</f>
        <v>23.3</v>
      </c>
      <c r="DH52" s="22" t="n">
        <f aca="false">IF($N52="",NA(),$N52)</f>
        <v>24.1</v>
      </c>
      <c r="DI52" s="9" t="e">
        <f aca="false">IF(AND($D52="Drift",$N52&lt;&gt;""),$N52,NA())</f>
        <v>#N/A</v>
      </c>
      <c r="DJ52" s="9" t="str">
        <f aca="false">IF(AND($D52="Drift",$N52&lt;&gt;""),$N52,"")</f>
        <v/>
      </c>
      <c r="DK52" s="9" t="str">
        <f aca="false">IF($DJ52="","",$A52)</f>
        <v/>
      </c>
      <c r="DL52" s="9" t="e">
        <f aca="false">IF($AN52="",NA(),$AM52)</f>
        <v>#N/A</v>
      </c>
      <c r="DM52" s="9" t="e">
        <f aca="false">IF($AN52="",NA(),$AN52)</f>
        <v>#N/A</v>
      </c>
      <c r="DN52" s="24" t="n">
        <f aca="false">IF(AND($D52="Sample",$L52&lt;&gt;""),$L52,NA())</f>
        <v>2.464</v>
      </c>
      <c r="DO52" s="24" t="n">
        <f aca="false">IF(AND($D52="Sample",$L52&lt;&gt;"",Fits!$B$98&lt;&gt;""),Fits!$B$98,NA())</f>
        <v>-6.0577</v>
      </c>
      <c r="DP52" s="9" t="e">
        <f aca="false">IF($AS52="",NA(),$AS52)</f>
        <v>#N/A</v>
      </c>
      <c r="DQ52" s="9" t="e">
        <f aca="false">IF(AND($D52="Drift",$AS52="",$X52&lt;&gt;""),$X52,NA())</f>
        <v>#N/A</v>
      </c>
      <c r="DR52" s="9" t="e">
        <f aca="false">IF(AND($D52="Drift",$Z52&lt;&gt;""),$Z52,NA())</f>
        <v>#N/A</v>
      </c>
      <c r="DS52" s="25" t="n">
        <f aca="false">IF(AND(OR($D52="Sample",$D52="Check"),$AA52&lt;&gt;""),$AA52,NA())</f>
        <v>2.88768123668097</v>
      </c>
      <c r="DT52" s="25" t="n">
        <f aca="false">IF(OR($B52="",Fits!$B$138=""),NA(),Fits!$B$138)</f>
        <v>1.76</v>
      </c>
      <c r="DU52" s="25" t="n">
        <f aca="false">IF(OR($B52="",Fits!$B$139=""),NA(),Fits!$B$139)</f>
        <v>20.68</v>
      </c>
      <c r="DV52" s="24" t="n">
        <f aca="false">IF($BT52="",NA(),$BT52)</f>
        <v>-1.175</v>
      </c>
      <c r="DW52" s="9" t="e">
        <f aca="false">IF($AP52="",NA(),$AO52)</f>
        <v>#N/A</v>
      </c>
      <c r="DX52" s="9" t="e">
        <f aca="false">IF($AP52="",NA(),$AP52)</f>
        <v>#N/A</v>
      </c>
      <c r="DY52" s="24" t="n">
        <f aca="false">IF(AND($D52="Sample",$P52&lt;&gt;""),$P52,NA())</f>
        <v>20.21</v>
      </c>
      <c r="DZ52" s="24" t="n">
        <f aca="false">IF(AND($D52="Sample",$P52&lt;&gt;"",Fits!$B$105&lt;&gt;""),Fits!$B$105,NA())</f>
        <v>-9.717</v>
      </c>
      <c r="EA52" s="9" t="e">
        <f aca="false">IF($AT52="",NA(),$AT52)</f>
        <v>#N/A</v>
      </c>
      <c r="EB52" s="9" t="e">
        <f aca="false">IF(AND($D52="Drift",$AT52="",$AC52&lt;&gt;""),$AC52,NA())</f>
        <v>#N/A</v>
      </c>
      <c r="EC52" s="9" t="e">
        <f aca="false">IF(AND($D52="Drift",$AE52&lt;&gt;""),$AE52,NA())</f>
        <v>#N/A</v>
      </c>
      <c r="ED52" s="25" t="n">
        <f aca="false">IF(AND(OR($D52="Sample",$D52="Check"),$AF52&lt;&gt;""),$AF52,NA())</f>
        <v>-27.6756604734608</v>
      </c>
      <c r="EE52" s="25" t="n">
        <f aca="false">IF(OR($B52="",Fits!$B$158=""),NA(),Fits!$B$158)</f>
        <v>-40.81</v>
      </c>
      <c r="EF52" s="25" t="n">
        <f aca="false">IF(OR($B52="",Fits!$B$159=""),NA(),Fits!$B$159)</f>
        <v>-20.29</v>
      </c>
      <c r="EG52" s="24" t="n">
        <f aca="false">IF($BW52="",NA(),$BW52)</f>
        <v>-25.449</v>
      </c>
      <c r="EH52" s="9" t="e">
        <f aca="false">IF(AND($EN52=1,ISNUMBER($N52)),$N52,NA())</f>
        <v>#N/A</v>
      </c>
      <c r="EI52" s="9" t="n">
        <f aca="false">IF($B52="","",$A52)</f>
        <v>47</v>
      </c>
      <c r="EJ52" s="9" t="n">
        <f aca="false">IF(OR(AND(ISNUMBER($L52),Fits!$B$97&gt;0,$L52&gt;Fits!$B$97),AND(ISNUMBER($P52),Fits!$B$104&gt;0,$P52&gt;Fits!$B$104)),1,0)</f>
        <v>0</v>
      </c>
      <c r="EK52" s="9" t="n">
        <f aca="false">IF(OR($EJ51=1,$EJ50=1),1,0)</f>
        <v>0</v>
      </c>
      <c r="EL52" s="22" t="n">
        <f aca="false">IF(AND($EK52=0,ISNUMBER($N52)),$N52,$EL51)</f>
        <v>24.1</v>
      </c>
      <c r="EM52" s="9" t="str">
        <f aca="false">IF(AND($EK52=1,ISNUMBER($N52),ISNUMBER($EL52)),$N52-$EL52,"")</f>
        <v/>
      </c>
      <c r="EN52" s="9" t="n">
        <f aca="false">IF(Setup!$B$28="",0,IF(ISNUMBER($EM52),IF($EM52&gt;Setup!$B$28,1,0),0))</f>
        <v>0</v>
      </c>
      <c r="EO52" s="9" t="str">
        <f aca="false">IF($EN52=1,COUNTIF($EN$6:$EN52,1),"")</f>
        <v/>
      </c>
      <c r="EP52" s="9" t="n">
        <f aca="false">IF(AND($EJ51=1,OR($D52="Sample",$D52="Check")),1,0)</f>
        <v>0</v>
      </c>
      <c r="EQ52" s="9" t="str">
        <f aca="false">IF(ISNUMBER($BI52),IF(COUNT($BI$6:$BI52)&lt;=5,$BI52,""),"")</f>
        <v/>
      </c>
      <c r="ER52" s="9" t="n">
        <f aca="false">IF(OR(NOT(ISNUMBER($BJ52)),$EK52=1),$ER51,IF($BJ52&lt;=Setup!$B$26,IF($CP51=0,$A52,$ER51),""))</f>
        <v>27</v>
      </c>
    </row>
    <row r="53" customFormat="false" ht="15" hidden="false" customHeight="false" outlineLevel="0" collapsed="false">
      <c r="A53" s="8" t="n">
        <v>48</v>
      </c>
      <c r="B53" s="8" t="str">
        <f aca="false">IFERROR(INDEX(Raw!$B$2:$B$1001,MATCH($A53,Raw!$A$2:$A$1001,0)),"")</f>
        <v>Random</v>
      </c>
      <c r="C53" s="9" t="n">
        <f aca="false">IF($B53="","",MAX($CS53:$DE53))</f>
        <v>0</v>
      </c>
      <c r="D53" s="8" t="str">
        <f aca="false">IF($B53="","",IF($C53=0,"Sample",INDEX(Setup!$B$37:$B$49,$C53-36)))</f>
        <v>Sample</v>
      </c>
      <c r="E53" s="16" t="str">
        <f aca="false">IF($B53="","",IFERROR(IF(INDEX(Raw!$E$2:$E$1001,MATCH($A53,Raw!$A$2:$A$1001,0))=0,"",INDEX(Raw!$E$2:$E$1001,MATCH($A53,Raw!$A$2:$A$1001,0))),""))</f>
        <v/>
      </c>
      <c r="F53" s="18"/>
      <c r="G53" s="16" t="str">
        <f aca="false">IF($B53="","",IF($F53&lt;&gt;"",$F53,IF($E53="","",$E53)))</f>
        <v/>
      </c>
      <c r="H53" s="9" t="n">
        <f aca="false">IF($B53="","",SUMPRODUCT(MAX((Raw!$A$2:$A$1001=$A53)*(Raw!$R$2:$R$1001="N")*Raw!$D$2:$D$1001)))</f>
        <v>3</v>
      </c>
      <c r="I53" s="9" t="str">
        <f aca="false">IF(OR($H53="",$H53=0),"",$A53&amp;"|N|"&amp;$H53)</f>
        <v>48|N|3</v>
      </c>
      <c r="J53" s="9" t="n">
        <f aca="false">IF($B53="","",SUMPRODUCT(MIN((Raw!$A$2:$A$1001=$A53)*(Raw!$R$2:$R$1001="C")*Raw!$D$2:$D$1001+(1-(Raw!$A$2:$A$1001=$A53)*(Raw!$R$2:$R$1001="C"))*9999)))</f>
        <v>4</v>
      </c>
      <c r="K53" s="9" t="str">
        <f aca="false">IF(OR($J53="",$J53=0,$J53=9999),"",$A53&amp;"|C|"&amp;$J53)</f>
        <v>48|C|4</v>
      </c>
      <c r="L53" s="16" t="n">
        <f aca="false">IF($I53="","",IF(INDEX(Raw!$I$2:$I$1001,MATCH($I53,Raw!$S$2:$S$1001,0))&lt;&gt;0,"",INDEX(Raw!$H$2:$H$1001,MATCH($I53,Raw!$S$2:$S$1001,0))))</f>
        <v>27.231</v>
      </c>
      <c r="M53" s="19" t="n">
        <f aca="false">IF($I53="","",IF(INDEX(Raw!$I$2:$I$1001,MATCH($I53,Raw!$S$2:$S$1001,0))&lt;&gt;0,"",INDEX(Raw!$F$2:$F$1001,MATCH($I53,Raw!$S$2:$S$1001,0))))</f>
        <v>1538</v>
      </c>
      <c r="N53" s="20" t="n">
        <f aca="false">IF($I53="","",IF(INDEX(Raw!$I$2:$I$1001,MATCH($I53,Raw!$S$2:$S$1001,0))&lt;&gt;0,"",INDEX(Raw!$G$2:$G$1001,MATCH($I53,Raw!$S$2:$S$1001,0))))</f>
        <v>23.9</v>
      </c>
      <c r="O53" s="16" t="n">
        <f aca="false">IF($I53="","",IF(INDEX(Raw!$I$2:$I$1001,MATCH($I53,Raw!$S$2:$S$1001,0))&lt;&gt;0,"",INDEX(Raw!$N$2:$N$1001,MATCH($I53,Raw!$S$2:$S$1001,0))))</f>
        <v>-6.25</v>
      </c>
      <c r="P53" s="16" t="n">
        <f aca="false">IF($K53="","",IF(INDEX(Raw!$I$2:$I$1001,MATCH($K53,Raw!$S$2:$S$1001,0))&lt;&gt;0,"",INDEX(Raw!$K$2:$K$1001,MATCH($K53,Raw!$S$2:$S$1001,0))))</f>
        <v>127.336</v>
      </c>
      <c r="Q53" s="19" t="n">
        <f aca="false">IF($K53="","",IF(INDEX(Raw!$I$2:$I$1001,MATCH($K53,Raw!$S$2:$S$1001,0))&lt;&gt;0,"",INDEX(Raw!$J$2:$J$1001,MATCH($K53,Raw!$S$2:$S$1001,0))))</f>
        <v>5640</v>
      </c>
      <c r="R53" s="16" t="n">
        <f aca="false">IF($K53="","",IF(INDEX(Raw!$I$2:$I$1001,MATCH($K53,Raw!$S$2:$S$1001,0))&lt;&gt;0,"",INDEX(Raw!$O$2:$O$1001,MATCH($K53,Raw!$S$2:$S$1001,0))))</f>
        <v>-9.587</v>
      </c>
      <c r="S53" s="21" t="str">
        <f aca="false">IF($B53="","",IF($C53=0,"",IF(INDEX(Setup!$D$37:$D$49,$C53-36)="","",INDEX(Setup!$D$37:$D$49,$C53-36))))</f>
        <v/>
      </c>
      <c r="T53" s="21" t="str">
        <f aca="false">IF($B53="","",IF($C53=0,"",IF(INDEX(Setup!$C$37:$C$49,$C53-36)="","",INDEX(Setup!$C$37:$C$49,$C53-36))))</f>
        <v/>
      </c>
      <c r="U53" s="21" t="str">
        <f aca="false">IF($B53="","",IF($C53=0,"",IF(INDEX(Setup!$F$37:$F$49,$C53-36)="","",INDEX(Setup!$F$37:$F$49,$C53-36))))</f>
        <v/>
      </c>
      <c r="V53" s="21" t="str">
        <f aca="false">IF($B53="","",IF($C53=0,"",IF(INDEX(Setup!$E$37:$E$49,$C53-36)="","",INDEX(Setup!$E$37:$E$49,$C53-36))))</f>
        <v/>
      </c>
      <c r="W53" s="16" t="n">
        <f aca="false">IF($O53="","",IF(OR(Fits!$C$5&lt;&gt;"Yes",$D53="Blank",$L53&lt;=Fits!$B$6),$O53,($L53*$O53-Fits!$B$6*Fits!$B$7)/($L53-Fits!$B$6)))</f>
        <v>-6.25</v>
      </c>
      <c r="X53" s="16" t="n">
        <f aca="false">IF($W53="","",$W53-Fits!$B$20*($L53-Fits!$B$16))</f>
        <v>-6.25</v>
      </c>
      <c r="Y53" s="22" t="n">
        <f aca="false">IF($W53="","",IF(OR(Fits!$B$38="Row",$BI53=""),$A53,$BI53))</f>
        <v>48</v>
      </c>
      <c r="Z53" s="16" t="n">
        <f aca="false">IF($X53="","",$X53-Fits!$B$39*($Y53-Fits!$B$40))</f>
        <v>-6.04003425007886</v>
      </c>
      <c r="AA53" s="23" t="n">
        <f aca="false">IF(OR($Z53="",Fits!$B$55&lt;2),"",Fits!$B$56*$Z53+Fits!$B$57)</f>
        <v>-5.17341642545028</v>
      </c>
      <c r="AB53" s="16" t="n">
        <f aca="false">IF($R53="","",IF(OR(Fits!$C$9&lt;&gt;"Yes",$D53="Blank",$P53&lt;=Fits!$B$10),$R53,($P53*$R53-Fits!$B$10*Fits!$B$11)/($P53-Fits!$B$10)))</f>
        <v>-9.587</v>
      </c>
      <c r="AC53" s="16" t="n">
        <f aca="false">IF($AB53="","",$AB53-Fits!$B$28*($P53-Fits!$B$24))</f>
        <v>-9.58660579916827</v>
      </c>
      <c r="AD53" s="22" t="n">
        <f aca="false">IF($AB53="","",IF(OR(Fits!$B$50="Row",$BI53=""),$A53,$BI53))</f>
        <v>48</v>
      </c>
      <c r="AE53" s="16" t="n">
        <f aca="false">IF($AC53="","",$AC53-Fits!$B$51*($AD53-Fits!$B$52))</f>
        <v>-9.62357260131059</v>
      </c>
      <c r="AF53" s="23" t="n">
        <f aca="false">IF(OR($AE53="",Fits!$B$62&lt;2),"",Fits!$B$63*$AE53+Fits!$B$64)</f>
        <v>-26.7519927443081</v>
      </c>
      <c r="AG53" s="21" t="n">
        <f aca="false">IF(OR($L53="",Fits!$B$69&lt;3),"",($L53-Fits!$B$71)/Fits!$B$70)</f>
        <v>41.7043010654319</v>
      </c>
      <c r="AH53" s="21" t="n">
        <f aca="false">IF(OR($P53="",Fits!$B$75&lt;3),"",($P53-Fits!$B$77)/Fits!$B$76)</f>
        <v>286.046199802438</v>
      </c>
      <c r="AI53" s="23" t="str">
        <f aca="false">IF(OR($AG53="",$G53="",$G53=0),"",$AG53/($G53*1000)*100)</f>
        <v/>
      </c>
      <c r="AJ53" s="23" t="str">
        <f aca="false">IF(OR($AH53="",$G53="",$G53=0),"",$AH53/($G53*1000)*100)</f>
        <v/>
      </c>
      <c r="AK53" s="23" t="n">
        <f aca="false">IF(OR($AG53="",$AH53="",$AG53&lt;=0),"",($AH53/Setup!$B$52)/($AG53/Setup!$B$53))</f>
        <v>7.99873478332061</v>
      </c>
      <c r="AL53" s="23" t="n">
        <f aca="false">IF(OR($AG53="",$AH53="",$AG53&lt;=0),"",$AH53/$AG53)</f>
        <v>6.85891364906574</v>
      </c>
      <c r="AM53" s="9" t="str">
        <f aca="false">IF($D53="Linearity",IF($L53="","",$L53),"")</f>
        <v/>
      </c>
      <c r="AN53" s="9" t="str">
        <f aca="false">IF($D53="Linearity",IF($W53="","",$W53),"")</f>
        <v/>
      </c>
      <c r="AO53" s="9" t="str">
        <f aca="false">IF($D53="Linearity",IF($P53="","",$P53),"")</f>
        <v/>
      </c>
      <c r="AP53" s="9" t="str">
        <f aca="false">IF($D53="Linearity",IF($AB53="","",$AB53),"")</f>
        <v/>
      </c>
      <c r="AQ53" s="9" t="str">
        <f aca="false">IF($D53="Drift",IF($A53&lt;IF(Setup!$B$14="",0,Setup!$B$14),"",$A53),"")</f>
        <v/>
      </c>
      <c r="AR53" s="9" t="str">
        <f aca="false">IF($D53="Drift",IF($A53&lt;IF(Setup!$B$14="",0,Setup!$B$14),"",IF($BI53="","",$BI53)),"")</f>
        <v/>
      </c>
      <c r="AS53" s="9" t="str">
        <f aca="false">IF($D53="Drift",IF($A53&lt;IF(Setup!$B$14="",0,Setup!$B$14),"",IF(OR($X53="",$BX53=1),"",$X53)),"")</f>
        <v/>
      </c>
      <c r="AT53" s="9" t="str">
        <f aca="false">IF($D53="Drift",IF($A53&lt;IF(Setup!$B$14="",0,Setup!$B$14),"",IF(OR($AC53="",$BY53=1),"",$AC53)),"")</f>
        <v/>
      </c>
      <c r="AU53" s="9" t="str">
        <f aca="false">IF($D53="Anchor",IF(OR($Z53="",$S53=""),"",$Z53),"")</f>
        <v/>
      </c>
      <c r="AV53" s="9" t="str">
        <f aca="false">IF($D53="Anchor",IF(OR($Z53="",$S53=""),"",$S53),"")</f>
        <v/>
      </c>
      <c r="AW53" s="9" t="str">
        <f aca="false">IF($D53="Anchor",IF(OR($AE53="",$T53=""),"",$AE53),"")</f>
        <v/>
      </c>
      <c r="AX53" s="9" t="str">
        <f aca="false">IF($D53="Anchor",IF(OR($AE53="",$T53=""),"",$T53),"")</f>
        <v/>
      </c>
      <c r="AY53" s="9" t="str">
        <f aca="false">IF(OR($D53="Blank",$D53="Exclude",$D53="Sample",$D53="",$G53="",$U53="",$L53=""),"",$G53*1000*$U53/100)</f>
        <v/>
      </c>
      <c r="AZ53" s="9" t="str">
        <f aca="false">IF($AY53="","",$L53)</f>
        <v/>
      </c>
      <c r="BA53" s="9" t="str">
        <f aca="false">IF(OR($D53="Blank",$D53="Exclude",$D53="Sample",$D53="",$G53="",$V53="",$P53=""),"",$G53*1000*$V53/100)</f>
        <v/>
      </c>
      <c r="BB53" s="9" t="str">
        <f aca="false">IF($BA53="","",$P53)</f>
        <v/>
      </c>
      <c r="BC53" s="9" t="str">
        <f aca="false">IF(AND($D53="Blank",$L53&lt;&gt;""),$O53,"")</f>
        <v/>
      </c>
      <c r="BD53" s="9" t="str">
        <f aca="false">IF($BC53="","",$L53)</f>
        <v/>
      </c>
      <c r="BE53" s="9" t="str">
        <f aca="false">IF(AND($D53="Blank",$P53&lt;&gt;""),$R53,"")</f>
        <v/>
      </c>
      <c r="BF53" s="9" t="str">
        <f aca="false">IF($BE53="","",$P53)</f>
        <v/>
      </c>
      <c r="BG53" s="9" t="str">
        <f aca="false">IF(AND($D53="Drift",$BX53&lt;&gt;1),IF($AA53="","",$AA53),"")</f>
        <v/>
      </c>
      <c r="BH53" s="9" t="str">
        <f aca="false">IF(AND($D53="Drift",$BY53&lt;&gt;1),IF($AF53="","",$AF53),"")</f>
        <v/>
      </c>
      <c r="BI53" s="20" t="n">
        <f aca="false">IF($B53="","",IFERROR(INDEX(Raw!$G$2:$G$1001,MATCH($A53&amp;"|N|"&amp;SUMPRODUCT(MAX((Raw!$A$2:$A$1001=$A53)*(Raw!$R$2:$R$1001="N")*(Raw!$I$2:$I$1001=1)*Raw!$D$2:$D$1001)),Raw!$S$2:$S$1001,0)),""))</f>
        <v>23.1</v>
      </c>
      <c r="BJ53" s="21" t="n">
        <f aca="false">IF(OR($BI53="",Fits!$B$85&lt;=0),"",($BI53-Fits!$B$83)/Fits!$B$85)</f>
        <v>0</v>
      </c>
      <c r="BK53" s="9" t="str">
        <f aca="false">IF($AS53="","",IF($A53&gt;=Fits!$B$86,"",$A53))</f>
        <v/>
      </c>
      <c r="BL53" s="9" t="str">
        <f aca="false">IF($BK53="","",$X53)</f>
        <v/>
      </c>
      <c r="BM53" s="9" t="str">
        <f aca="false">IF($AS53="","",IF($A53&lt;Fits!$B$86,"",$A53))</f>
        <v/>
      </c>
      <c r="BN53" s="9" t="str">
        <f aca="false">IF($BM53="","",$X53)</f>
        <v/>
      </c>
      <c r="BO53" s="9" t="str">
        <f aca="false">IF(AND($D53="Drift",$BX53&lt;&gt;1),IF($O53="","",$O53),"")</f>
        <v/>
      </c>
      <c r="BP53" s="9" t="str">
        <f aca="false">IF(AND($D53="Drift",$BX53&lt;&gt;1),IF($W53="","",$W53),"")</f>
        <v/>
      </c>
      <c r="BQ53" s="9" t="str">
        <f aca="false">IF(AND($D53="Drift",$BX53&lt;&gt;1),IF($X53="","",$X53),"")</f>
        <v/>
      </c>
      <c r="BR53" s="9" t="str">
        <f aca="false">IF(AND($D53="Drift",$BX53&lt;&gt;1),IF($Z53="","",$Z53),"")</f>
        <v/>
      </c>
      <c r="BS53" s="9" t="n">
        <f aca="false">IF(OR($B53="",$H53=""),"",SUMPRODUCT(MIN((Raw!$A$2:$A$1001=$A53)*(Raw!$R$2:$R$1001="N")*(Raw!$I$2:$I$1001=0)*(Raw!$D$2:$D$1001&lt;$H53)*Raw!$D$2:$D$1001+(1-(Raw!$A$2:$A$1001=$A53)*(Raw!$R$2:$R$1001="N")*(Raw!$I$2:$I$1001=0)*(Raw!$D$2:$D$1001&lt;$H53))*9999)))</f>
        <v>1</v>
      </c>
      <c r="BT53" s="16" t="n">
        <f aca="false">IF(OR($BS53="",$BS53=9999,$BS53=0),"",IFERROR(INDEX(Raw!$N$2:$N$1001,MATCH($A53&amp;"|N|"&amp;$BS53,Raw!$S$2:$S$1001,0)),""))</f>
        <v>-1.244</v>
      </c>
      <c r="BU53" s="9" t="n">
        <f aca="false">IF($B53="","",SUMPRODUCT(MIN((Raw!$A$2:$A$1001=$A53)*(Raw!$R$2:$R$1001="C")*(Raw!$I$2:$I$1001=1)*Raw!$D$2:$D$1001+(1-(Raw!$A$2:$A$1001=$A53)*(Raw!$R$2:$R$1001="C")*(Raw!$I$2:$I$1001=1))*9999)))</f>
        <v>5</v>
      </c>
      <c r="BV53" s="9" t="n">
        <f aca="false">IF(OR($BU53="",$BU53=9999),"",SUMPRODUCT(MIN((Raw!$A$2:$A$1001=$A53)*(Raw!$R$2:$R$1001="C")*(Raw!$I$2:$I$1001=0)*(Raw!$D$2:$D$1001&gt;$BU53)*Raw!$D$2:$D$1001+(1-(Raw!$A$2:$A$1001=$A53)*(Raw!$R$2:$R$1001="C")*(Raw!$I$2:$I$1001=0)*(Raw!$D$2:$D$1001&gt;$BU53))*9999)))</f>
        <v>6</v>
      </c>
      <c r="BW53" s="16" t="n">
        <f aca="false">IF(OR($BV53="",$BV53=9999,$BV53=0),"",IFERROR(INDEX(Raw!$O$2:$O$1001,MATCH($A53&amp;"|C|"&amp;$BV53,Raw!$S$2:$S$1001,0)),""))</f>
        <v>-25.357</v>
      </c>
      <c r="BX53" s="9" t="n">
        <f aca="false">IF($B53="","",IF(ISNUMBER(SEARCH(","&amp;$A53&amp;",",","&amp;SUBSTITUTE(Setup!$B$16," ","")&amp;",")),1,0))</f>
        <v>0</v>
      </c>
      <c r="BY53" s="9" t="n">
        <f aca="false">IF($B53="","",IF(ISNUMBER(SEARCH(","&amp;$A53&amp;",",","&amp;SUBSTITUTE(Setup!$B$17," ","")&amp;",")),1,0))</f>
        <v>0</v>
      </c>
      <c r="BZ53" s="22" t="str">
        <f aca="false">IF($AS53="","",IF(Fits!$B$38="Row",$AQ53,IF($AR53="","",$AR53)))</f>
        <v/>
      </c>
      <c r="CA53" s="22" t="str">
        <f aca="false">IF($AT53="","",IF(Fits!$B$50="Row",$AQ53,IF($AR53="","",$AR53)))</f>
        <v/>
      </c>
      <c r="CB53" s="20" t="str">
        <f aca="false">IF(OR($D53&lt;&gt;"Drift",$X53="",$A53&lt;IF(Setup!$B$14="",0,Setup!$B$14),Fits!$B$107&lt;3,Fits!$B$110="",Fits!$B$109=0,IF(Fits!$B$38="Row",$AQ53,$AR53)=""),"",IF($BX53=1,IF(OR(Fits!$B$111="",Fits!$B$111=0),"",($X53-(IF(Fits!$B$38="Row",Fits!$B$32,Fits!$B$35)*IF(Fits!$B$38="Row",$AQ53,$AR53)+Fits!$B$110))/(Fits!$B$111*SQRT(1+(1/Fits!$B$107+(IF(Fits!$B$38="Row",$AQ53,$AR53)-Fits!$B$108)^2/Fits!$B$109)))),IF(OR(Fits!$B$107&lt;4,(1/Fits!$B$107+(IF(Fits!$B$38="Row",$AQ53,$AR53)-Fits!$B$108)^2/Fits!$B$109)&gt;=1),"",IF((Fits!$B$116-($X53-(IF(Fits!$B$38="Row",Fits!$B$32,Fits!$B$35)*IF(Fits!$B$38="Row",$AQ53,$AR53)+Fits!$B$110))^2/(1-(1/Fits!$B$107+(IF(Fits!$B$38="Row",$AQ53,$AR53)-Fits!$B$108)^2/Fits!$B$109)))&lt;=0,"",($X53-(IF(Fits!$B$38="Row",Fits!$B$32,Fits!$B$35)*IF(Fits!$B$38="Row",$AQ53,$AR53)+Fits!$B$110))/(SQRT((Fits!$B$116-($X53-(IF(Fits!$B$38="Row",Fits!$B$32,Fits!$B$35)*IF(Fits!$B$38="Row",$AQ53,$AR53)+Fits!$B$110))^2/(1-(1/Fits!$B$107+(IF(Fits!$B$38="Row",$AQ53,$AR53)-Fits!$B$108)^2/Fits!$B$109)))/(Fits!$B$107-3))*SQRT(1-(1/Fits!$B$107+(IF(Fits!$B$38="Row",$AQ53,$AR53)-Fits!$B$108)^2/Fits!$B$109)))))))</f>
        <v/>
      </c>
      <c r="CC53" s="20" t="str">
        <f aca="false">IF(OR($D53&lt;&gt;"Drift",$AC53="",$A53&lt;IF(Setup!$B$14="",0,Setup!$B$14),Fits!$B$120&lt;3,Fits!$B$123="",Fits!$B$122=0,IF(Fits!$B$50="Row",$AQ53,$AR53)=""),"",IF($BY53=1,IF(OR(Fits!$B$124="",Fits!$B$124=0),"",($AC53-(IF(Fits!$B$50="Row",Fits!$B$44,Fits!$B$47)*IF(Fits!$B$50="Row",$AQ53,$AR53)+Fits!$B$123))/(Fits!$B$124*SQRT(1+(1/Fits!$B$120+(IF(Fits!$B$50="Row",$AQ53,$AR53)-Fits!$B$121)^2/Fits!$B$122)))),IF(OR(Fits!$B$120&lt;4,(1/Fits!$B$120+(IF(Fits!$B$50="Row",$AQ53,$AR53)-Fits!$B$121)^2/Fits!$B$122)&gt;=1),"",IF((Fits!$B$129-($AC53-(IF(Fits!$B$50="Row",Fits!$B$44,Fits!$B$47)*IF(Fits!$B$50="Row",$AQ53,$AR53)+Fits!$B$123))^2/(1-(1/Fits!$B$120+(IF(Fits!$B$50="Row",$AQ53,$AR53)-Fits!$B$121)^2/Fits!$B$122)))&lt;=0,"",($AC53-(IF(Fits!$B$50="Row",Fits!$B$44,Fits!$B$47)*IF(Fits!$B$50="Row",$AQ53,$AR53)+Fits!$B$123))/(SQRT((Fits!$B$129-($AC53-(IF(Fits!$B$50="Row",Fits!$B$44,Fits!$B$47)*IF(Fits!$B$50="Row",$AQ53,$AR53)+Fits!$B$123))^2/(1-(1/Fits!$B$120+(IF(Fits!$B$50="Row",$AQ53,$AR53)-Fits!$B$121)^2/Fits!$B$122)))/(Fits!$B$120-3))*SQRT(1-(1/Fits!$B$120+(IF(Fits!$B$50="Row",$AQ53,$AR53)-Fits!$B$121)^2/Fits!$B$122)))))))</f>
        <v/>
      </c>
      <c r="CD53" s="9" t="str">
        <f aca="false">IF($AU53="","",1)</f>
        <v/>
      </c>
      <c r="CE53" s="24" t="str">
        <f aca="false">IF($AU53="","",$AU53-Fits!$B$133)</f>
        <v/>
      </c>
      <c r="CF53" s="24" t="str">
        <f aca="false">IF($AU53="","",($AV53-(Fits!$B$56*$AU53+Fits!$B$57))-Fits!$B$56*($AU53-Fits!$B$133))</f>
        <v/>
      </c>
      <c r="CG53" s="25" t="str">
        <f aca="false">IF($AU53="","",$AU53^2)</f>
        <v/>
      </c>
      <c r="CH53" s="9" t="str">
        <f aca="false">IF($AW53="","",1)</f>
        <v/>
      </c>
      <c r="CI53" s="24" t="str">
        <f aca="false">IF($AW53="","",$AW53-Fits!$B$153)</f>
        <v/>
      </c>
      <c r="CJ53" s="24" t="str">
        <f aca="false">IF($AW53="","",($AX53-(Fits!$B$63*$AW53+Fits!$B$64))-Fits!$B$63*($AW53-Fits!$B$153))</f>
        <v/>
      </c>
      <c r="CK53" s="25" t="str">
        <f aca="false">IF($AW53="","",$AW53^2)</f>
        <v/>
      </c>
      <c r="CL53" s="26" t="n">
        <f aca="false">IF(OR($Z53="",Fits!$B$55&lt;3,Fits!$B$133="",Fits!$B$134="",Fits!$B$134=0,Fits!$B$136=""),"",SQRT((Fits!$B$136*Fits!$B$56)^2+SUMPRODUCT((Fits!$J$163:$J$175*(Fits!$B$163:$B$175/Fits!$B$55+Fits!$H$163:$H$175*($Z53-Fits!$B$133)/Fits!$B$134))^2)+SUMPRODUCT((Fits!$G$163:$G$175*(($Z53-Fits!$B$133)*Fits!$I$163:$I$175/Fits!$B$134-Fits!$B$163:$B$175*Fits!$B$56/Fits!$B$55))^2)))</f>
        <v>0.255552748865655</v>
      </c>
      <c r="CM53" s="26" t="n">
        <f aca="false">IF($CL53="","",Setup!$B$32*$CL53)</f>
        <v>0.51110549773131</v>
      </c>
      <c r="CN53" s="26" t="n">
        <f aca="false">IF(OR($AE53="",Fits!$B$62&lt;3,Fits!$B$153="",Fits!$B$154="",Fits!$B$154=0,Fits!$B$156=""),"",SQRT((Fits!$B$156*Fits!$B$63)^2+SUMPRODUCT((Fits!$J$183:$J$195*(Fits!$B$183:$B$195/Fits!$B$62+Fits!$H$183:$H$195*($AE53-Fits!$B$153)/Fits!$B$154))^2)+SUMPRODUCT((Fits!$G$183:$G$195*(($AE53-Fits!$B$153)*Fits!$I$183:$I$195/Fits!$B$154-Fits!$B$183:$B$195*Fits!$B$63/Fits!$B$62))^2)))</f>
        <v>0.0377644103138141</v>
      </c>
      <c r="CO53" s="26" t="n">
        <f aca="false">IF($CN53="","",Setup!$B$32*$CN53)</f>
        <v>0.0755288206276282</v>
      </c>
      <c r="CP53" s="9" t="n">
        <f aca="false">IF(OR(NOT(ISNUMBER($BJ53)),$EK53=1),$CP52,IF($BJ53&lt;=Setup!$B$26,$CP52+1,0))</f>
        <v>18</v>
      </c>
      <c r="CQ53" s="9" t="n">
        <f aca="false">IF($BT53="","",$A53)</f>
        <v>48</v>
      </c>
      <c r="CR53" s="9" t="n">
        <f aca="false">IF($BW53="","",$A53)</f>
        <v>48</v>
      </c>
      <c r="CS53" s="9" t="n">
        <f aca="false">IF($B53="","",IF(Setup!$A$37="",0,IF(ISNUMBER(SEARCH(Setup!$A$37,$B53)),37,0)))</f>
        <v>0</v>
      </c>
      <c r="CT53" s="9" t="n">
        <f aca="false">IF($B53="","",IF(Setup!$A$38="",0,IF(ISNUMBER(SEARCH(Setup!$A$38,$B53)),38,0)))</f>
        <v>0</v>
      </c>
      <c r="CU53" s="9" t="n">
        <f aca="false">IF($B53="","",IF(Setup!$A$39="",0,IF(ISNUMBER(SEARCH(Setup!$A$39,$B53)),39,0)))</f>
        <v>0</v>
      </c>
      <c r="CV53" s="9" t="n">
        <f aca="false">IF($B53="","",IF(Setup!$A$40="",0,IF(ISNUMBER(SEARCH(Setup!$A$40,$B53)),40,0)))</f>
        <v>0</v>
      </c>
      <c r="CW53" s="9" t="n">
        <f aca="false">IF($B53="","",IF(Setup!$A$41="",0,IF(ISNUMBER(SEARCH(Setup!$A$41,$B53)),41,0)))</f>
        <v>0</v>
      </c>
      <c r="CX53" s="9" t="n">
        <f aca="false">IF($B53="","",IF(Setup!$A$42="",0,IF(ISNUMBER(SEARCH(Setup!$A$42,$B53)),42,0)))</f>
        <v>0</v>
      </c>
      <c r="CY53" s="9" t="n">
        <f aca="false">IF($B53="","",IF(Setup!$A$43="",0,IF(ISNUMBER(SEARCH(Setup!$A$43,$B53)),43,0)))</f>
        <v>0</v>
      </c>
      <c r="CZ53" s="9" t="n">
        <f aca="false">IF($B53="","",IF(Setup!$A$44="",0,IF(ISNUMBER(SEARCH(Setup!$A$44,$B53)),44,0)))</f>
        <v>0</v>
      </c>
      <c r="DA53" s="9" t="n">
        <f aca="false">IF($B53="","",IF(Setup!$A$45="",0,IF(ISNUMBER(SEARCH(Setup!$A$45,$B53)),45,0)))</f>
        <v>0</v>
      </c>
      <c r="DB53" s="9" t="n">
        <f aca="false">IF($B53="","",IF(Setup!$A$46="",0,IF(ISNUMBER(SEARCH(Setup!$A$46,$B53)),46,0)))</f>
        <v>0</v>
      </c>
      <c r="DC53" s="9" t="n">
        <f aca="false">IF($B53="","",IF(Setup!$A$47="",0,IF(ISNUMBER(SEARCH(Setup!$A$47,$B53)),47,0)))</f>
        <v>0</v>
      </c>
      <c r="DD53" s="9" t="n">
        <f aca="false">IF($B53="","",IF(Setup!$A$48="",0,IF(ISNUMBER(SEARCH(Setup!$A$48,$B53)),48,0)))</f>
        <v>0</v>
      </c>
      <c r="DE53" s="9" t="n">
        <f aca="false">IF($B53="","",IF(Setup!$A$49="",0,IF(ISNUMBER(SEARCH(Setup!$A$49,$B53)),49,0)))</f>
        <v>0</v>
      </c>
      <c r="DF53" s="9" t="n">
        <f aca="false">IF($B53="",NA(),$A53)</f>
        <v>48</v>
      </c>
      <c r="DG53" s="22" t="n">
        <f aca="false">IF($BI53="",NA(),$BI53)</f>
        <v>23.1</v>
      </c>
      <c r="DH53" s="22" t="n">
        <f aca="false">IF($N53="",NA(),$N53)</f>
        <v>23.9</v>
      </c>
      <c r="DI53" s="9" t="e">
        <f aca="false">IF(AND($D53="Drift",$N53&lt;&gt;""),$N53,NA())</f>
        <v>#N/A</v>
      </c>
      <c r="DJ53" s="9" t="str">
        <f aca="false">IF(AND($D53="Drift",$N53&lt;&gt;""),$N53,"")</f>
        <v/>
      </c>
      <c r="DK53" s="9" t="str">
        <f aca="false">IF($DJ53="","",$A53)</f>
        <v/>
      </c>
      <c r="DL53" s="9" t="e">
        <f aca="false">IF($AN53="",NA(),$AM53)</f>
        <v>#N/A</v>
      </c>
      <c r="DM53" s="9" t="e">
        <f aca="false">IF($AN53="",NA(),$AN53)</f>
        <v>#N/A</v>
      </c>
      <c r="DN53" s="24" t="n">
        <f aca="false">IF(AND($D53="Sample",$L53&lt;&gt;""),$L53,NA())</f>
        <v>27.231</v>
      </c>
      <c r="DO53" s="24" t="n">
        <f aca="false">IF(AND($D53="Sample",$L53&lt;&gt;"",Fits!$B$98&lt;&gt;""),Fits!$B$98,NA())</f>
        <v>-6.0577</v>
      </c>
      <c r="DP53" s="9" t="e">
        <f aca="false">IF($AS53="",NA(),$AS53)</f>
        <v>#N/A</v>
      </c>
      <c r="DQ53" s="9" t="e">
        <f aca="false">IF(AND($D53="Drift",$AS53="",$X53&lt;&gt;""),$X53,NA())</f>
        <v>#N/A</v>
      </c>
      <c r="DR53" s="9" t="e">
        <f aca="false">IF(AND($D53="Drift",$Z53&lt;&gt;""),$Z53,NA())</f>
        <v>#N/A</v>
      </c>
      <c r="DS53" s="25" t="n">
        <f aca="false">IF(AND(OR($D53="Sample",$D53="Check"),$AA53&lt;&gt;""),$AA53,NA())</f>
        <v>-5.17341642545028</v>
      </c>
      <c r="DT53" s="25" t="n">
        <f aca="false">IF(OR($B53="",Fits!$B$138=""),NA(),Fits!$B$138)</f>
        <v>1.76</v>
      </c>
      <c r="DU53" s="25" t="n">
        <f aca="false">IF(OR($B53="",Fits!$B$139=""),NA(),Fits!$B$139)</f>
        <v>20.68</v>
      </c>
      <c r="DV53" s="24" t="n">
        <f aca="false">IF($BT53="",NA(),$BT53)</f>
        <v>-1.244</v>
      </c>
      <c r="DW53" s="9" t="e">
        <f aca="false">IF($AP53="",NA(),$AO53)</f>
        <v>#N/A</v>
      </c>
      <c r="DX53" s="9" t="e">
        <f aca="false">IF($AP53="",NA(),$AP53)</f>
        <v>#N/A</v>
      </c>
      <c r="DY53" s="24" t="n">
        <f aca="false">IF(AND($D53="Sample",$P53&lt;&gt;""),$P53,NA())</f>
        <v>127.336</v>
      </c>
      <c r="DZ53" s="24" t="n">
        <f aca="false">IF(AND($D53="Sample",$P53&lt;&gt;"",Fits!$B$105&lt;&gt;""),Fits!$B$105,NA())</f>
        <v>-9.717</v>
      </c>
      <c r="EA53" s="9" t="e">
        <f aca="false">IF($AT53="",NA(),$AT53)</f>
        <v>#N/A</v>
      </c>
      <c r="EB53" s="9" t="e">
        <f aca="false">IF(AND($D53="Drift",$AT53="",$AC53&lt;&gt;""),$AC53,NA())</f>
        <v>#N/A</v>
      </c>
      <c r="EC53" s="9" t="e">
        <f aca="false">IF(AND($D53="Drift",$AE53&lt;&gt;""),$AE53,NA())</f>
        <v>#N/A</v>
      </c>
      <c r="ED53" s="25" t="n">
        <f aca="false">IF(AND(OR($D53="Sample",$D53="Check"),$AF53&lt;&gt;""),$AF53,NA())</f>
        <v>-26.7519927443081</v>
      </c>
      <c r="EE53" s="25" t="n">
        <f aca="false">IF(OR($B53="",Fits!$B$158=""),NA(),Fits!$B$158)</f>
        <v>-40.81</v>
      </c>
      <c r="EF53" s="25" t="n">
        <f aca="false">IF(OR($B53="",Fits!$B$159=""),NA(),Fits!$B$159)</f>
        <v>-20.29</v>
      </c>
      <c r="EG53" s="24" t="n">
        <f aca="false">IF($BW53="",NA(),$BW53)</f>
        <v>-25.357</v>
      </c>
      <c r="EH53" s="9" t="e">
        <f aca="false">IF(AND($EN53=1,ISNUMBER($N53)),$N53,NA())</f>
        <v>#N/A</v>
      </c>
      <c r="EI53" s="9" t="n">
        <f aca="false">IF($B53="","",$A53)</f>
        <v>48</v>
      </c>
      <c r="EJ53" s="9" t="n">
        <f aca="false">IF(OR(AND(ISNUMBER($L53),Fits!$B$97&gt;0,$L53&gt;Fits!$B$97),AND(ISNUMBER($P53),Fits!$B$104&gt;0,$P53&gt;Fits!$B$104)),1,0)</f>
        <v>0</v>
      </c>
      <c r="EK53" s="9" t="n">
        <f aca="false">IF(OR($EJ52=1,$EJ51=1),1,0)</f>
        <v>0</v>
      </c>
      <c r="EL53" s="22" t="n">
        <f aca="false">IF(AND($EK53=0,ISNUMBER($N53)),$N53,$EL52)</f>
        <v>23.9</v>
      </c>
      <c r="EM53" s="9" t="str">
        <f aca="false">IF(AND($EK53=1,ISNUMBER($N53),ISNUMBER($EL53)),$N53-$EL53,"")</f>
        <v/>
      </c>
      <c r="EN53" s="9" t="n">
        <f aca="false">IF(Setup!$B$28="",0,IF(ISNUMBER($EM53),IF($EM53&gt;Setup!$B$28,1,0),0))</f>
        <v>0</v>
      </c>
      <c r="EO53" s="9" t="str">
        <f aca="false">IF($EN53=1,COUNTIF($EN$6:$EN53,1),"")</f>
        <v/>
      </c>
      <c r="EP53" s="9" t="n">
        <f aca="false">IF(AND($EJ52=1,OR($D53="Sample",$D53="Check")),1,0)</f>
        <v>0</v>
      </c>
      <c r="EQ53" s="9" t="str">
        <f aca="false">IF(ISNUMBER($BI53),IF(COUNT($BI$6:$BI53)&lt;=5,$BI53,""),"")</f>
        <v/>
      </c>
      <c r="ER53" s="9" t="n">
        <f aca="false">IF(OR(NOT(ISNUMBER($BJ53)),$EK53=1),$ER52,IF($BJ53&lt;=Setup!$B$26,IF($CP52=0,$A53,$ER52),""))</f>
        <v>27</v>
      </c>
    </row>
    <row r="54" customFormat="false" ht="15" hidden="false" customHeight="false" outlineLevel="0" collapsed="false">
      <c r="A54" s="8" t="n">
        <v>49</v>
      </c>
      <c r="B54" s="8" t="str">
        <f aca="false">IFERROR(INDEX(Raw!$B$2:$B$1001,MATCH($A54,Raw!$A$2:$A$1001,0)),"")</f>
        <v>Random</v>
      </c>
      <c r="C54" s="9" t="n">
        <f aca="false">IF($B54="","",MAX($CS54:$DE54))</f>
        <v>0</v>
      </c>
      <c r="D54" s="8" t="str">
        <f aca="false">IF($B54="","",IF($C54=0,"Sample",INDEX(Setup!$B$37:$B$49,$C54-36)))</f>
        <v>Sample</v>
      </c>
      <c r="E54" s="16" t="str">
        <f aca="false">IF($B54="","",IFERROR(IF(INDEX(Raw!$E$2:$E$1001,MATCH($A54,Raw!$A$2:$A$1001,0))=0,"",INDEX(Raw!$E$2:$E$1001,MATCH($A54,Raw!$A$2:$A$1001,0))),""))</f>
        <v/>
      </c>
      <c r="F54" s="18"/>
      <c r="G54" s="16" t="str">
        <f aca="false">IF($B54="","",IF($F54&lt;&gt;"",$F54,IF($E54="","",$E54)))</f>
        <v/>
      </c>
      <c r="H54" s="9" t="n">
        <f aca="false">IF($B54="","",SUMPRODUCT(MAX((Raw!$A$2:$A$1001=$A54)*(Raw!$R$2:$R$1001="N")*Raw!$D$2:$D$1001)))</f>
        <v>3</v>
      </c>
      <c r="I54" s="9" t="str">
        <f aca="false">IF(OR($H54="",$H54=0),"",$A54&amp;"|N|"&amp;$H54)</f>
        <v>49|N|3</v>
      </c>
      <c r="J54" s="9" t="n">
        <f aca="false">IF($B54="","",SUMPRODUCT(MIN((Raw!$A$2:$A$1001=$A54)*(Raw!$R$2:$R$1001="C")*Raw!$D$2:$D$1001+(1-(Raw!$A$2:$A$1001=$A54)*(Raw!$R$2:$R$1001="C"))*9999)))</f>
        <v>4</v>
      </c>
      <c r="K54" s="9" t="str">
        <f aca="false">IF(OR($J54="",$J54=0,$J54=9999),"",$A54&amp;"|C|"&amp;$J54)</f>
        <v>49|C|4</v>
      </c>
      <c r="L54" s="16" t="n">
        <f aca="false">IF($I54="","",IF(INDEX(Raw!$I$2:$I$1001,MATCH($I54,Raw!$S$2:$S$1001,0))&lt;&gt;0,"",INDEX(Raw!$H$2:$H$1001,MATCH($I54,Raw!$S$2:$S$1001,0))))</f>
        <v>41.648</v>
      </c>
      <c r="M54" s="19" t="n">
        <f aca="false">IF($I54="","",IF(INDEX(Raw!$I$2:$I$1001,MATCH($I54,Raw!$S$2:$S$1001,0))&lt;&gt;0,"",INDEX(Raw!$F$2:$F$1001,MATCH($I54,Raw!$S$2:$S$1001,0))))</f>
        <v>2404</v>
      </c>
      <c r="N54" s="20" t="n">
        <f aca="false">IF($I54="","",IF(INDEX(Raw!$I$2:$I$1001,MATCH($I54,Raw!$S$2:$S$1001,0))&lt;&gt;0,"",INDEX(Raw!$G$2:$G$1001,MATCH($I54,Raw!$S$2:$S$1001,0))))</f>
        <v>24.1</v>
      </c>
      <c r="O54" s="16" t="n">
        <f aca="false">IF($I54="","",IF(INDEX(Raw!$I$2:$I$1001,MATCH($I54,Raw!$S$2:$S$1001,0))&lt;&gt;0,"",INDEX(Raw!$N$2:$N$1001,MATCH($I54,Raw!$S$2:$S$1001,0))))</f>
        <v>-5.971</v>
      </c>
      <c r="P54" s="16" t="n">
        <f aca="false">IF($K54="","",IF(INDEX(Raw!$I$2:$I$1001,MATCH($K54,Raw!$S$2:$S$1001,0))&lt;&gt;0,"",INDEX(Raw!$K$2:$K$1001,MATCH($K54,Raw!$S$2:$S$1001,0))))</f>
        <v>195.21</v>
      </c>
      <c r="Q54" s="19" t="n">
        <f aca="false">IF($K54="","",IF(INDEX(Raw!$I$2:$I$1001,MATCH($K54,Raw!$S$2:$S$1001,0))&lt;&gt;0,"",INDEX(Raw!$J$2:$J$1001,MATCH($K54,Raw!$S$2:$S$1001,0))))</f>
        <v>8403</v>
      </c>
      <c r="R54" s="16" t="n">
        <f aca="false">IF($K54="","",IF(INDEX(Raw!$I$2:$I$1001,MATCH($K54,Raw!$S$2:$S$1001,0))&lt;&gt;0,"",INDEX(Raw!$O$2:$O$1001,MATCH($K54,Raw!$S$2:$S$1001,0))))</f>
        <v>-9.471</v>
      </c>
      <c r="S54" s="21" t="str">
        <f aca="false">IF($B54="","",IF($C54=0,"",IF(INDEX(Setup!$D$37:$D$49,$C54-36)="","",INDEX(Setup!$D$37:$D$49,$C54-36))))</f>
        <v/>
      </c>
      <c r="T54" s="21" t="str">
        <f aca="false">IF($B54="","",IF($C54=0,"",IF(INDEX(Setup!$C$37:$C$49,$C54-36)="","",INDEX(Setup!$C$37:$C$49,$C54-36))))</f>
        <v/>
      </c>
      <c r="U54" s="21" t="str">
        <f aca="false">IF($B54="","",IF($C54=0,"",IF(INDEX(Setup!$F$37:$F$49,$C54-36)="","",INDEX(Setup!$F$37:$F$49,$C54-36))))</f>
        <v/>
      </c>
      <c r="V54" s="21" t="str">
        <f aca="false">IF($B54="","",IF($C54=0,"",IF(INDEX(Setup!$E$37:$E$49,$C54-36)="","",INDEX(Setup!$E$37:$E$49,$C54-36))))</f>
        <v/>
      </c>
      <c r="W54" s="16" t="n">
        <f aca="false">IF($O54="","",IF(OR(Fits!$C$5&lt;&gt;"Yes",$D54="Blank",$L54&lt;=Fits!$B$6),$O54,($L54*$O54-Fits!$B$6*Fits!$B$7)/($L54-Fits!$B$6)))</f>
        <v>-5.971</v>
      </c>
      <c r="X54" s="16" t="n">
        <f aca="false">IF($W54="","",$W54-Fits!$B$20*($L54-Fits!$B$16))</f>
        <v>-5.971</v>
      </c>
      <c r="Y54" s="22" t="n">
        <f aca="false">IF($W54="","",IF(OR(Fits!$B$38="Row",$BI54=""),$A54,$BI54))</f>
        <v>49</v>
      </c>
      <c r="Z54" s="16" t="n">
        <f aca="false">IF($X54="","",$X54-Fits!$B$39*($Y54-Fits!$B$40))</f>
        <v>-5.7462799000844</v>
      </c>
      <c r="AA54" s="23" t="n">
        <f aca="false">IF(OR($Z54="",Fits!$B$55&lt;2),"",Fits!$B$56*$Z54+Fits!$B$57)</f>
        <v>-4.87184887273629</v>
      </c>
      <c r="AB54" s="16" t="n">
        <f aca="false">IF($R54="","",IF(OR(Fits!$C$9&lt;&gt;"Yes",$D54="Blank",$P54&lt;=Fits!$B$10),$R54,($P54*$R54-Fits!$B$10*Fits!$B$11)/($P54-Fits!$B$10)))</f>
        <v>-9.471</v>
      </c>
      <c r="AC54" s="16" t="n">
        <f aca="false">IF($AB54="","",$AB54-Fits!$B$28*($P54-Fits!$B$24))</f>
        <v>-9.58821453434534</v>
      </c>
      <c r="AD54" s="22" t="n">
        <f aca="false">IF($AB54="","",IF(OR(Fits!$B$50="Row",$BI54=""),$A54,$BI54))</f>
        <v>49</v>
      </c>
      <c r="AE54" s="16" t="n">
        <f aca="false">IF($AC54="","",$AC54-Fits!$B$51*($AD54-Fits!$B$52))</f>
        <v>-9.62777900366522</v>
      </c>
      <c r="AF54" s="23" t="n">
        <f aca="false">IF(OR($AE54="",Fits!$B$62&lt;2),"",Fits!$B$63*$AE54+Fits!$B$64)</f>
        <v>-26.7562586697408</v>
      </c>
      <c r="AG54" s="21" t="n">
        <f aca="false">IF(OR($L54="",Fits!$B$69&lt;3),"",($L54-Fits!$B$71)/Fits!$B$70)</f>
        <v>65.5198641616899</v>
      </c>
      <c r="AH54" s="21" t="n">
        <f aca="false">IF(OR($P54="",Fits!$B$75&lt;3),"",($P54-Fits!$B$77)/Fits!$B$76)</f>
        <v>440.639669356249</v>
      </c>
      <c r="AI54" s="23" t="str">
        <f aca="false">IF(OR($AG54="",$G54="",$G54=0),"",$AG54/($G54*1000)*100)</f>
        <v/>
      </c>
      <c r="AJ54" s="23" t="str">
        <f aca="false">IF(OR($AH54="",$G54="",$G54=0),"",$AH54/($G54*1000)*100)</f>
        <v/>
      </c>
      <c r="AK54" s="23" t="n">
        <f aca="false">IF(OR($AG54="",$AH54="",$AG54&lt;=0),"",($AH54/Setup!$B$52)/($AG54/Setup!$B$53))</f>
        <v>7.84289798451963</v>
      </c>
      <c r="AL54" s="23" t="n">
        <f aca="false">IF(OR($AG54="",$AH54="",$AG54&lt;=0),"",$AH54/$AG54)</f>
        <v>6.725283621908</v>
      </c>
      <c r="AM54" s="9" t="str">
        <f aca="false">IF($D54="Linearity",IF($L54="","",$L54),"")</f>
        <v/>
      </c>
      <c r="AN54" s="9" t="str">
        <f aca="false">IF($D54="Linearity",IF($W54="","",$W54),"")</f>
        <v/>
      </c>
      <c r="AO54" s="9" t="str">
        <f aca="false">IF($D54="Linearity",IF($P54="","",$P54),"")</f>
        <v/>
      </c>
      <c r="AP54" s="9" t="str">
        <f aca="false">IF($D54="Linearity",IF($AB54="","",$AB54),"")</f>
        <v/>
      </c>
      <c r="AQ54" s="9" t="str">
        <f aca="false">IF($D54="Drift",IF($A54&lt;IF(Setup!$B$14="",0,Setup!$B$14),"",$A54),"")</f>
        <v/>
      </c>
      <c r="AR54" s="9" t="str">
        <f aca="false">IF($D54="Drift",IF($A54&lt;IF(Setup!$B$14="",0,Setup!$B$14),"",IF($BI54="","",$BI54)),"")</f>
        <v/>
      </c>
      <c r="AS54" s="9" t="str">
        <f aca="false">IF($D54="Drift",IF($A54&lt;IF(Setup!$B$14="",0,Setup!$B$14),"",IF(OR($X54="",$BX54=1),"",$X54)),"")</f>
        <v/>
      </c>
      <c r="AT54" s="9" t="str">
        <f aca="false">IF($D54="Drift",IF($A54&lt;IF(Setup!$B$14="",0,Setup!$B$14),"",IF(OR($AC54="",$BY54=1),"",$AC54)),"")</f>
        <v/>
      </c>
      <c r="AU54" s="9" t="str">
        <f aca="false">IF($D54="Anchor",IF(OR($Z54="",$S54=""),"",$Z54),"")</f>
        <v/>
      </c>
      <c r="AV54" s="9" t="str">
        <f aca="false">IF($D54="Anchor",IF(OR($Z54="",$S54=""),"",$S54),"")</f>
        <v/>
      </c>
      <c r="AW54" s="9" t="str">
        <f aca="false">IF($D54="Anchor",IF(OR($AE54="",$T54=""),"",$AE54),"")</f>
        <v/>
      </c>
      <c r="AX54" s="9" t="str">
        <f aca="false">IF($D54="Anchor",IF(OR($AE54="",$T54=""),"",$T54),"")</f>
        <v/>
      </c>
      <c r="AY54" s="9" t="str">
        <f aca="false">IF(OR($D54="Blank",$D54="Exclude",$D54="Sample",$D54="",$G54="",$U54="",$L54=""),"",$G54*1000*$U54/100)</f>
        <v/>
      </c>
      <c r="AZ54" s="9" t="str">
        <f aca="false">IF($AY54="","",$L54)</f>
        <v/>
      </c>
      <c r="BA54" s="9" t="str">
        <f aca="false">IF(OR($D54="Blank",$D54="Exclude",$D54="Sample",$D54="",$G54="",$V54="",$P54=""),"",$G54*1000*$V54/100)</f>
        <v/>
      </c>
      <c r="BB54" s="9" t="str">
        <f aca="false">IF($BA54="","",$P54)</f>
        <v/>
      </c>
      <c r="BC54" s="9" t="str">
        <f aca="false">IF(AND($D54="Blank",$L54&lt;&gt;""),$O54,"")</f>
        <v/>
      </c>
      <c r="BD54" s="9" t="str">
        <f aca="false">IF($BC54="","",$L54)</f>
        <v/>
      </c>
      <c r="BE54" s="9" t="str">
        <f aca="false">IF(AND($D54="Blank",$P54&lt;&gt;""),$R54,"")</f>
        <v/>
      </c>
      <c r="BF54" s="9" t="str">
        <f aca="false">IF($BE54="","",$P54)</f>
        <v/>
      </c>
      <c r="BG54" s="9" t="str">
        <f aca="false">IF(AND($D54="Drift",$BX54&lt;&gt;1),IF($AA54="","",$AA54),"")</f>
        <v/>
      </c>
      <c r="BH54" s="9" t="str">
        <f aca="false">IF(AND($D54="Drift",$BY54&lt;&gt;1),IF($AF54="","",$AF54),"")</f>
        <v/>
      </c>
      <c r="BI54" s="20" t="n">
        <f aca="false">IF($B54="","",IFERROR(INDEX(Raw!$G$2:$G$1001,MATCH($A54&amp;"|N|"&amp;SUMPRODUCT(MAX((Raw!$A$2:$A$1001=$A54)*(Raw!$R$2:$R$1001="N")*(Raw!$I$2:$I$1001=1)*Raw!$D$2:$D$1001)),Raw!$S$2:$S$1001,0)),""))</f>
        <v>23.2</v>
      </c>
      <c r="BJ54" s="21" t="n">
        <f aca="false">IF(OR($BI54="",Fits!$B$85&lt;=0),"",($BI54-Fits!$B$83)/Fits!$B$85)</f>
        <v>0.00900900900900882</v>
      </c>
      <c r="BK54" s="9" t="str">
        <f aca="false">IF($AS54="","",IF($A54&gt;=Fits!$B$86,"",$A54))</f>
        <v/>
      </c>
      <c r="BL54" s="9" t="str">
        <f aca="false">IF($BK54="","",$X54)</f>
        <v/>
      </c>
      <c r="BM54" s="9" t="str">
        <f aca="false">IF($AS54="","",IF($A54&lt;Fits!$B$86,"",$A54))</f>
        <v/>
      </c>
      <c r="BN54" s="9" t="str">
        <f aca="false">IF($BM54="","",$X54)</f>
        <v/>
      </c>
      <c r="BO54" s="9" t="str">
        <f aca="false">IF(AND($D54="Drift",$BX54&lt;&gt;1),IF($O54="","",$O54),"")</f>
        <v/>
      </c>
      <c r="BP54" s="9" t="str">
        <f aca="false">IF(AND($D54="Drift",$BX54&lt;&gt;1),IF($W54="","",$W54),"")</f>
        <v/>
      </c>
      <c r="BQ54" s="9" t="str">
        <f aca="false">IF(AND($D54="Drift",$BX54&lt;&gt;1),IF($X54="","",$X54),"")</f>
        <v/>
      </c>
      <c r="BR54" s="9" t="str">
        <f aca="false">IF(AND($D54="Drift",$BX54&lt;&gt;1),IF($Z54="","",$Z54),"")</f>
        <v/>
      </c>
      <c r="BS54" s="9" t="n">
        <f aca="false">IF(OR($B54="",$H54=""),"",SUMPRODUCT(MIN((Raw!$A$2:$A$1001=$A54)*(Raw!$R$2:$R$1001="N")*(Raw!$I$2:$I$1001=0)*(Raw!$D$2:$D$1001&lt;$H54)*Raw!$D$2:$D$1001+(1-(Raw!$A$2:$A$1001=$A54)*(Raw!$R$2:$R$1001="N")*(Raw!$I$2:$I$1001=0)*(Raw!$D$2:$D$1001&lt;$H54))*9999)))</f>
        <v>1</v>
      </c>
      <c r="BT54" s="16" t="n">
        <f aca="false">IF(OR($BS54="",$BS54=9999,$BS54=0),"",IFERROR(INDEX(Raw!$N$2:$N$1001,MATCH($A54&amp;"|N|"&amp;$BS54,Raw!$S$2:$S$1001,0)),""))</f>
        <v>-1.223</v>
      </c>
      <c r="BU54" s="9" t="n">
        <f aca="false">IF($B54="","",SUMPRODUCT(MIN((Raw!$A$2:$A$1001=$A54)*(Raw!$R$2:$R$1001="C")*(Raw!$I$2:$I$1001=1)*Raw!$D$2:$D$1001+(1-(Raw!$A$2:$A$1001=$A54)*(Raw!$R$2:$R$1001="C")*(Raw!$I$2:$I$1001=1))*9999)))</f>
        <v>5</v>
      </c>
      <c r="BV54" s="9" t="n">
        <f aca="false">IF(OR($BU54="",$BU54=9999),"",SUMPRODUCT(MIN((Raw!$A$2:$A$1001=$A54)*(Raw!$R$2:$R$1001="C")*(Raw!$I$2:$I$1001=0)*(Raw!$D$2:$D$1001&gt;$BU54)*Raw!$D$2:$D$1001+(1-(Raw!$A$2:$A$1001=$A54)*(Raw!$R$2:$R$1001="C")*(Raw!$I$2:$I$1001=0)*(Raw!$D$2:$D$1001&gt;$BU54))*9999)))</f>
        <v>6</v>
      </c>
      <c r="BW54" s="16" t="n">
        <f aca="false">IF(OR($BV54="",$BV54=9999,$BV54=0),"",IFERROR(INDEX(Raw!$O$2:$O$1001,MATCH($A54&amp;"|C|"&amp;$BV54,Raw!$S$2:$S$1001,0)),""))</f>
        <v>-25.338</v>
      </c>
      <c r="BX54" s="9" t="n">
        <f aca="false">IF($B54="","",IF(ISNUMBER(SEARCH(","&amp;$A54&amp;",",","&amp;SUBSTITUTE(Setup!$B$16," ","")&amp;",")),1,0))</f>
        <v>0</v>
      </c>
      <c r="BY54" s="9" t="n">
        <f aca="false">IF($B54="","",IF(ISNUMBER(SEARCH(","&amp;$A54&amp;",",","&amp;SUBSTITUTE(Setup!$B$17," ","")&amp;",")),1,0))</f>
        <v>0</v>
      </c>
      <c r="BZ54" s="22" t="str">
        <f aca="false">IF($AS54="","",IF(Fits!$B$38="Row",$AQ54,IF($AR54="","",$AR54)))</f>
        <v/>
      </c>
      <c r="CA54" s="22" t="str">
        <f aca="false">IF($AT54="","",IF(Fits!$B$50="Row",$AQ54,IF($AR54="","",$AR54)))</f>
        <v/>
      </c>
      <c r="CB54" s="20" t="str">
        <f aca="false">IF(OR($D54&lt;&gt;"Drift",$X54="",$A54&lt;IF(Setup!$B$14="",0,Setup!$B$14),Fits!$B$107&lt;3,Fits!$B$110="",Fits!$B$109=0,IF(Fits!$B$38="Row",$AQ54,$AR54)=""),"",IF($BX54=1,IF(OR(Fits!$B$111="",Fits!$B$111=0),"",($X54-(IF(Fits!$B$38="Row",Fits!$B$32,Fits!$B$35)*IF(Fits!$B$38="Row",$AQ54,$AR54)+Fits!$B$110))/(Fits!$B$111*SQRT(1+(1/Fits!$B$107+(IF(Fits!$B$38="Row",$AQ54,$AR54)-Fits!$B$108)^2/Fits!$B$109)))),IF(OR(Fits!$B$107&lt;4,(1/Fits!$B$107+(IF(Fits!$B$38="Row",$AQ54,$AR54)-Fits!$B$108)^2/Fits!$B$109)&gt;=1),"",IF((Fits!$B$116-($X54-(IF(Fits!$B$38="Row",Fits!$B$32,Fits!$B$35)*IF(Fits!$B$38="Row",$AQ54,$AR54)+Fits!$B$110))^2/(1-(1/Fits!$B$107+(IF(Fits!$B$38="Row",$AQ54,$AR54)-Fits!$B$108)^2/Fits!$B$109)))&lt;=0,"",($X54-(IF(Fits!$B$38="Row",Fits!$B$32,Fits!$B$35)*IF(Fits!$B$38="Row",$AQ54,$AR54)+Fits!$B$110))/(SQRT((Fits!$B$116-($X54-(IF(Fits!$B$38="Row",Fits!$B$32,Fits!$B$35)*IF(Fits!$B$38="Row",$AQ54,$AR54)+Fits!$B$110))^2/(1-(1/Fits!$B$107+(IF(Fits!$B$38="Row",$AQ54,$AR54)-Fits!$B$108)^2/Fits!$B$109)))/(Fits!$B$107-3))*SQRT(1-(1/Fits!$B$107+(IF(Fits!$B$38="Row",$AQ54,$AR54)-Fits!$B$108)^2/Fits!$B$109)))))))</f>
        <v/>
      </c>
      <c r="CC54" s="20" t="str">
        <f aca="false">IF(OR($D54&lt;&gt;"Drift",$AC54="",$A54&lt;IF(Setup!$B$14="",0,Setup!$B$14),Fits!$B$120&lt;3,Fits!$B$123="",Fits!$B$122=0,IF(Fits!$B$50="Row",$AQ54,$AR54)=""),"",IF($BY54=1,IF(OR(Fits!$B$124="",Fits!$B$124=0),"",($AC54-(IF(Fits!$B$50="Row",Fits!$B$44,Fits!$B$47)*IF(Fits!$B$50="Row",$AQ54,$AR54)+Fits!$B$123))/(Fits!$B$124*SQRT(1+(1/Fits!$B$120+(IF(Fits!$B$50="Row",$AQ54,$AR54)-Fits!$B$121)^2/Fits!$B$122)))),IF(OR(Fits!$B$120&lt;4,(1/Fits!$B$120+(IF(Fits!$B$50="Row",$AQ54,$AR54)-Fits!$B$121)^2/Fits!$B$122)&gt;=1),"",IF((Fits!$B$129-($AC54-(IF(Fits!$B$50="Row",Fits!$B$44,Fits!$B$47)*IF(Fits!$B$50="Row",$AQ54,$AR54)+Fits!$B$123))^2/(1-(1/Fits!$B$120+(IF(Fits!$B$50="Row",$AQ54,$AR54)-Fits!$B$121)^2/Fits!$B$122)))&lt;=0,"",($AC54-(IF(Fits!$B$50="Row",Fits!$B$44,Fits!$B$47)*IF(Fits!$B$50="Row",$AQ54,$AR54)+Fits!$B$123))/(SQRT((Fits!$B$129-($AC54-(IF(Fits!$B$50="Row",Fits!$B$44,Fits!$B$47)*IF(Fits!$B$50="Row",$AQ54,$AR54)+Fits!$B$123))^2/(1-(1/Fits!$B$120+(IF(Fits!$B$50="Row",$AQ54,$AR54)-Fits!$B$121)^2/Fits!$B$122)))/(Fits!$B$120-3))*SQRT(1-(1/Fits!$B$120+(IF(Fits!$B$50="Row",$AQ54,$AR54)-Fits!$B$121)^2/Fits!$B$122)))))))</f>
        <v/>
      </c>
      <c r="CD54" s="9" t="str">
        <f aca="false">IF($AU54="","",1)</f>
        <v/>
      </c>
      <c r="CE54" s="24" t="str">
        <f aca="false">IF($AU54="","",$AU54-Fits!$B$133)</f>
        <v/>
      </c>
      <c r="CF54" s="24" t="str">
        <f aca="false">IF($AU54="","",($AV54-(Fits!$B$56*$AU54+Fits!$B$57))-Fits!$B$56*($AU54-Fits!$B$133))</f>
        <v/>
      </c>
      <c r="CG54" s="25" t="str">
        <f aca="false">IF($AU54="","",$AU54^2)</f>
        <v/>
      </c>
      <c r="CH54" s="9" t="str">
        <f aca="false">IF($AW54="","",1)</f>
        <v/>
      </c>
      <c r="CI54" s="24" t="str">
        <f aca="false">IF($AW54="","",$AW54-Fits!$B$153)</f>
        <v/>
      </c>
      <c r="CJ54" s="24" t="str">
        <f aca="false">IF($AW54="","",($AX54-(Fits!$B$63*$AW54+Fits!$B$64))-Fits!$B$63*($AW54-Fits!$B$153))</f>
        <v/>
      </c>
      <c r="CK54" s="25" t="str">
        <f aca="false">IF($AW54="","",$AW54^2)</f>
        <v/>
      </c>
      <c r="CL54" s="26" t="n">
        <f aca="false">IF(OR($Z54="",Fits!$B$55&lt;3,Fits!$B$133="",Fits!$B$134="",Fits!$B$134=0,Fits!$B$136=""),"",SQRT((Fits!$B$136*Fits!$B$56)^2+SUMPRODUCT((Fits!$J$163:$J$175*(Fits!$B$163:$B$175/Fits!$B$55+Fits!$H$163:$H$175*($Z54-Fits!$B$133)/Fits!$B$134))^2)+SUMPRODUCT((Fits!$G$163:$G$175*(($Z54-Fits!$B$133)*Fits!$I$163:$I$175/Fits!$B$134-Fits!$B$163:$B$175*Fits!$B$56/Fits!$B$55))^2)))</f>
        <v>0.253800369804437</v>
      </c>
      <c r="CM54" s="26" t="n">
        <f aca="false">IF($CL54="","",Setup!$B$32*$CL54)</f>
        <v>0.507600739608873</v>
      </c>
      <c r="CN54" s="26" t="n">
        <f aca="false">IF(OR($AE54="",Fits!$B$62&lt;3,Fits!$B$153="",Fits!$B$154="",Fits!$B$154=0,Fits!$B$156=""),"",SQRT((Fits!$B$156*Fits!$B$63)^2+SUMPRODUCT((Fits!$J$183:$J$195*(Fits!$B$183:$B$195/Fits!$B$62+Fits!$H$183:$H$195*($AE54-Fits!$B$153)/Fits!$B$154))^2)+SUMPRODUCT((Fits!$G$183:$G$195*(($AE54-Fits!$B$153)*Fits!$I$183:$I$195/Fits!$B$154-Fits!$B$183:$B$195*Fits!$B$63/Fits!$B$62))^2)))</f>
        <v>0.0377608576338528</v>
      </c>
      <c r="CO54" s="26" t="n">
        <f aca="false">IF($CN54="","",Setup!$B$32*$CN54)</f>
        <v>0.0755217152677055</v>
      </c>
      <c r="CP54" s="9" t="n">
        <f aca="false">IF(OR(NOT(ISNUMBER($BJ54)),$EK54=1),$CP53,IF($BJ54&lt;=Setup!$B$26,$CP53+1,0))</f>
        <v>19</v>
      </c>
      <c r="CQ54" s="9" t="n">
        <f aca="false">IF($BT54="","",$A54)</f>
        <v>49</v>
      </c>
      <c r="CR54" s="9" t="n">
        <f aca="false">IF($BW54="","",$A54)</f>
        <v>49</v>
      </c>
      <c r="CS54" s="9" t="n">
        <f aca="false">IF($B54="","",IF(Setup!$A$37="",0,IF(ISNUMBER(SEARCH(Setup!$A$37,$B54)),37,0)))</f>
        <v>0</v>
      </c>
      <c r="CT54" s="9" t="n">
        <f aca="false">IF($B54="","",IF(Setup!$A$38="",0,IF(ISNUMBER(SEARCH(Setup!$A$38,$B54)),38,0)))</f>
        <v>0</v>
      </c>
      <c r="CU54" s="9" t="n">
        <f aca="false">IF($B54="","",IF(Setup!$A$39="",0,IF(ISNUMBER(SEARCH(Setup!$A$39,$B54)),39,0)))</f>
        <v>0</v>
      </c>
      <c r="CV54" s="9" t="n">
        <f aca="false">IF($B54="","",IF(Setup!$A$40="",0,IF(ISNUMBER(SEARCH(Setup!$A$40,$B54)),40,0)))</f>
        <v>0</v>
      </c>
      <c r="CW54" s="9" t="n">
        <f aca="false">IF($B54="","",IF(Setup!$A$41="",0,IF(ISNUMBER(SEARCH(Setup!$A$41,$B54)),41,0)))</f>
        <v>0</v>
      </c>
      <c r="CX54" s="9" t="n">
        <f aca="false">IF($B54="","",IF(Setup!$A$42="",0,IF(ISNUMBER(SEARCH(Setup!$A$42,$B54)),42,0)))</f>
        <v>0</v>
      </c>
      <c r="CY54" s="9" t="n">
        <f aca="false">IF($B54="","",IF(Setup!$A$43="",0,IF(ISNUMBER(SEARCH(Setup!$A$43,$B54)),43,0)))</f>
        <v>0</v>
      </c>
      <c r="CZ54" s="9" t="n">
        <f aca="false">IF($B54="","",IF(Setup!$A$44="",0,IF(ISNUMBER(SEARCH(Setup!$A$44,$B54)),44,0)))</f>
        <v>0</v>
      </c>
      <c r="DA54" s="9" t="n">
        <f aca="false">IF($B54="","",IF(Setup!$A$45="",0,IF(ISNUMBER(SEARCH(Setup!$A$45,$B54)),45,0)))</f>
        <v>0</v>
      </c>
      <c r="DB54" s="9" t="n">
        <f aca="false">IF($B54="","",IF(Setup!$A$46="",0,IF(ISNUMBER(SEARCH(Setup!$A$46,$B54)),46,0)))</f>
        <v>0</v>
      </c>
      <c r="DC54" s="9" t="n">
        <f aca="false">IF($B54="","",IF(Setup!$A$47="",0,IF(ISNUMBER(SEARCH(Setup!$A$47,$B54)),47,0)))</f>
        <v>0</v>
      </c>
      <c r="DD54" s="9" t="n">
        <f aca="false">IF($B54="","",IF(Setup!$A$48="",0,IF(ISNUMBER(SEARCH(Setup!$A$48,$B54)),48,0)))</f>
        <v>0</v>
      </c>
      <c r="DE54" s="9" t="n">
        <f aca="false">IF($B54="","",IF(Setup!$A$49="",0,IF(ISNUMBER(SEARCH(Setup!$A$49,$B54)),49,0)))</f>
        <v>0</v>
      </c>
      <c r="DF54" s="9" t="n">
        <f aca="false">IF($B54="",NA(),$A54)</f>
        <v>49</v>
      </c>
      <c r="DG54" s="22" t="n">
        <f aca="false">IF($BI54="",NA(),$BI54)</f>
        <v>23.2</v>
      </c>
      <c r="DH54" s="22" t="n">
        <f aca="false">IF($N54="",NA(),$N54)</f>
        <v>24.1</v>
      </c>
      <c r="DI54" s="9" t="e">
        <f aca="false">IF(AND($D54="Drift",$N54&lt;&gt;""),$N54,NA())</f>
        <v>#N/A</v>
      </c>
      <c r="DJ54" s="9" t="str">
        <f aca="false">IF(AND($D54="Drift",$N54&lt;&gt;""),$N54,"")</f>
        <v/>
      </c>
      <c r="DK54" s="9" t="str">
        <f aca="false">IF($DJ54="","",$A54)</f>
        <v/>
      </c>
      <c r="DL54" s="9" t="e">
        <f aca="false">IF($AN54="",NA(),$AM54)</f>
        <v>#N/A</v>
      </c>
      <c r="DM54" s="9" t="e">
        <f aca="false">IF($AN54="",NA(),$AN54)</f>
        <v>#N/A</v>
      </c>
      <c r="DN54" s="24" t="n">
        <f aca="false">IF(AND($D54="Sample",$L54&lt;&gt;""),$L54,NA())</f>
        <v>41.648</v>
      </c>
      <c r="DO54" s="24" t="n">
        <f aca="false">IF(AND($D54="Sample",$L54&lt;&gt;"",Fits!$B$98&lt;&gt;""),Fits!$B$98,NA())</f>
        <v>-6.0577</v>
      </c>
      <c r="DP54" s="9" t="e">
        <f aca="false">IF($AS54="",NA(),$AS54)</f>
        <v>#N/A</v>
      </c>
      <c r="DQ54" s="9" t="e">
        <f aca="false">IF(AND($D54="Drift",$AS54="",$X54&lt;&gt;""),$X54,NA())</f>
        <v>#N/A</v>
      </c>
      <c r="DR54" s="9" t="e">
        <f aca="false">IF(AND($D54="Drift",$Z54&lt;&gt;""),$Z54,NA())</f>
        <v>#N/A</v>
      </c>
      <c r="DS54" s="25" t="n">
        <f aca="false">IF(AND(OR($D54="Sample",$D54="Check"),$AA54&lt;&gt;""),$AA54,NA())</f>
        <v>-4.87184887273629</v>
      </c>
      <c r="DT54" s="25" t="n">
        <f aca="false">IF(OR($B54="",Fits!$B$138=""),NA(),Fits!$B$138)</f>
        <v>1.76</v>
      </c>
      <c r="DU54" s="25" t="n">
        <f aca="false">IF(OR($B54="",Fits!$B$139=""),NA(),Fits!$B$139)</f>
        <v>20.68</v>
      </c>
      <c r="DV54" s="24" t="n">
        <f aca="false">IF($BT54="",NA(),$BT54)</f>
        <v>-1.223</v>
      </c>
      <c r="DW54" s="9" t="e">
        <f aca="false">IF($AP54="",NA(),$AO54)</f>
        <v>#N/A</v>
      </c>
      <c r="DX54" s="9" t="e">
        <f aca="false">IF($AP54="",NA(),$AP54)</f>
        <v>#N/A</v>
      </c>
      <c r="DY54" s="24" t="n">
        <f aca="false">IF(AND($D54="Sample",$P54&lt;&gt;""),$P54,NA())</f>
        <v>195.21</v>
      </c>
      <c r="DZ54" s="24" t="n">
        <f aca="false">IF(AND($D54="Sample",$P54&lt;&gt;"",Fits!$B$105&lt;&gt;""),Fits!$B$105,NA())</f>
        <v>-9.717</v>
      </c>
      <c r="EA54" s="9" t="e">
        <f aca="false">IF($AT54="",NA(),$AT54)</f>
        <v>#N/A</v>
      </c>
      <c r="EB54" s="9" t="e">
        <f aca="false">IF(AND($D54="Drift",$AT54="",$AC54&lt;&gt;""),$AC54,NA())</f>
        <v>#N/A</v>
      </c>
      <c r="EC54" s="9" t="e">
        <f aca="false">IF(AND($D54="Drift",$AE54&lt;&gt;""),$AE54,NA())</f>
        <v>#N/A</v>
      </c>
      <c r="ED54" s="25" t="n">
        <f aca="false">IF(AND(OR($D54="Sample",$D54="Check"),$AF54&lt;&gt;""),$AF54,NA())</f>
        <v>-26.7562586697408</v>
      </c>
      <c r="EE54" s="25" t="n">
        <f aca="false">IF(OR($B54="",Fits!$B$158=""),NA(),Fits!$B$158)</f>
        <v>-40.81</v>
      </c>
      <c r="EF54" s="25" t="n">
        <f aca="false">IF(OR($B54="",Fits!$B$159=""),NA(),Fits!$B$159)</f>
        <v>-20.29</v>
      </c>
      <c r="EG54" s="24" t="n">
        <f aca="false">IF($BW54="",NA(),$BW54)</f>
        <v>-25.338</v>
      </c>
      <c r="EH54" s="9" t="e">
        <f aca="false">IF(AND($EN54=1,ISNUMBER($N54)),$N54,NA())</f>
        <v>#N/A</v>
      </c>
      <c r="EI54" s="9" t="n">
        <f aca="false">IF($B54="","",$A54)</f>
        <v>49</v>
      </c>
      <c r="EJ54" s="9" t="n">
        <f aca="false">IF(OR(AND(ISNUMBER($L54),Fits!$B$97&gt;0,$L54&gt;Fits!$B$97),AND(ISNUMBER($P54),Fits!$B$104&gt;0,$P54&gt;Fits!$B$104)),1,0)</f>
        <v>0</v>
      </c>
      <c r="EK54" s="9" t="n">
        <f aca="false">IF(OR($EJ53=1,$EJ52=1),1,0)</f>
        <v>0</v>
      </c>
      <c r="EL54" s="22" t="n">
        <f aca="false">IF(AND($EK54=0,ISNUMBER($N54)),$N54,$EL53)</f>
        <v>24.1</v>
      </c>
      <c r="EM54" s="9" t="str">
        <f aca="false">IF(AND($EK54=1,ISNUMBER($N54),ISNUMBER($EL54)),$N54-$EL54,"")</f>
        <v/>
      </c>
      <c r="EN54" s="9" t="n">
        <f aca="false">IF(Setup!$B$28="",0,IF(ISNUMBER($EM54),IF($EM54&gt;Setup!$B$28,1,0),0))</f>
        <v>0</v>
      </c>
      <c r="EO54" s="9" t="str">
        <f aca="false">IF($EN54=1,COUNTIF($EN$6:$EN54,1),"")</f>
        <v/>
      </c>
      <c r="EP54" s="9" t="n">
        <f aca="false">IF(AND($EJ53=1,OR($D54="Sample",$D54="Check")),1,0)</f>
        <v>0</v>
      </c>
      <c r="EQ54" s="9" t="str">
        <f aca="false">IF(ISNUMBER($BI54),IF(COUNT($BI$6:$BI54)&lt;=5,$BI54,""),"")</f>
        <v/>
      </c>
      <c r="ER54" s="9" t="n">
        <f aca="false">IF(OR(NOT(ISNUMBER($BJ54)),$EK54=1),$ER53,IF($BJ54&lt;=Setup!$B$26,IF($CP53=0,$A54,$ER53),""))</f>
        <v>27</v>
      </c>
    </row>
    <row r="55" customFormat="false" ht="15" hidden="false" customHeight="false" outlineLevel="0" collapsed="false">
      <c r="A55" s="8" t="n">
        <v>50</v>
      </c>
      <c r="B55" s="8" t="str">
        <f aca="false">IFERROR(INDEX(Raw!$B$2:$B$1001,MATCH($A55,Raw!$A$2:$A$1001,0)),"")</f>
        <v>Ace Drift11</v>
      </c>
      <c r="C55" s="9" t="n">
        <f aca="false">IF($B55="","",MAX($CS55:$DE55))</f>
        <v>43</v>
      </c>
      <c r="D55" s="8" t="str">
        <f aca="false">IF($B55="","",IF($C55=0,"Sample",INDEX(Setup!$B$37:$B$49,$C55-36)))</f>
        <v>Drift</v>
      </c>
      <c r="E55" s="16" t="n">
        <f aca="false">IF($B55="","",IFERROR(IF(INDEX(Raw!$E$2:$E$1001,MATCH($A55,Raw!$A$2:$A$1001,0))=0,"",INDEX(Raw!$E$2:$E$1001,MATCH($A55,Raw!$A$2:$A$1001,0))),""))</f>
        <v>0.424</v>
      </c>
      <c r="F55" s="18"/>
      <c r="G55" s="16" t="n">
        <f aca="false">IF($B55="","",IF($F55&lt;&gt;"",$F55,IF($E55="","",$E55)))</f>
        <v>0.424</v>
      </c>
      <c r="H55" s="9" t="n">
        <f aca="false">IF($B55="","",SUMPRODUCT(MAX((Raw!$A$2:$A$1001=$A55)*(Raw!$R$2:$R$1001="N")*Raw!$D$2:$D$1001)))</f>
        <v>3</v>
      </c>
      <c r="I55" s="9" t="str">
        <f aca="false">IF(OR($H55="",$H55=0),"",$A55&amp;"|N|"&amp;$H55)</f>
        <v>50|N|3</v>
      </c>
      <c r="J55" s="9" t="n">
        <f aca="false">IF($B55="","",SUMPRODUCT(MIN((Raw!$A$2:$A$1001=$A55)*(Raw!$R$2:$R$1001="C")*Raw!$D$2:$D$1001+(1-(Raw!$A$2:$A$1001=$A55)*(Raw!$R$2:$R$1001="C"))*9999)))</f>
        <v>4</v>
      </c>
      <c r="K55" s="9" t="str">
        <f aca="false">IF(OR($J55="",$J55=0,$J55=9999),"",$A55&amp;"|C|"&amp;$J55)</f>
        <v>50|C|4</v>
      </c>
      <c r="L55" s="16" t="n">
        <f aca="false">IF($I55="","",IF(INDEX(Raw!$I$2:$I$1001,MATCH($I55,Raw!$S$2:$S$1001,0))&lt;&gt;0,"",INDEX(Raw!$H$2:$H$1001,MATCH($I55,Raw!$S$2:$S$1001,0))))</f>
        <v>28.692</v>
      </c>
      <c r="M55" s="19" t="n">
        <f aca="false">IF($I55="","",IF(INDEX(Raw!$I$2:$I$1001,MATCH($I55,Raw!$S$2:$S$1001,0))&lt;&gt;0,"",INDEX(Raw!$F$2:$F$1001,MATCH($I55,Raw!$S$2:$S$1001,0))))</f>
        <v>1623</v>
      </c>
      <c r="N55" s="20" t="n">
        <f aca="false">IF($I55="","",IF(INDEX(Raw!$I$2:$I$1001,MATCH($I55,Raw!$S$2:$S$1001,0))&lt;&gt;0,"",INDEX(Raw!$G$2:$G$1001,MATCH($I55,Raw!$S$2:$S$1001,0))))</f>
        <v>24.2</v>
      </c>
      <c r="O55" s="16" t="n">
        <f aca="false">IF($I55="","",IF(INDEX(Raw!$I$2:$I$1001,MATCH($I55,Raw!$S$2:$S$1001,0))&lt;&gt;0,"",INDEX(Raw!$N$2:$N$1001,MATCH($I55,Raw!$S$2:$S$1001,0))))</f>
        <v>-6.161</v>
      </c>
      <c r="P55" s="16" t="n">
        <f aca="false">IF($K55="","",IF(INDEX(Raw!$I$2:$I$1001,MATCH($K55,Raw!$S$2:$S$1001,0))&lt;&gt;0,"",INDEX(Raw!$K$2:$K$1001,MATCH($K55,Raw!$S$2:$S$1001,0))))</f>
        <v>133.29</v>
      </c>
      <c r="Q55" s="19" t="n">
        <f aca="false">IF($K55="","",IF(INDEX(Raw!$I$2:$I$1001,MATCH($K55,Raw!$S$2:$S$1001,0))&lt;&gt;0,"",INDEX(Raw!$J$2:$J$1001,MATCH($K55,Raw!$S$2:$S$1001,0))))</f>
        <v>5892</v>
      </c>
      <c r="R55" s="16" t="n">
        <f aca="false">IF($K55="","",IF(INDEX(Raw!$I$2:$I$1001,MATCH($K55,Raw!$S$2:$S$1001,0))&lt;&gt;0,"",INDEX(Raw!$O$2:$O$1001,MATCH($K55,Raw!$S$2:$S$1001,0))))</f>
        <v>-9.488</v>
      </c>
      <c r="S55" s="21" t="str">
        <f aca="false">IF($B55="","",IF($C55=0,"",IF(INDEX(Setup!$D$37:$D$49,$C55-36)="","",INDEX(Setup!$D$37:$D$49,$C55-36))))</f>
        <v/>
      </c>
      <c r="T55" s="21" t="str">
        <f aca="false">IF($B55="","",IF($C55=0,"",IF(INDEX(Setup!$C$37:$C$49,$C55-36)="","",INDEX(Setup!$C$37:$C$49,$C55-36))))</f>
        <v/>
      </c>
      <c r="U55" s="21" t="n">
        <f aca="false">IF($B55="","",IF($C55=0,"",IF(INDEX(Setup!$F$37:$F$49,$C55-36)="","",INDEX(Setup!$F$37:$F$49,$C55-36))))</f>
        <v>10.36</v>
      </c>
      <c r="V55" s="21" t="n">
        <f aca="false">IF($B55="","",IF($C55=0,"",IF(INDEX(Setup!$E$37:$E$49,$C55-36)="","",INDEX(Setup!$E$37:$E$49,$C55-36))))</f>
        <v>71.09</v>
      </c>
      <c r="W55" s="16" t="n">
        <f aca="false">IF($O55="","",IF(OR(Fits!$C$5&lt;&gt;"Yes",$D55="Blank",$L55&lt;=Fits!$B$6),$O55,($L55*$O55-Fits!$B$6*Fits!$B$7)/($L55-Fits!$B$6)))</f>
        <v>-6.161</v>
      </c>
      <c r="X55" s="16" t="n">
        <f aca="false">IF($W55="","",$W55-Fits!$B$20*($L55-Fits!$B$16))</f>
        <v>-6.161</v>
      </c>
      <c r="Y55" s="22" t="n">
        <f aca="false">IF($W55="","",IF(OR(Fits!$B$38="Row",$BI55=""),$A55,$BI55))</f>
        <v>50</v>
      </c>
      <c r="Z55" s="16" t="n">
        <f aca="false">IF($X55="","",$X55-Fits!$B$39*($Y55-Fits!$B$40))</f>
        <v>-5.92152555008994</v>
      </c>
      <c r="AA55" s="23" t="n">
        <f aca="false">IF(OR($Z55="",Fits!$B$55&lt;2),"",Fits!$B$56*$Z55+Fits!$B$57)</f>
        <v>-5.05175566151045</v>
      </c>
      <c r="AB55" s="16" t="n">
        <f aca="false">IF($R55="","",IF(OR(Fits!$C$9&lt;&gt;"Yes",$D55="Blank",$P55&lt;=Fits!$B$10),$R55,($P55*$R55-Fits!$B$10*Fits!$B$11)/($P55-Fits!$B$10)))</f>
        <v>-9.488</v>
      </c>
      <c r="AC55" s="16" t="n">
        <f aca="false">IF($AB55="","",$AB55-Fits!$B$28*($P55-Fits!$B$24))</f>
        <v>-9.49792259807867</v>
      </c>
      <c r="AD55" s="22" t="n">
        <f aca="false">IF($AB55="","",IF(OR(Fits!$B$50="Row",$BI55=""),$A55,$BI55))</f>
        <v>50</v>
      </c>
      <c r="AE55" s="16" t="n">
        <f aca="false">IF($AC55="","",$AC55-Fits!$B$51*($AD55-Fits!$B$52))</f>
        <v>-9.54008473457612</v>
      </c>
      <c r="AF55" s="23" t="n">
        <f aca="false">IF(OR($AE55="",Fits!$B$62&lt;2),"",Fits!$B$63*$AE55+Fits!$B$64)</f>
        <v>-26.6673234749427</v>
      </c>
      <c r="AG55" s="21" t="n">
        <f aca="false">IF(OR($L55="",Fits!$B$69&lt;3),"",($L55-Fits!$B$71)/Fits!$B$70)</f>
        <v>44.1177392067674</v>
      </c>
      <c r="AH55" s="21" t="n">
        <f aca="false">IF(OR($P55="",Fits!$B$75&lt;3),"",($P55-Fits!$B$77)/Fits!$B$76)</f>
        <v>299.607350135753</v>
      </c>
      <c r="AI55" s="23" t="n">
        <f aca="false">IF(OR($AG55="",$G55="",$G55=0),"",$AG55/($G55*1000)*100)</f>
        <v>10.4051271714074</v>
      </c>
      <c r="AJ55" s="23" t="n">
        <f aca="false">IF(OR($AH55="",$G55="",$G55=0),"",$AH55/($G55*1000)*100)</f>
        <v>70.6621108810737</v>
      </c>
      <c r="AK55" s="23" t="n">
        <f aca="false">IF(OR($AG55="",$AH55="",$AG55&lt;=0),"",($AH55/Setup!$B$52)/($AG55/Setup!$B$53))</f>
        <v>7.91963517839479</v>
      </c>
      <c r="AL55" s="23" t="n">
        <f aca="false">IF(OR($AG55="",$AH55="",$AG55&lt;=0),"",$AH55/$AG55)</f>
        <v>6.79108575195972</v>
      </c>
      <c r="AM55" s="9" t="str">
        <f aca="false">IF($D55="Linearity",IF($L55="","",$L55),"")</f>
        <v/>
      </c>
      <c r="AN55" s="9" t="str">
        <f aca="false">IF($D55="Linearity",IF($W55="","",$W55),"")</f>
        <v/>
      </c>
      <c r="AO55" s="9" t="str">
        <f aca="false">IF($D55="Linearity",IF($P55="","",$P55),"")</f>
        <v/>
      </c>
      <c r="AP55" s="9" t="str">
        <f aca="false">IF($D55="Linearity",IF($AB55="","",$AB55),"")</f>
        <v/>
      </c>
      <c r="AQ55" s="9" t="n">
        <f aca="false">IF($D55="Drift",IF($A55&lt;IF(Setup!$B$14="",0,Setup!$B$14),"",$A55),"")</f>
        <v>50</v>
      </c>
      <c r="AR55" s="22" t="n">
        <f aca="false">IF($D55="Drift",IF($A55&lt;IF(Setup!$B$14="",0,Setup!$B$14),"",IF($BI55="","",$BI55)),"")</f>
        <v>23.3</v>
      </c>
      <c r="AS55" s="24" t="n">
        <f aca="false">IF($D55="Drift",IF($A55&lt;IF(Setup!$B$14="",0,Setup!$B$14),"",IF(OR($X55="",$BX55=1),"",$X55)),"")</f>
        <v>-6.161</v>
      </c>
      <c r="AT55" s="24" t="n">
        <f aca="false">IF($D55="Drift",IF($A55&lt;IF(Setup!$B$14="",0,Setup!$B$14),"",IF(OR($AC55="",$BY55=1),"",$AC55)),"")</f>
        <v>-9.49792259807867</v>
      </c>
      <c r="AU55" s="9" t="str">
        <f aca="false">IF($D55="Anchor",IF(OR($Z55="",$S55=""),"",$Z55),"")</f>
        <v/>
      </c>
      <c r="AV55" s="9" t="str">
        <f aca="false">IF($D55="Anchor",IF(OR($Z55="",$S55=""),"",$S55),"")</f>
        <v/>
      </c>
      <c r="AW55" s="9" t="str">
        <f aca="false">IF($D55="Anchor",IF(OR($AE55="",$T55=""),"",$AE55),"")</f>
        <v/>
      </c>
      <c r="AX55" s="9" t="str">
        <f aca="false">IF($D55="Anchor",IF(OR($AE55="",$T55=""),"",$T55),"")</f>
        <v/>
      </c>
      <c r="AY55" s="9" t="n">
        <f aca="false">IF(OR($D55="Blank",$D55="Exclude",$D55="Sample",$D55="",$G55="",$U55="",$L55=""),"",$G55*1000*$U55/100)</f>
        <v>43.9264</v>
      </c>
      <c r="AZ55" s="24" t="n">
        <f aca="false">IF($AY55="","",$L55)</f>
        <v>28.692</v>
      </c>
      <c r="BA55" s="9" t="n">
        <f aca="false">IF(OR($D55="Blank",$D55="Exclude",$D55="Sample",$D55="",$G55="",$V55="",$P55=""),"",$G55*1000*$V55/100)</f>
        <v>301.4216</v>
      </c>
      <c r="BB55" s="24" t="n">
        <f aca="false">IF($BA55="","",$P55)</f>
        <v>133.29</v>
      </c>
      <c r="BC55" s="9" t="str">
        <f aca="false">IF(AND($D55="Blank",$L55&lt;&gt;""),$O55,"")</f>
        <v/>
      </c>
      <c r="BD55" s="9" t="str">
        <f aca="false">IF($BC55="","",$L55)</f>
        <v/>
      </c>
      <c r="BE55" s="9" t="str">
        <f aca="false">IF(AND($D55="Blank",$P55&lt;&gt;""),$R55,"")</f>
        <v/>
      </c>
      <c r="BF55" s="9" t="str">
        <f aca="false">IF($BE55="","",$P55)</f>
        <v/>
      </c>
      <c r="BG55" s="25" t="n">
        <f aca="false">IF(AND($D55="Drift",$BX55&lt;&gt;1),IF($AA55="","",$AA55),"")</f>
        <v>-5.05175566151045</v>
      </c>
      <c r="BH55" s="25" t="n">
        <f aca="false">IF(AND($D55="Drift",$BY55&lt;&gt;1),IF($AF55="","",$AF55),"")</f>
        <v>-26.6673234749427</v>
      </c>
      <c r="BI55" s="20" t="n">
        <f aca="false">IF($B55="","",IFERROR(INDEX(Raw!$G$2:$G$1001,MATCH($A55&amp;"|N|"&amp;SUMPRODUCT(MAX((Raw!$A$2:$A$1001=$A55)*(Raw!$R$2:$R$1001="N")*(Raw!$I$2:$I$1001=1)*Raw!$D$2:$D$1001)),Raw!$S$2:$S$1001,0)),""))</f>
        <v>23.3</v>
      </c>
      <c r="BJ55" s="21" t="n">
        <f aca="false">IF(OR($BI55="",Fits!$B$85&lt;=0),"",($BI55-Fits!$B$83)/Fits!$B$85)</f>
        <v>0.018018018018018</v>
      </c>
      <c r="BK55" s="9" t="str">
        <f aca="false">IF($AS55="","",IF($A55&gt;=Fits!$B$86,"",$A55))</f>
        <v/>
      </c>
      <c r="BL55" s="9" t="str">
        <f aca="false">IF($BK55="","",$X55)</f>
        <v/>
      </c>
      <c r="BM55" s="9" t="n">
        <f aca="false">IF($AS55="","",IF($A55&lt;Fits!$B$86,"",$A55))</f>
        <v>50</v>
      </c>
      <c r="BN55" s="24" t="n">
        <f aca="false">IF($BM55="","",$X55)</f>
        <v>-6.161</v>
      </c>
      <c r="BO55" s="24" t="n">
        <f aca="false">IF(AND($D55="Drift",$BX55&lt;&gt;1),IF($O55="","",$O55),"")</f>
        <v>-6.161</v>
      </c>
      <c r="BP55" s="24" t="n">
        <f aca="false">IF(AND($D55="Drift",$BX55&lt;&gt;1),IF($W55="","",$W55),"")</f>
        <v>-6.161</v>
      </c>
      <c r="BQ55" s="24" t="n">
        <f aca="false">IF(AND($D55="Drift",$BX55&lt;&gt;1),IF($X55="","",$X55),"")</f>
        <v>-6.161</v>
      </c>
      <c r="BR55" s="24" t="n">
        <f aca="false">IF(AND($D55="Drift",$BX55&lt;&gt;1),IF($Z55="","",$Z55),"")</f>
        <v>-5.92152555008994</v>
      </c>
      <c r="BS55" s="9" t="n">
        <f aca="false">IF(OR($B55="",$H55=""),"",SUMPRODUCT(MIN((Raw!$A$2:$A$1001=$A55)*(Raw!$R$2:$R$1001="N")*(Raw!$I$2:$I$1001=0)*(Raw!$D$2:$D$1001&lt;$H55)*Raw!$D$2:$D$1001+(1-(Raw!$A$2:$A$1001=$A55)*(Raw!$R$2:$R$1001="N")*(Raw!$I$2:$I$1001=0)*(Raw!$D$2:$D$1001&lt;$H55))*9999)))</f>
        <v>1</v>
      </c>
      <c r="BT55" s="16" t="n">
        <f aca="false">IF(OR($BS55="",$BS55=9999,$BS55=0),"",IFERROR(INDEX(Raw!$N$2:$N$1001,MATCH($A55&amp;"|N|"&amp;$BS55,Raw!$S$2:$S$1001,0)),""))</f>
        <v>-1.258</v>
      </c>
      <c r="BU55" s="9" t="n">
        <f aca="false">IF($B55="","",SUMPRODUCT(MIN((Raw!$A$2:$A$1001=$A55)*(Raw!$R$2:$R$1001="C")*(Raw!$I$2:$I$1001=1)*Raw!$D$2:$D$1001+(1-(Raw!$A$2:$A$1001=$A55)*(Raw!$R$2:$R$1001="C")*(Raw!$I$2:$I$1001=1))*9999)))</f>
        <v>5</v>
      </c>
      <c r="BV55" s="9" t="n">
        <f aca="false">IF(OR($BU55="",$BU55=9999),"",SUMPRODUCT(MIN((Raw!$A$2:$A$1001=$A55)*(Raw!$R$2:$R$1001="C")*(Raw!$I$2:$I$1001=0)*(Raw!$D$2:$D$1001&gt;$BU55)*Raw!$D$2:$D$1001+(1-(Raw!$A$2:$A$1001=$A55)*(Raw!$R$2:$R$1001="C")*(Raw!$I$2:$I$1001=0)*(Raw!$D$2:$D$1001&gt;$BU55))*9999)))</f>
        <v>6</v>
      </c>
      <c r="BW55" s="16" t="n">
        <f aca="false">IF(OR($BV55="",$BV55=9999,$BV55=0),"",IFERROR(INDEX(Raw!$O$2:$O$1001,MATCH($A55&amp;"|C|"&amp;$BV55,Raw!$S$2:$S$1001,0)),""))</f>
        <v>-25.373</v>
      </c>
      <c r="BX55" s="9" t="n">
        <f aca="false">IF($B55="","",IF(ISNUMBER(SEARCH(","&amp;$A55&amp;",",","&amp;SUBSTITUTE(Setup!$B$16," ","")&amp;",")),1,0))</f>
        <v>0</v>
      </c>
      <c r="BY55" s="9" t="n">
        <f aca="false">IF($B55="","",IF(ISNUMBER(SEARCH(","&amp;$A55&amp;",",","&amp;SUBSTITUTE(Setup!$B$17," ","")&amp;",")),1,0))</f>
        <v>0</v>
      </c>
      <c r="BZ55" s="22" t="n">
        <f aca="false">IF($AS55="","",IF(Fits!$B$38="Row",$AQ55,IF($AR55="","",$AR55)))</f>
        <v>50</v>
      </c>
      <c r="CA55" s="22" t="n">
        <f aca="false">IF($AT55="","",IF(Fits!$B$50="Row",$AQ55,IF($AR55="","",$AR55)))</f>
        <v>50</v>
      </c>
      <c r="CB55" s="20" t="n">
        <f aca="false">IF(OR($D55&lt;&gt;"Drift",$X55="",$A55&lt;IF(Setup!$B$14="",0,Setup!$B$14),Fits!$B$107&lt;3,Fits!$B$110="",Fits!$B$109=0,IF(Fits!$B$38="Row",$AQ55,$AR55)=""),"",IF($BX55=1,IF(OR(Fits!$B$111="",Fits!$B$111=0),"",($X55-(IF(Fits!$B$38="Row",Fits!$B$32,Fits!$B$35)*IF(Fits!$B$38="Row",$AQ55,$AR55)+Fits!$B$110))/(Fits!$B$111*SQRT(1+(1/Fits!$B$107+(IF(Fits!$B$38="Row",$AQ55,$AR55)-Fits!$B$108)^2/Fits!$B$109)))),IF(OR(Fits!$B$107&lt;4,(1/Fits!$B$107+(IF(Fits!$B$38="Row",$AQ55,$AR55)-Fits!$B$108)^2/Fits!$B$109)&gt;=1),"",IF((Fits!$B$116-($X55-(IF(Fits!$B$38="Row",Fits!$B$32,Fits!$B$35)*IF(Fits!$B$38="Row",$AQ55,$AR55)+Fits!$B$110))^2/(1-(1/Fits!$B$107+(IF(Fits!$B$38="Row",$AQ55,$AR55)-Fits!$B$108)^2/Fits!$B$109)))&lt;=0,"",($X55-(IF(Fits!$B$38="Row",Fits!$B$32,Fits!$B$35)*IF(Fits!$B$38="Row",$AQ55,$AR55)+Fits!$B$110))/(SQRT((Fits!$B$116-($X55-(IF(Fits!$B$38="Row",Fits!$B$32,Fits!$B$35)*IF(Fits!$B$38="Row",$AQ55,$AR55)+Fits!$B$110))^2/(1-(1/Fits!$B$107+(IF(Fits!$B$38="Row",$AQ55,$AR55)-Fits!$B$108)^2/Fits!$B$109)))/(Fits!$B$107-3))*SQRT(1-(1/Fits!$B$107+(IF(Fits!$B$38="Row",$AQ55,$AR55)-Fits!$B$108)^2/Fits!$B$109)))))))</f>
        <v>1.46539098120364</v>
      </c>
      <c r="CC55" s="20" t="n">
        <f aca="false">IF(OR($D55&lt;&gt;"Drift",$AC55="",$A55&lt;IF(Setup!$B$14="",0,Setup!$B$14),Fits!$B$120&lt;3,Fits!$B$123="",Fits!$B$122=0,IF(Fits!$B$50="Row",$AQ55,$AR55)=""),"",IF($BY55=1,IF(OR(Fits!$B$124="",Fits!$B$124=0),"",($AC55-(IF(Fits!$B$50="Row",Fits!$B$44,Fits!$B$47)*IF(Fits!$B$50="Row",$AQ55,$AR55)+Fits!$B$123))/(Fits!$B$124*SQRT(1+(1/Fits!$B$120+(IF(Fits!$B$50="Row",$AQ55,$AR55)-Fits!$B$121)^2/Fits!$B$122)))),IF(OR(Fits!$B$120&lt;4,(1/Fits!$B$120+(IF(Fits!$B$50="Row",$AQ55,$AR55)-Fits!$B$121)^2/Fits!$B$122)&gt;=1),"",IF((Fits!$B$129-($AC55-(IF(Fits!$B$50="Row",Fits!$B$44,Fits!$B$47)*IF(Fits!$B$50="Row",$AQ55,$AR55)+Fits!$B$123))^2/(1-(1/Fits!$B$120+(IF(Fits!$B$50="Row",$AQ55,$AR55)-Fits!$B$121)^2/Fits!$B$122)))&lt;=0,"",($AC55-(IF(Fits!$B$50="Row",Fits!$B$44,Fits!$B$47)*IF(Fits!$B$50="Row",$AQ55,$AR55)+Fits!$B$123))/(SQRT((Fits!$B$129-($AC55-(IF(Fits!$B$50="Row",Fits!$B$44,Fits!$B$47)*IF(Fits!$B$50="Row",$AQ55,$AR55)+Fits!$B$123))^2/(1-(1/Fits!$B$120+(IF(Fits!$B$50="Row",$AQ55,$AR55)-Fits!$B$121)^2/Fits!$B$122)))/(Fits!$B$120-3))*SQRT(1-(1/Fits!$B$120+(IF(Fits!$B$50="Row",$AQ55,$AR55)-Fits!$B$121)^2/Fits!$B$122)))))))</f>
        <v>-1.59571058777449</v>
      </c>
      <c r="CD55" s="9" t="str">
        <f aca="false">IF($AU55="","",1)</f>
        <v/>
      </c>
      <c r="CE55" s="24" t="str">
        <f aca="false">IF($AU55="","",$AU55-Fits!$B$133)</f>
        <v/>
      </c>
      <c r="CF55" s="24" t="str">
        <f aca="false">IF($AU55="","",($AV55-(Fits!$B$56*$AU55+Fits!$B$57))-Fits!$B$56*($AU55-Fits!$B$133))</f>
        <v/>
      </c>
      <c r="CG55" s="25" t="str">
        <f aca="false">IF($AU55="","",$AU55^2)</f>
        <v/>
      </c>
      <c r="CH55" s="9" t="str">
        <f aca="false">IF($AW55="","",1)</f>
        <v/>
      </c>
      <c r="CI55" s="24" t="str">
        <f aca="false">IF($AW55="","",$AW55-Fits!$B$153)</f>
        <v/>
      </c>
      <c r="CJ55" s="24" t="str">
        <f aca="false">IF($AW55="","",($AX55-(Fits!$B$63*$AW55+Fits!$B$64))-Fits!$B$63*($AW55-Fits!$B$153))</f>
        <v/>
      </c>
      <c r="CK55" s="25" t="str">
        <f aca="false">IF($AW55="","",$AW55^2)</f>
        <v/>
      </c>
      <c r="CL55" s="26" t="n">
        <f aca="false">IF(OR($Z55="",Fits!$B$55&lt;3,Fits!$B$133="",Fits!$B$134="",Fits!$B$134=0,Fits!$B$136=""),"",SQRT((Fits!$B$136*Fits!$B$56)^2+SUMPRODUCT((Fits!$J$163:$J$175*(Fits!$B$163:$B$175/Fits!$B$55+Fits!$H$163:$H$175*($Z55-Fits!$B$133)/Fits!$B$134))^2)+SUMPRODUCT((Fits!$G$163:$G$175*(($Z55-Fits!$B$133)*Fits!$I$163:$I$175/Fits!$B$134-Fits!$B$163:$B$175*Fits!$B$56/Fits!$B$55))^2)))</f>
        <v>0.254843975500342</v>
      </c>
      <c r="CM55" s="26" t="n">
        <f aca="false">IF($CL55="","",Setup!$B$32*$CL55)</f>
        <v>0.509687951000684</v>
      </c>
      <c r="CN55" s="26" t="n">
        <f aca="false">IF(OR($AE55="",Fits!$B$62&lt;3,Fits!$B$153="",Fits!$B$154="",Fits!$B$154=0,Fits!$B$156=""),"",SQRT((Fits!$B$156*Fits!$B$63)^2+SUMPRODUCT((Fits!$J$183:$J$195*(Fits!$B$183:$B$195/Fits!$B$62+Fits!$H$183:$H$195*($AE55-Fits!$B$153)/Fits!$B$154))^2)+SUMPRODUCT((Fits!$G$183:$G$195*(($AE55-Fits!$B$153)*Fits!$I$183:$I$195/Fits!$B$154-Fits!$B$183:$B$195*Fits!$B$63/Fits!$B$62))^2)))</f>
        <v>0.0378356788838505</v>
      </c>
      <c r="CO55" s="26" t="n">
        <f aca="false">IF($CN55="","",Setup!$B$32*$CN55)</f>
        <v>0.0756713577677009</v>
      </c>
      <c r="CP55" s="9" t="n">
        <f aca="false">IF(OR(NOT(ISNUMBER($BJ55)),$EK55=1),$CP54,IF($BJ55&lt;=Setup!$B$26,$CP54+1,0))</f>
        <v>20</v>
      </c>
      <c r="CQ55" s="9" t="n">
        <f aca="false">IF($BT55="","",$A55)</f>
        <v>50</v>
      </c>
      <c r="CR55" s="9" t="n">
        <f aca="false">IF($BW55="","",$A55)</f>
        <v>50</v>
      </c>
      <c r="CS55" s="9" t="n">
        <f aca="false">IF($B55="","",IF(Setup!$A$37="",0,IF(ISNUMBER(SEARCH(Setup!$A$37,$B55)),37,0)))</f>
        <v>0</v>
      </c>
      <c r="CT55" s="9" t="n">
        <f aca="false">IF($B55="","",IF(Setup!$A$38="",0,IF(ISNUMBER(SEARCH(Setup!$A$38,$B55)),38,0)))</f>
        <v>0</v>
      </c>
      <c r="CU55" s="9" t="n">
        <f aca="false">IF($B55="","",IF(Setup!$A$39="",0,IF(ISNUMBER(SEARCH(Setup!$A$39,$B55)),39,0)))</f>
        <v>0</v>
      </c>
      <c r="CV55" s="9" t="n">
        <f aca="false">IF($B55="","",IF(Setup!$A$40="",0,IF(ISNUMBER(SEARCH(Setup!$A$40,$B55)),40,0)))</f>
        <v>0</v>
      </c>
      <c r="CW55" s="9" t="n">
        <f aca="false">IF($B55="","",IF(Setup!$A$41="",0,IF(ISNUMBER(SEARCH(Setup!$A$41,$B55)),41,0)))</f>
        <v>0</v>
      </c>
      <c r="CX55" s="9" t="n">
        <f aca="false">IF($B55="","",IF(Setup!$A$42="",0,IF(ISNUMBER(SEARCH(Setup!$A$42,$B55)),42,0)))</f>
        <v>0</v>
      </c>
      <c r="CY55" s="9" t="n">
        <f aca="false">IF($B55="","",IF(Setup!$A$43="",0,IF(ISNUMBER(SEARCH(Setup!$A$43,$B55)),43,0)))</f>
        <v>43</v>
      </c>
      <c r="CZ55" s="9" t="n">
        <f aca="false">IF($B55="","",IF(Setup!$A$44="",0,IF(ISNUMBER(SEARCH(Setup!$A$44,$B55)),44,0)))</f>
        <v>0</v>
      </c>
      <c r="DA55" s="9" t="n">
        <f aca="false">IF($B55="","",IF(Setup!$A$45="",0,IF(ISNUMBER(SEARCH(Setup!$A$45,$B55)),45,0)))</f>
        <v>0</v>
      </c>
      <c r="DB55" s="9" t="n">
        <f aca="false">IF($B55="","",IF(Setup!$A$46="",0,IF(ISNUMBER(SEARCH(Setup!$A$46,$B55)),46,0)))</f>
        <v>0</v>
      </c>
      <c r="DC55" s="9" t="n">
        <f aca="false">IF($B55="","",IF(Setup!$A$47="",0,IF(ISNUMBER(SEARCH(Setup!$A$47,$B55)),47,0)))</f>
        <v>0</v>
      </c>
      <c r="DD55" s="9" t="n">
        <f aca="false">IF($B55="","",IF(Setup!$A$48="",0,IF(ISNUMBER(SEARCH(Setup!$A$48,$B55)),48,0)))</f>
        <v>0</v>
      </c>
      <c r="DE55" s="9" t="n">
        <f aca="false">IF($B55="","",IF(Setup!$A$49="",0,IF(ISNUMBER(SEARCH(Setup!$A$49,$B55)),49,0)))</f>
        <v>0</v>
      </c>
      <c r="DF55" s="9" t="n">
        <f aca="false">IF($B55="",NA(),$A55)</f>
        <v>50</v>
      </c>
      <c r="DG55" s="22" t="n">
        <f aca="false">IF($BI55="",NA(),$BI55)</f>
        <v>23.3</v>
      </c>
      <c r="DH55" s="22" t="n">
        <f aca="false">IF($N55="",NA(),$N55)</f>
        <v>24.2</v>
      </c>
      <c r="DI55" s="22" t="n">
        <f aca="false">IF(AND($D55="Drift",$N55&lt;&gt;""),$N55,NA())</f>
        <v>24.2</v>
      </c>
      <c r="DJ55" s="22" t="n">
        <f aca="false">IF(AND($D55="Drift",$N55&lt;&gt;""),$N55,"")</f>
        <v>24.2</v>
      </c>
      <c r="DK55" s="9" t="n">
        <f aca="false">IF($DJ55="","",$A55)</f>
        <v>50</v>
      </c>
      <c r="DL55" s="9" t="e">
        <f aca="false">IF($AN55="",NA(),$AM55)</f>
        <v>#N/A</v>
      </c>
      <c r="DM55" s="9" t="e">
        <f aca="false">IF($AN55="",NA(),$AN55)</f>
        <v>#N/A</v>
      </c>
      <c r="DN55" s="9" t="e">
        <f aca="false">IF(AND($D55="Sample",$L55&lt;&gt;""),$L55,NA())</f>
        <v>#N/A</v>
      </c>
      <c r="DO55" s="9" t="e">
        <f aca="false">IF(AND($D55="Sample",$L55&lt;&gt;"",Fits!$B$98&lt;&gt;""),Fits!$B$98,NA())</f>
        <v>#N/A</v>
      </c>
      <c r="DP55" s="24" t="n">
        <f aca="false">IF($AS55="",NA(),$AS55)</f>
        <v>-6.161</v>
      </c>
      <c r="DQ55" s="9" t="e">
        <f aca="false">IF(AND($D55="Drift",$AS55="",$X55&lt;&gt;""),$X55,NA())</f>
        <v>#N/A</v>
      </c>
      <c r="DR55" s="24" t="n">
        <f aca="false">IF(AND($D55="Drift",$Z55&lt;&gt;""),$Z55,NA())</f>
        <v>-5.92152555008994</v>
      </c>
      <c r="DS55" s="9" t="e">
        <f aca="false">IF(AND(OR($D55="Sample",$D55="Check"),$AA55&lt;&gt;""),$AA55,NA())</f>
        <v>#N/A</v>
      </c>
      <c r="DT55" s="25" t="n">
        <f aca="false">IF(OR($B55="",Fits!$B$138=""),NA(),Fits!$B$138)</f>
        <v>1.76</v>
      </c>
      <c r="DU55" s="25" t="n">
        <f aca="false">IF(OR($B55="",Fits!$B$139=""),NA(),Fits!$B$139)</f>
        <v>20.68</v>
      </c>
      <c r="DV55" s="24" t="n">
        <f aca="false">IF($BT55="",NA(),$BT55)</f>
        <v>-1.258</v>
      </c>
      <c r="DW55" s="9" t="e">
        <f aca="false">IF($AP55="",NA(),$AO55)</f>
        <v>#N/A</v>
      </c>
      <c r="DX55" s="9" t="e">
        <f aca="false">IF($AP55="",NA(),$AP55)</f>
        <v>#N/A</v>
      </c>
      <c r="DY55" s="9" t="e">
        <f aca="false">IF(AND($D55="Sample",$P55&lt;&gt;""),$P55,NA())</f>
        <v>#N/A</v>
      </c>
      <c r="DZ55" s="9" t="e">
        <f aca="false">IF(AND($D55="Sample",$P55&lt;&gt;"",Fits!$B$105&lt;&gt;""),Fits!$B$105,NA())</f>
        <v>#N/A</v>
      </c>
      <c r="EA55" s="24" t="n">
        <f aca="false">IF($AT55="",NA(),$AT55)</f>
        <v>-9.49792259807867</v>
      </c>
      <c r="EB55" s="9" t="e">
        <f aca="false">IF(AND($D55="Drift",$AT55="",$AC55&lt;&gt;""),$AC55,NA())</f>
        <v>#N/A</v>
      </c>
      <c r="EC55" s="24" t="n">
        <f aca="false">IF(AND($D55="Drift",$AE55&lt;&gt;""),$AE55,NA())</f>
        <v>-9.54008473457612</v>
      </c>
      <c r="ED55" s="9" t="e">
        <f aca="false">IF(AND(OR($D55="Sample",$D55="Check"),$AF55&lt;&gt;""),$AF55,NA())</f>
        <v>#N/A</v>
      </c>
      <c r="EE55" s="25" t="n">
        <f aca="false">IF(OR($B55="",Fits!$B$158=""),NA(),Fits!$B$158)</f>
        <v>-40.81</v>
      </c>
      <c r="EF55" s="25" t="n">
        <f aca="false">IF(OR($B55="",Fits!$B$159=""),NA(),Fits!$B$159)</f>
        <v>-20.29</v>
      </c>
      <c r="EG55" s="24" t="n">
        <f aca="false">IF($BW55="",NA(),$BW55)</f>
        <v>-25.373</v>
      </c>
      <c r="EH55" s="9" t="e">
        <f aca="false">IF(AND($EN55=1,ISNUMBER($N55)),$N55,NA())</f>
        <v>#N/A</v>
      </c>
      <c r="EI55" s="9" t="n">
        <f aca="false">IF($B55="","",$A55)</f>
        <v>50</v>
      </c>
      <c r="EJ55" s="9" t="n">
        <f aca="false">IF(OR(AND(ISNUMBER($L55),Fits!$B$97&gt;0,$L55&gt;Fits!$B$97),AND(ISNUMBER($P55),Fits!$B$104&gt;0,$P55&gt;Fits!$B$104)),1,0)</f>
        <v>0</v>
      </c>
      <c r="EK55" s="9" t="n">
        <f aca="false">IF(OR($EJ54=1,$EJ53=1),1,0)</f>
        <v>0</v>
      </c>
      <c r="EL55" s="22" t="n">
        <f aca="false">IF(AND($EK55=0,ISNUMBER($N55)),$N55,$EL54)</f>
        <v>24.2</v>
      </c>
      <c r="EM55" s="9" t="str">
        <f aca="false">IF(AND($EK55=1,ISNUMBER($N55),ISNUMBER($EL55)),$N55-$EL55,"")</f>
        <v/>
      </c>
      <c r="EN55" s="9" t="n">
        <f aca="false">IF(Setup!$B$28="",0,IF(ISNUMBER($EM55),IF($EM55&gt;Setup!$B$28,1,0),0))</f>
        <v>0</v>
      </c>
      <c r="EO55" s="9" t="str">
        <f aca="false">IF($EN55=1,COUNTIF($EN$6:$EN55,1),"")</f>
        <v/>
      </c>
      <c r="EP55" s="9" t="n">
        <f aca="false">IF(AND($EJ54=1,OR($D55="Sample",$D55="Check")),1,0)</f>
        <v>0</v>
      </c>
      <c r="EQ55" s="9" t="str">
        <f aca="false">IF(ISNUMBER($BI55),IF(COUNT($BI$6:$BI55)&lt;=5,$BI55,""),"")</f>
        <v/>
      </c>
      <c r="ER55" s="9" t="n">
        <f aca="false">IF(OR(NOT(ISNUMBER($BJ55)),$EK55=1),$ER54,IF($BJ55&lt;=Setup!$B$26,IF($CP54=0,$A55,$ER54),""))</f>
        <v>27</v>
      </c>
    </row>
    <row r="56" customFormat="false" ht="15" hidden="false" customHeight="false" outlineLevel="0" collapsed="false">
      <c r="A56" s="8" t="n">
        <v>51</v>
      </c>
      <c r="B56" s="8" t="str">
        <f aca="false">IFERROR(INDEX(Raw!$B$2:$B$1001,MATCH($A56,Raw!$A$2:$A$1001,0)),"")</f>
        <v>Random</v>
      </c>
      <c r="C56" s="9" t="n">
        <f aca="false">IF($B56="","",MAX($CS56:$DE56))</f>
        <v>0</v>
      </c>
      <c r="D56" s="8" t="str">
        <f aca="false">IF($B56="","",IF($C56=0,"Sample",INDEX(Setup!$B$37:$B$49,$C56-36)))</f>
        <v>Sample</v>
      </c>
      <c r="E56" s="16" t="str">
        <f aca="false">IF($B56="","",IFERROR(IF(INDEX(Raw!$E$2:$E$1001,MATCH($A56,Raw!$A$2:$A$1001,0))=0,"",INDEX(Raw!$E$2:$E$1001,MATCH($A56,Raw!$A$2:$A$1001,0))),""))</f>
        <v/>
      </c>
      <c r="F56" s="18"/>
      <c r="G56" s="16" t="str">
        <f aca="false">IF($B56="","",IF($F56&lt;&gt;"",$F56,IF($E56="","",$E56)))</f>
        <v/>
      </c>
      <c r="H56" s="9" t="n">
        <f aca="false">IF($B56="","",SUMPRODUCT(MAX((Raw!$A$2:$A$1001=$A56)*(Raw!$R$2:$R$1001="N")*Raw!$D$2:$D$1001)))</f>
        <v>3</v>
      </c>
      <c r="I56" s="9" t="str">
        <f aca="false">IF(OR($H56="",$H56=0),"",$A56&amp;"|N|"&amp;$H56)</f>
        <v>51|N|3</v>
      </c>
      <c r="J56" s="9" t="n">
        <f aca="false">IF($B56="","",SUMPRODUCT(MIN((Raw!$A$2:$A$1001=$A56)*(Raw!$R$2:$R$1001="C")*Raw!$D$2:$D$1001+(1-(Raw!$A$2:$A$1001=$A56)*(Raw!$R$2:$R$1001="C"))*9999)))</f>
        <v>4</v>
      </c>
      <c r="K56" s="9" t="str">
        <f aca="false">IF(OR($J56="",$J56=0,$J56=9999),"",$A56&amp;"|C|"&amp;$J56)</f>
        <v>51|C|4</v>
      </c>
      <c r="L56" s="16" t="n">
        <f aca="false">IF($I56="","",IF(INDEX(Raw!$I$2:$I$1001,MATCH($I56,Raw!$S$2:$S$1001,0))&lt;&gt;0,"",INDEX(Raw!$H$2:$H$1001,MATCH($I56,Raw!$S$2:$S$1001,0))))</f>
        <v>16.082</v>
      </c>
      <c r="M56" s="19" t="n">
        <f aca="false">IF($I56="","",IF(INDEX(Raw!$I$2:$I$1001,MATCH($I56,Raw!$S$2:$S$1001,0))&lt;&gt;0,"",INDEX(Raw!$F$2:$F$1001,MATCH($I56,Raw!$S$2:$S$1001,0))))</f>
        <v>855</v>
      </c>
      <c r="N56" s="20" t="n">
        <f aca="false">IF($I56="","",IF(INDEX(Raw!$I$2:$I$1001,MATCH($I56,Raw!$S$2:$S$1001,0))&lt;&gt;0,"",INDEX(Raw!$G$2:$G$1001,MATCH($I56,Raw!$S$2:$S$1001,0))))</f>
        <v>24.1</v>
      </c>
      <c r="O56" s="16" t="n">
        <f aca="false">IF($I56="","",IF(INDEX(Raw!$I$2:$I$1001,MATCH($I56,Raw!$S$2:$S$1001,0))&lt;&gt;0,"",INDEX(Raw!$N$2:$N$1001,MATCH($I56,Raw!$S$2:$S$1001,0))))</f>
        <v>-6.109</v>
      </c>
      <c r="P56" s="16" t="n">
        <f aca="false">IF($K56="","",IF(INDEX(Raw!$I$2:$I$1001,MATCH($K56,Raw!$S$2:$S$1001,0))&lt;&gt;0,"",INDEX(Raw!$K$2:$K$1001,MATCH($K56,Raw!$S$2:$S$1001,0))))</f>
        <v>71.442</v>
      </c>
      <c r="Q56" s="19" t="n">
        <f aca="false">IF($K56="","",IF(INDEX(Raw!$I$2:$I$1001,MATCH($K56,Raw!$S$2:$S$1001,0))&lt;&gt;0,"",INDEX(Raw!$J$2:$J$1001,MATCH($K56,Raw!$S$2:$S$1001,0))))</f>
        <v>3202</v>
      </c>
      <c r="R56" s="16" t="n">
        <f aca="false">IF($K56="","",IF(INDEX(Raw!$I$2:$I$1001,MATCH($K56,Raw!$S$2:$S$1001,0))&lt;&gt;0,"",INDEX(Raw!$O$2:$O$1001,MATCH($K56,Raw!$S$2:$S$1001,0))))</f>
        <v>-9.619</v>
      </c>
      <c r="S56" s="21" t="str">
        <f aca="false">IF($B56="","",IF($C56=0,"",IF(INDEX(Setup!$D$37:$D$49,$C56-36)="","",INDEX(Setup!$D$37:$D$49,$C56-36))))</f>
        <v/>
      </c>
      <c r="T56" s="21" t="str">
        <f aca="false">IF($B56="","",IF($C56=0,"",IF(INDEX(Setup!$C$37:$C$49,$C56-36)="","",INDEX(Setup!$C$37:$C$49,$C56-36))))</f>
        <v/>
      </c>
      <c r="U56" s="21" t="str">
        <f aca="false">IF($B56="","",IF($C56=0,"",IF(INDEX(Setup!$F$37:$F$49,$C56-36)="","",INDEX(Setup!$F$37:$F$49,$C56-36))))</f>
        <v/>
      </c>
      <c r="V56" s="21" t="str">
        <f aca="false">IF($B56="","",IF($C56=0,"",IF(INDEX(Setup!$E$37:$E$49,$C56-36)="","",INDEX(Setup!$E$37:$E$49,$C56-36))))</f>
        <v/>
      </c>
      <c r="W56" s="16" t="n">
        <f aca="false">IF($O56="","",IF(OR(Fits!$C$5&lt;&gt;"Yes",$D56="Blank",$L56&lt;=Fits!$B$6),$O56,($L56*$O56-Fits!$B$6*Fits!$B$7)/($L56-Fits!$B$6)))</f>
        <v>-6.109</v>
      </c>
      <c r="X56" s="16" t="n">
        <f aca="false">IF($W56="","",$W56-Fits!$B$20*($L56-Fits!$B$16))</f>
        <v>-6.109</v>
      </c>
      <c r="Y56" s="22" t="n">
        <f aca="false">IF($W56="","",IF(OR(Fits!$B$38="Row",$BI56=""),$A56,$BI56))</f>
        <v>51</v>
      </c>
      <c r="Z56" s="16" t="n">
        <f aca="false">IF($X56="","",$X56-Fits!$B$39*($Y56-Fits!$B$40))</f>
        <v>-5.85477120009548</v>
      </c>
      <c r="AA56" s="23" t="n">
        <f aca="false">IF(OR($Z56="",Fits!$B$55&lt;2),"",Fits!$B$56*$Z56+Fits!$B$57)</f>
        <v>-4.98322579646769</v>
      </c>
      <c r="AB56" s="16" t="n">
        <f aca="false">IF($R56="","",IF(OR(Fits!$C$9&lt;&gt;"Yes",$D56="Blank",$P56&lt;=Fits!$B$10),$R56,($P56*$R56-Fits!$B$10*Fits!$B$11)/($P56-Fits!$B$10)))</f>
        <v>-9.619</v>
      </c>
      <c r="AC56" s="16" t="n">
        <f aca="false">IF($AB56="","",$AB56-Fits!$B$28*($P56-Fits!$B$24))</f>
        <v>-9.52175541987742</v>
      </c>
      <c r="AD56" s="22" t="n">
        <f aca="false">IF($AB56="","",IF(OR(Fits!$B$50="Row",$BI56=""),$A56,$BI56))</f>
        <v>51</v>
      </c>
      <c r="AE56" s="16" t="n">
        <f aca="false">IF($AC56="","",$AC56-Fits!$B$51*($AD56-Fits!$B$52))</f>
        <v>-9.56651522355244</v>
      </c>
      <c r="AF56" s="23" t="n">
        <f aca="false">IF(OR($AE56="",Fits!$B$62&lt;2),"",Fits!$B$63*$AE56+Fits!$B$64)</f>
        <v>-26.6941279709507</v>
      </c>
      <c r="AG56" s="21" t="n">
        <f aca="false">IF(OR($L56="",Fits!$B$69&lt;3),"",($L56-Fits!$B$71)/Fits!$B$70)</f>
        <v>23.287174550888</v>
      </c>
      <c r="AH56" s="21" t="n">
        <f aca="false">IF(OR($P56="",Fits!$B$75&lt;3),"",($P56-Fits!$B$77)/Fits!$B$76)</f>
        <v>158.739021984117</v>
      </c>
      <c r="AI56" s="23" t="str">
        <f aca="false">IF(OR($AG56="",$G56="",$G56=0),"",$AG56/($G56*1000)*100)</f>
        <v/>
      </c>
      <c r="AJ56" s="23" t="str">
        <f aca="false">IF(OR($AH56="",$G56="",$G56=0),"",$AH56/($G56*1000)*100)</f>
        <v/>
      </c>
      <c r="AK56" s="23" t="n">
        <f aca="false">IF(OR($AG56="",$AH56="",$AG56&lt;=0),"",($AH56/Setup!$B$52)/($AG56/Setup!$B$53))</f>
        <v>7.94937278075004</v>
      </c>
      <c r="AL56" s="23" t="n">
        <f aca="false">IF(OR($AG56="",$AH56="",$AG56&lt;=0),"",$AH56/$AG56)</f>
        <v>6.81658574067172</v>
      </c>
      <c r="AM56" s="9" t="str">
        <f aca="false">IF($D56="Linearity",IF($L56="","",$L56),"")</f>
        <v/>
      </c>
      <c r="AN56" s="9" t="str">
        <f aca="false">IF($D56="Linearity",IF($W56="","",$W56),"")</f>
        <v/>
      </c>
      <c r="AO56" s="9" t="str">
        <f aca="false">IF($D56="Linearity",IF($P56="","",$P56),"")</f>
        <v/>
      </c>
      <c r="AP56" s="9" t="str">
        <f aca="false">IF($D56="Linearity",IF($AB56="","",$AB56),"")</f>
        <v/>
      </c>
      <c r="AQ56" s="9" t="str">
        <f aca="false">IF($D56="Drift",IF($A56&lt;IF(Setup!$B$14="",0,Setup!$B$14),"",$A56),"")</f>
        <v/>
      </c>
      <c r="AR56" s="9" t="str">
        <f aca="false">IF($D56="Drift",IF($A56&lt;IF(Setup!$B$14="",0,Setup!$B$14),"",IF($BI56="","",$BI56)),"")</f>
        <v/>
      </c>
      <c r="AS56" s="9" t="str">
        <f aca="false">IF($D56="Drift",IF($A56&lt;IF(Setup!$B$14="",0,Setup!$B$14),"",IF(OR($X56="",$BX56=1),"",$X56)),"")</f>
        <v/>
      </c>
      <c r="AT56" s="9" t="str">
        <f aca="false">IF($D56="Drift",IF($A56&lt;IF(Setup!$B$14="",0,Setup!$B$14),"",IF(OR($AC56="",$BY56=1),"",$AC56)),"")</f>
        <v/>
      </c>
      <c r="AU56" s="9" t="str">
        <f aca="false">IF($D56="Anchor",IF(OR($Z56="",$S56=""),"",$Z56),"")</f>
        <v/>
      </c>
      <c r="AV56" s="9" t="str">
        <f aca="false">IF($D56="Anchor",IF(OR($Z56="",$S56=""),"",$S56),"")</f>
        <v/>
      </c>
      <c r="AW56" s="9" t="str">
        <f aca="false">IF($D56="Anchor",IF(OR($AE56="",$T56=""),"",$AE56),"")</f>
        <v/>
      </c>
      <c r="AX56" s="9" t="str">
        <f aca="false">IF($D56="Anchor",IF(OR($AE56="",$T56=""),"",$T56),"")</f>
        <v/>
      </c>
      <c r="AY56" s="9" t="str">
        <f aca="false">IF(OR($D56="Blank",$D56="Exclude",$D56="Sample",$D56="",$G56="",$U56="",$L56=""),"",$G56*1000*$U56/100)</f>
        <v/>
      </c>
      <c r="AZ56" s="9" t="str">
        <f aca="false">IF($AY56="","",$L56)</f>
        <v/>
      </c>
      <c r="BA56" s="9" t="str">
        <f aca="false">IF(OR($D56="Blank",$D56="Exclude",$D56="Sample",$D56="",$G56="",$V56="",$P56=""),"",$G56*1000*$V56/100)</f>
        <v/>
      </c>
      <c r="BB56" s="9" t="str">
        <f aca="false">IF($BA56="","",$P56)</f>
        <v/>
      </c>
      <c r="BC56" s="9" t="str">
        <f aca="false">IF(AND($D56="Blank",$L56&lt;&gt;""),$O56,"")</f>
        <v/>
      </c>
      <c r="BD56" s="9" t="str">
        <f aca="false">IF($BC56="","",$L56)</f>
        <v/>
      </c>
      <c r="BE56" s="9" t="str">
        <f aca="false">IF(AND($D56="Blank",$P56&lt;&gt;""),$R56,"")</f>
        <v/>
      </c>
      <c r="BF56" s="9" t="str">
        <f aca="false">IF($BE56="","",$P56)</f>
        <v/>
      </c>
      <c r="BG56" s="9" t="str">
        <f aca="false">IF(AND($D56="Drift",$BX56&lt;&gt;1),IF($AA56="","",$AA56),"")</f>
        <v/>
      </c>
      <c r="BH56" s="9" t="str">
        <f aca="false">IF(AND($D56="Drift",$BY56&lt;&gt;1),IF($AF56="","",$AF56),"")</f>
        <v/>
      </c>
      <c r="BI56" s="20" t="n">
        <f aca="false">IF($B56="","",IFERROR(INDEX(Raw!$G$2:$G$1001,MATCH($A56&amp;"|N|"&amp;SUMPRODUCT(MAX((Raw!$A$2:$A$1001=$A56)*(Raw!$R$2:$R$1001="N")*(Raw!$I$2:$I$1001=1)*Raw!$D$2:$D$1001)),Raw!$S$2:$S$1001,0)),""))</f>
        <v>23.3</v>
      </c>
      <c r="BJ56" s="21" t="n">
        <f aca="false">IF(OR($BI56="",Fits!$B$85&lt;=0),"",($BI56-Fits!$B$83)/Fits!$B$85)</f>
        <v>0.018018018018018</v>
      </c>
      <c r="BK56" s="9" t="str">
        <f aca="false">IF($AS56="","",IF($A56&gt;=Fits!$B$86,"",$A56))</f>
        <v/>
      </c>
      <c r="BL56" s="9" t="str">
        <f aca="false">IF($BK56="","",$X56)</f>
        <v/>
      </c>
      <c r="BM56" s="9" t="str">
        <f aca="false">IF($AS56="","",IF($A56&lt;Fits!$B$86,"",$A56))</f>
        <v/>
      </c>
      <c r="BN56" s="9" t="str">
        <f aca="false">IF($BM56="","",$X56)</f>
        <v/>
      </c>
      <c r="BO56" s="9" t="str">
        <f aca="false">IF(AND($D56="Drift",$BX56&lt;&gt;1),IF($O56="","",$O56),"")</f>
        <v/>
      </c>
      <c r="BP56" s="9" t="str">
        <f aca="false">IF(AND($D56="Drift",$BX56&lt;&gt;1),IF($W56="","",$W56),"")</f>
        <v/>
      </c>
      <c r="BQ56" s="9" t="str">
        <f aca="false">IF(AND($D56="Drift",$BX56&lt;&gt;1),IF($X56="","",$X56),"")</f>
        <v/>
      </c>
      <c r="BR56" s="9" t="str">
        <f aca="false">IF(AND($D56="Drift",$BX56&lt;&gt;1),IF($Z56="","",$Z56),"")</f>
        <v/>
      </c>
      <c r="BS56" s="9" t="n">
        <f aca="false">IF(OR($B56="",$H56=""),"",SUMPRODUCT(MIN((Raw!$A$2:$A$1001=$A56)*(Raw!$R$2:$R$1001="N")*(Raw!$I$2:$I$1001=0)*(Raw!$D$2:$D$1001&lt;$H56)*Raw!$D$2:$D$1001+(1-(Raw!$A$2:$A$1001=$A56)*(Raw!$R$2:$R$1001="N")*(Raw!$I$2:$I$1001=0)*(Raw!$D$2:$D$1001&lt;$H56))*9999)))</f>
        <v>1</v>
      </c>
      <c r="BT56" s="16" t="n">
        <f aca="false">IF(OR($BS56="",$BS56=9999,$BS56=0),"",IFERROR(INDEX(Raw!$N$2:$N$1001,MATCH($A56&amp;"|N|"&amp;$BS56,Raw!$S$2:$S$1001,0)),""))</f>
        <v>-1.183</v>
      </c>
      <c r="BU56" s="9" t="n">
        <f aca="false">IF($B56="","",SUMPRODUCT(MIN((Raw!$A$2:$A$1001=$A56)*(Raw!$R$2:$R$1001="C")*(Raw!$I$2:$I$1001=1)*Raw!$D$2:$D$1001+(1-(Raw!$A$2:$A$1001=$A56)*(Raw!$R$2:$R$1001="C")*(Raw!$I$2:$I$1001=1))*9999)))</f>
        <v>5</v>
      </c>
      <c r="BV56" s="9" t="n">
        <f aca="false">IF(OR($BU56="",$BU56=9999),"",SUMPRODUCT(MIN((Raw!$A$2:$A$1001=$A56)*(Raw!$R$2:$R$1001="C")*(Raw!$I$2:$I$1001=0)*(Raw!$D$2:$D$1001&gt;$BU56)*Raw!$D$2:$D$1001+(1-(Raw!$A$2:$A$1001=$A56)*(Raw!$R$2:$R$1001="C")*(Raw!$I$2:$I$1001=0)*(Raw!$D$2:$D$1001&gt;$BU56))*9999)))</f>
        <v>6</v>
      </c>
      <c r="BW56" s="16" t="n">
        <f aca="false">IF(OR($BV56="",$BV56=9999,$BV56=0),"",IFERROR(INDEX(Raw!$O$2:$O$1001,MATCH($A56&amp;"|C|"&amp;$BV56,Raw!$S$2:$S$1001,0)),""))</f>
        <v>-25.407</v>
      </c>
      <c r="BX56" s="9" t="n">
        <f aca="false">IF($B56="","",IF(ISNUMBER(SEARCH(","&amp;$A56&amp;",",","&amp;SUBSTITUTE(Setup!$B$16," ","")&amp;",")),1,0))</f>
        <v>0</v>
      </c>
      <c r="BY56" s="9" t="n">
        <f aca="false">IF($B56="","",IF(ISNUMBER(SEARCH(","&amp;$A56&amp;",",","&amp;SUBSTITUTE(Setup!$B$17," ","")&amp;",")),1,0))</f>
        <v>0</v>
      </c>
      <c r="BZ56" s="22" t="str">
        <f aca="false">IF($AS56="","",IF(Fits!$B$38="Row",$AQ56,IF($AR56="","",$AR56)))</f>
        <v/>
      </c>
      <c r="CA56" s="22" t="str">
        <f aca="false">IF($AT56="","",IF(Fits!$B$50="Row",$AQ56,IF($AR56="","",$AR56)))</f>
        <v/>
      </c>
      <c r="CB56" s="20" t="str">
        <f aca="false">IF(OR($D56&lt;&gt;"Drift",$X56="",$A56&lt;IF(Setup!$B$14="",0,Setup!$B$14),Fits!$B$107&lt;3,Fits!$B$110="",Fits!$B$109=0,IF(Fits!$B$38="Row",$AQ56,$AR56)=""),"",IF($BX56=1,IF(OR(Fits!$B$111="",Fits!$B$111=0),"",($X56-(IF(Fits!$B$38="Row",Fits!$B$32,Fits!$B$35)*IF(Fits!$B$38="Row",$AQ56,$AR56)+Fits!$B$110))/(Fits!$B$111*SQRT(1+(1/Fits!$B$107+(IF(Fits!$B$38="Row",$AQ56,$AR56)-Fits!$B$108)^2/Fits!$B$109)))),IF(OR(Fits!$B$107&lt;4,(1/Fits!$B$107+(IF(Fits!$B$38="Row",$AQ56,$AR56)-Fits!$B$108)^2/Fits!$B$109)&gt;=1),"",IF((Fits!$B$116-($X56-(IF(Fits!$B$38="Row",Fits!$B$32,Fits!$B$35)*IF(Fits!$B$38="Row",$AQ56,$AR56)+Fits!$B$110))^2/(1-(1/Fits!$B$107+(IF(Fits!$B$38="Row",$AQ56,$AR56)-Fits!$B$108)^2/Fits!$B$109)))&lt;=0,"",($X56-(IF(Fits!$B$38="Row",Fits!$B$32,Fits!$B$35)*IF(Fits!$B$38="Row",$AQ56,$AR56)+Fits!$B$110))/(SQRT((Fits!$B$116-($X56-(IF(Fits!$B$38="Row",Fits!$B$32,Fits!$B$35)*IF(Fits!$B$38="Row",$AQ56,$AR56)+Fits!$B$110))^2/(1-(1/Fits!$B$107+(IF(Fits!$B$38="Row",$AQ56,$AR56)-Fits!$B$108)^2/Fits!$B$109)))/(Fits!$B$107-3))*SQRT(1-(1/Fits!$B$107+(IF(Fits!$B$38="Row",$AQ56,$AR56)-Fits!$B$108)^2/Fits!$B$109)))))))</f>
        <v/>
      </c>
      <c r="CC56" s="20" t="str">
        <f aca="false">IF(OR($D56&lt;&gt;"Drift",$AC56="",$A56&lt;IF(Setup!$B$14="",0,Setup!$B$14),Fits!$B$120&lt;3,Fits!$B$123="",Fits!$B$122=0,IF(Fits!$B$50="Row",$AQ56,$AR56)=""),"",IF($BY56=1,IF(OR(Fits!$B$124="",Fits!$B$124=0),"",($AC56-(IF(Fits!$B$50="Row",Fits!$B$44,Fits!$B$47)*IF(Fits!$B$50="Row",$AQ56,$AR56)+Fits!$B$123))/(Fits!$B$124*SQRT(1+(1/Fits!$B$120+(IF(Fits!$B$50="Row",$AQ56,$AR56)-Fits!$B$121)^2/Fits!$B$122)))),IF(OR(Fits!$B$120&lt;4,(1/Fits!$B$120+(IF(Fits!$B$50="Row",$AQ56,$AR56)-Fits!$B$121)^2/Fits!$B$122)&gt;=1),"",IF((Fits!$B$129-($AC56-(IF(Fits!$B$50="Row",Fits!$B$44,Fits!$B$47)*IF(Fits!$B$50="Row",$AQ56,$AR56)+Fits!$B$123))^2/(1-(1/Fits!$B$120+(IF(Fits!$B$50="Row",$AQ56,$AR56)-Fits!$B$121)^2/Fits!$B$122)))&lt;=0,"",($AC56-(IF(Fits!$B$50="Row",Fits!$B$44,Fits!$B$47)*IF(Fits!$B$50="Row",$AQ56,$AR56)+Fits!$B$123))/(SQRT((Fits!$B$129-($AC56-(IF(Fits!$B$50="Row",Fits!$B$44,Fits!$B$47)*IF(Fits!$B$50="Row",$AQ56,$AR56)+Fits!$B$123))^2/(1-(1/Fits!$B$120+(IF(Fits!$B$50="Row",$AQ56,$AR56)-Fits!$B$121)^2/Fits!$B$122)))/(Fits!$B$120-3))*SQRT(1-(1/Fits!$B$120+(IF(Fits!$B$50="Row",$AQ56,$AR56)-Fits!$B$121)^2/Fits!$B$122)))))))</f>
        <v/>
      </c>
      <c r="CD56" s="9" t="str">
        <f aca="false">IF($AU56="","",1)</f>
        <v/>
      </c>
      <c r="CE56" s="24" t="str">
        <f aca="false">IF($AU56="","",$AU56-Fits!$B$133)</f>
        <v/>
      </c>
      <c r="CF56" s="24" t="str">
        <f aca="false">IF($AU56="","",($AV56-(Fits!$B$56*$AU56+Fits!$B$57))-Fits!$B$56*($AU56-Fits!$B$133))</f>
        <v/>
      </c>
      <c r="CG56" s="25" t="str">
        <f aca="false">IF($AU56="","",$AU56^2)</f>
        <v/>
      </c>
      <c r="CH56" s="9" t="str">
        <f aca="false">IF($AW56="","",1)</f>
        <v/>
      </c>
      <c r="CI56" s="24" t="str">
        <f aca="false">IF($AW56="","",$AW56-Fits!$B$153)</f>
        <v/>
      </c>
      <c r="CJ56" s="24" t="str">
        <f aca="false">IF($AW56="","",($AX56-(Fits!$B$63*$AW56+Fits!$B$64))-Fits!$B$63*($AW56-Fits!$B$153))</f>
        <v/>
      </c>
      <c r="CK56" s="25" t="str">
        <f aca="false">IF($AW56="","",$AW56^2)</f>
        <v/>
      </c>
      <c r="CL56" s="26" t="n">
        <f aca="false">IF(OR($Z56="",Fits!$B$55&lt;3,Fits!$B$133="",Fits!$B$134="",Fits!$B$134=0,Fits!$B$136=""),"",SQRT((Fits!$B$136*Fits!$B$56)^2+SUMPRODUCT((Fits!$J$163:$J$175*(Fits!$B$163:$B$175/Fits!$B$55+Fits!$H$163:$H$175*($Z56-Fits!$B$133)/Fits!$B$134))^2)+SUMPRODUCT((Fits!$G$163:$G$175*(($Z56-Fits!$B$133)*Fits!$I$163:$I$175/Fits!$B$134-Fits!$B$163:$B$175*Fits!$B$56/Fits!$B$55))^2)))</f>
        <v>0.254445810953455</v>
      </c>
      <c r="CM56" s="26" t="n">
        <f aca="false">IF($CL56="","",Setup!$B$32*$CL56)</f>
        <v>0.508891621906911</v>
      </c>
      <c r="CN56" s="26" t="n">
        <f aca="false">IF(OR($AE56="",Fits!$B$62&lt;3,Fits!$B$153="",Fits!$B$154="",Fits!$B$154=0,Fits!$B$156=""),"",SQRT((Fits!$B$156*Fits!$B$63)^2+SUMPRODUCT((Fits!$J$183:$J$195*(Fits!$B$183:$B$195/Fits!$B$62+Fits!$H$183:$H$195*($AE56-Fits!$B$153)/Fits!$B$154))^2)+SUMPRODUCT((Fits!$G$183:$G$195*(($AE56-Fits!$B$153)*Fits!$I$183:$I$195/Fits!$B$154-Fits!$B$183:$B$195*Fits!$B$63/Fits!$B$62))^2)))</f>
        <v>0.0378129613301891</v>
      </c>
      <c r="CO56" s="26" t="n">
        <f aca="false">IF($CN56="","",Setup!$B$32*$CN56)</f>
        <v>0.0756259226603782</v>
      </c>
      <c r="CP56" s="9" t="n">
        <f aca="false">IF(OR(NOT(ISNUMBER($BJ56)),$EK56=1),$CP55,IF($BJ56&lt;=Setup!$B$26,$CP55+1,0))</f>
        <v>21</v>
      </c>
      <c r="CQ56" s="9" t="n">
        <f aca="false">IF($BT56="","",$A56)</f>
        <v>51</v>
      </c>
      <c r="CR56" s="9" t="n">
        <f aca="false">IF($BW56="","",$A56)</f>
        <v>51</v>
      </c>
      <c r="CS56" s="9" t="n">
        <f aca="false">IF($B56="","",IF(Setup!$A$37="",0,IF(ISNUMBER(SEARCH(Setup!$A$37,$B56)),37,0)))</f>
        <v>0</v>
      </c>
      <c r="CT56" s="9" t="n">
        <f aca="false">IF($B56="","",IF(Setup!$A$38="",0,IF(ISNUMBER(SEARCH(Setup!$A$38,$B56)),38,0)))</f>
        <v>0</v>
      </c>
      <c r="CU56" s="9" t="n">
        <f aca="false">IF($B56="","",IF(Setup!$A$39="",0,IF(ISNUMBER(SEARCH(Setup!$A$39,$B56)),39,0)))</f>
        <v>0</v>
      </c>
      <c r="CV56" s="9" t="n">
        <f aca="false">IF($B56="","",IF(Setup!$A$40="",0,IF(ISNUMBER(SEARCH(Setup!$A$40,$B56)),40,0)))</f>
        <v>0</v>
      </c>
      <c r="CW56" s="9" t="n">
        <f aca="false">IF($B56="","",IF(Setup!$A$41="",0,IF(ISNUMBER(SEARCH(Setup!$A$41,$B56)),41,0)))</f>
        <v>0</v>
      </c>
      <c r="CX56" s="9" t="n">
        <f aca="false">IF($B56="","",IF(Setup!$A$42="",0,IF(ISNUMBER(SEARCH(Setup!$A$42,$B56)),42,0)))</f>
        <v>0</v>
      </c>
      <c r="CY56" s="9" t="n">
        <f aca="false">IF($B56="","",IF(Setup!$A$43="",0,IF(ISNUMBER(SEARCH(Setup!$A$43,$B56)),43,0)))</f>
        <v>0</v>
      </c>
      <c r="CZ56" s="9" t="n">
        <f aca="false">IF($B56="","",IF(Setup!$A$44="",0,IF(ISNUMBER(SEARCH(Setup!$A$44,$B56)),44,0)))</f>
        <v>0</v>
      </c>
      <c r="DA56" s="9" t="n">
        <f aca="false">IF($B56="","",IF(Setup!$A$45="",0,IF(ISNUMBER(SEARCH(Setup!$A$45,$B56)),45,0)))</f>
        <v>0</v>
      </c>
      <c r="DB56" s="9" t="n">
        <f aca="false">IF($B56="","",IF(Setup!$A$46="",0,IF(ISNUMBER(SEARCH(Setup!$A$46,$B56)),46,0)))</f>
        <v>0</v>
      </c>
      <c r="DC56" s="9" t="n">
        <f aca="false">IF($B56="","",IF(Setup!$A$47="",0,IF(ISNUMBER(SEARCH(Setup!$A$47,$B56)),47,0)))</f>
        <v>0</v>
      </c>
      <c r="DD56" s="9" t="n">
        <f aca="false">IF($B56="","",IF(Setup!$A$48="",0,IF(ISNUMBER(SEARCH(Setup!$A$48,$B56)),48,0)))</f>
        <v>0</v>
      </c>
      <c r="DE56" s="9" t="n">
        <f aca="false">IF($B56="","",IF(Setup!$A$49="",0,IF(ISNUMBER(SEARCH(Setup!$A$49,$B56)),49,0)))</f>
        <v>0</v>
      </c>
      <c r="DF56" s="9" t="n">
        <f aca="false">IF($B56="",NA(),$A56)</f>
        <v>51</v>
      </c>
      <c r="DG56" s="22" t="n">
        <f aca="false">IF($BI56="",NA(),$BI56)</f>
        <v>23.3</v>
      </c>
      <c r="DH56" s="22" t="n">
        <f aca="false">IF($N56="",NA(),$N56)</f>
        <v>24.1</v>
      </c>
      <c r="DI56" s="9" t="e">
        <f aca="false">IF(AND($D56="Drift",$N56&lt;&gt;""),$N56,NA())</f>
        <v>#N/A</v>
      </c>
      <c r="DJ56" s="9" t="str">
        <f aca="false">IF(AND($D56="Drift",$N56&lt;&gt;""),$N56,"")</f>
        <v/>
      </c>
      <c r="DK56" s="9" t="str">
        <f aca="false">IF($DJ56="","",$A56)</f>
        <v/>
      </c>
      <c r="DL56" s="9" t="e">
        <f aca="false">IF($AN56="",NA(),$AM56)</f>
        <v>#N/A</v>
      </c>
      <c r="DM56" s="9" t="e">
        <f aca="false">IF($AN56="",NA(),$AN56)</f>
        <v>#N/A</v>
      </c>
      <c r="DN56" s="24" t="n">
        <f aca="false">IF(AND($D56="Sample",$L56&lt;&gt;""),$L56,NA())</f>
        <v>16.082</v>
      </c>
      <c r="DO56" s="24" t="n">
        <f aca="false">IF(AND($D56="Sample",$L56&lt;&gt;"",Fits!$B$98&lt;&gt;""),Fits!$B$98,NA())</f>
        <v>-6.0577</v>
      </c>
      <c r="DP56" s="9" t="e">
        <f aca="false">IF($AS56="",NA(),$AS56)</f>
        <v>#N/A</v>
      </c>
      <c r="DQ56" s="9" t="e">
        <f aca="false">IF(AND($D56="Drift",$AS56="",$X56&lt;&gt;""),$X56,NA())</f>
        <v>#N/A</v>
      </c>
      <c r="DR56" s="9" t="e">
        <f aca="false">IF(AND($D56="Drift",$Z56&lt;&gt;""),$Z56,NA())</f>
        <v>#N/A</v>
      </c>
      <c r="DS56" s="25" t="n">
        <f aca="false">IF(AND(OR($D56="Sample",$D56="Check"),$AA56&lt;&gt;""),$AA56,NA())</f>
        <v>-4.98322579646769</v>
      </c>
      <c r="DT56" s="25" t="n">
        <f aca="false">IF(OR($B56="",Fits!$B$138=""),NA(),Fits!$B$138)</f>
        <v>1.76</v>
      </c>
      <c r="DU56" s="25" t="n">
        <f aca="false">IF(OR($B56="",Fits!$B$139=""),NA(),Fits!$B$139)</f>
        <v>20.68</v>
      </c>
      <c r="DV56" s="24" t="n">
        <f aca="false">IF($BT56="",NA(),$BT56)</f>
        <v>-1.183</v>
      </c>
      <c r="DW56" s="9" t="e">
        <f aca="false">IF($AP56="",NA(),$AO56)</f>
        <v>#N/A</v>
      </c>
      <c r="DX56" s="9" t="e">
        <f aca="false">IF($AP56="",NA(),$AP56)</f>
        <v>#N/A</v>
      </c>
      <c r="DY56" s="24" t="n">
        <f aca="false">IF(AND($D56="Sample",$P56&lt;&gt;""),$P56,NA())</f>
        <v>71.442</v>
      </c>
      <c r="DZ56" s="24" t="n">
        <f aca="false">IF(AND($D56="Sample",$P56&lt;&gt;"",Fits!$B$105&lt;&gt;""),Fits!$B$105,NA())</f>
        <v>-9.717</v>
      </c>
      <c r="EA56" s="9" t="e">
        <f aca="false">IF($AT56="",NA(),$AT56)</f>
        <v>#N/A</v>
      </c>
      <c r="EB56" s="9" t="e">
        <f aca="false">IF(AND($D56="Drift",$AT56="",$AC56&lt;&gt;""),$AC56,NA())</f>
        <v>#N/A</v>
      </c>
      <c r="EC56" s="9" t="e">
        <f aca="false">IF(AND($D56="Drift",$AE56&lt;&gt;""),$AE56,NA())</f>
        <v>#N/A</v>
      </c>
      <c r="ED56" s="25" t="n">
        <f aca="false">IF(AND(OR($D56="Sample",$D56="Check"),$AF56&lt;&gt;""),$AF56,NA())</f>
        <v>-26.6941279709507</v>
      </c>
      <c r="EE56" s="25" t="n">
        <f aca="false">IF(OR($B56="",Fits!$B$158=""),NA(),Fits!$B$158)</f>
        <v>-40.81</v>
      </c>
      <c r="EF56" s="25" t="n">
        <f aca="false">IF(OR($B56="",Fits!$B$159=""),NA(),Fits!$B$159)</f>
        <v>-20.29</v>
      </c>
      <c r="EG56" s="24" t="n">
        <f aca="false">IF($BW56="",NA(),$BW56)</f>
        <v>-25.407</v>
      </c>
      <c r="EH56" s="9" t="e">
        <f aca="false">IF(AND($EN56=1,ISNUMBER($N56)),$N56,NA())</f>
        <v>#N/A</v>
      </c>
      <c r="EI56" s="9" t="n">
        <f aca="false">IF($B56="","",$A56)</f>
        <v>51</v>
      </c>
      <c r="EJ56" s="9" t="n">
        <f aca="false">IF(OR(AND(ISNUMBER($L56),Fits!$B$97&gt;0,$L56&gt;Fits!$B$97),AND(ISNUMBER($P56),Fits!$B$104&gt;0,$P56&gt;Fits!$B$104)),1,0)</f>
        <v>0</v>
      </c>
      <c r="EK56" s="9" t="n">
        <f aca="false">IF(OR($EJ55=1,$EJ54=1),1,0)</f>
        <v>0</v>
      </c>
      <c r="EL56" s="22" t="n">
        <f aca="false">IF(AND($EK56=0,ISNUMBER($N56)),$N56,$EL55)</f>
        <v>24.1</v>
      </c>
      <c r="EM56" s="9" t="str">
        <f aca="false">IF(AND($EK56=1,ISNUMBER($N56),ISNUMBER($EL56)),$N56-$EL56,"")</f>
        <v/>
      </c>
      <c r="EN56" s="9" t="n">
        <f aca="false">IF(Setup!$B$28="",0,IF(ISNUMBER($EM56),IF($EM56&gt;Setup!$B$28,1,0),0))</f>
        <v>0</v>
      </c>
      <c r="EO56" s="9" t="str">
        <f aca="false">IF($EN56=1,COUNTIF($EN$6:$EN56,1),"")</f>
        <v/>
      </c>
      <c r="EP56" s="9" t="n">
        <f aca="false">IF(AND($EJ55=1,OR($D56="Sample",$D56="Check")),1,0)</f>
        <v>0</v>
      </c>
      <c r="EQ56" s="9" t="str">
        <f aca="false">IF(ISNUMBER($BI56),IF(COUNT($BI$6:$BI56)&lt;=5,$BI56,""),"")</f>
        <v/>
      </c>
      <c r="ER56" s="9" t="n">
        <f aca="false">IF(OR(NOT(ISNUMBER($BJ56)),$EK56=1),$ER55,IF($BJ56&lt;=Setup!$B$26,IF($CP55=0,$A56,$ER55),""))</f>
        <v>27</v>
      </c>
    </row>
    <row r="57" customFormat="false" ht="15" hidden="false" customHeight="false" outlineLevel="0" collapsed="false">
      <c r="A57" s="8" t="n">
        <v>52</v>
      </c>
      <c r="B57" s="8" t="str">
        <f aca="false">IFERROR(INDEX(Raw!$B$2:$B$1001,MATCH($A57,Raw!$A$2:$A$1001,0)),"")</f>
        <v>Random</v>
      </c>
      <c r="C57" s="9" t="n">
        <f aca="false">IF($B57="","",MAX($CS57:$DE57))</f>
        <v>0</v>
      </c>
      <c r="D57" s="8" t="str">
        <f aca="false">IF($B57="","",IF($C57=0,"Sample",INDEX(Setup!$B$37:$B$49,$C57-36)))</f>
        <v>Sample</v>
      </c>
      <c r="E57" s="16" t="str">
        <f aca="false">IF($B57="","",IFERROR(IF(INDEX(Raw!$E$2:$E$1001,MATCH($A57,Raw!$A$2:$A$1001,0))=0,"",INDEX(Raw!$E$2:$E$1001,MATCH($A57,Raw!$A$2:$A$1001,0))),""))</f>
        <v/>
      </c>
      <c r="F57" s="18"/>
      <c r="G57" s="16" t="str">
        <f aca="false">IF($B57="","",IF($F57&lt;&gt;"",$F57,IF($E57="","",$E57)))</f>
        <v/>
      </c>
      <c r="H57" s="9" t="n">
        <f aca="false">IF($B57="","",SUMPRODUCT(MAX((Raw!$A$2:$A$1001=$A57)*(Raw!$R$2:$R$1001="N")*Raw!$D$2:$D$1001)))</f>
        <v>3</v>
      </c>
      <c r="I57" s="9" t="str">
        <f aca="false">IF(OR($H57="",$H57=0),"",$A57&amp;"|N|"&amp;$H57)</f>
        <v>52|N|3</v>
      </c>
      <c r="J57" s="9" t="n">
        <f aca="false">IF($B57="","",SUMPRODUCT(MIN((Raw!$A$2:$A$1001=$A57)*(Raw!$R$2:$R$1001="C")*Raw!$D$2:$D$1001+(1-(Raw!$A$2:$A$1001=$A57)*(Raw!$R$2:$R$1001="C"))*9999)))</f>
        <v>4</v>
      </c>
      <c r="K57" s="9" t="str">
        <f aca="false">IF(OR($J57="",$J57=0,$J57=9999),"",$A57&amp;"|C|"&amp;$J57)</f>
        <v>52|C|4</v>
      </c>
      <c r="L57" s="16" t="n">
        <f aca="false">IF($I57="","",IF(INDEX(Raw!$I$2:$I$1001,MATCH($I57,Raw!$S$2:$S$1001,0))&lt;&gt;0,"",INDEX(Raw!$H$2:$H$1001,MATCH($I57,Raw!$S$2:$S$1001,0))))</f>
        <v>22.447</v>
      </c>
      <c r="M57" s="19" t="n">
        <f aca="false">IF($I57="","",IF(INDEX(Raw!$I$2:$I$1001,MATCH($I57,Raw!$S$2:$S$1001,0))&lt;&gt;0,"",INDEX(Raw!$F$2:$F$1001,MATCH($I57,Raw!$S$2:$S$1001,0))))</f>
        <v>1236</v>
      </c>
      <c r="N57" s="20" t="n">
        <f aca="false">IF($I57="","",IF(INDEX(Raw!$I$2:$I$1001,MATCH($I57,Raw!$S$2:$S$1001,0))&lt;&gt;0,"",INDEX(Raw!$G$2:$G$1001,MATCH($I57,Raw!$S$2:$S$1001,0))))</f>
        <v>24</v>
      </c>
      <c r="O57" s="16" t="n">
        <f aca="false">IF($I57="","",IF(INDEX(Raw!$I$2:$I$1001,MATCH($I57,Raw!$S$2:$S$1001,0))&lt;&gt;0,"",INDEX(Raw!$N$2:$N$1001,MATCH($I57,Raw!$S$2:$S$1001,0))))</f>
        <v>-5.883</v>
      </c>
      <c r="P57" s="16" t="n">
        <f aca="false">IF($K57="","",IF(INDEX(Raw!$I$2:$I$1001,MATCH($K57,Raw!$S$2:$S$1001,0))&lt;&gt;0,"",INDEX(Raw!$K$2:$K$1001,MATCH($K57,Raw!$S$2:$S$1001,0))))</f>
        <v>101.638</v>
      </c>
      <c r="Q57" s="19" t="n">
        <f aca="false">IF($K57="","",IF(INDEX(Raw!$I$2:$I$1001,MATCH($K57,Raw!$S$2:$S$1001,0))&lt;&gt;0,"",INDEX(Raw!$J$2:$J$1001,MATCH($K57,Raw!$S$2:$S$1001,0))))</f>
        <v>4540</v>
      </c>
      <c r="R57" s="16" t="n">
        <f aca="false">IF($K57="","",IF(INDEX(Raw!$I$2:$I$1001,MATCH($K57,Raw!$S$2:$S$1001,0))&lt;&gt;0,"",INDEX(Raw!$O$2:$O$1001,MATCH($K57,Raw!$S$2:$S$1001,0))))</f>
        <v>-9.614</v>
      </c>
      <c r="S57" s="21" t="str">
        <f aca="false">IF($B57="","",IF($C57=0,"",IF(INDEX(Setup!$D$37:$D$49,$C57-36)="","",INDEX(Setup!$D$37:$D$49,$C57-36))))</f>
        <v/>
      </c>
      <c r="T57" s="21" t="str">
        <f aca="false">IF($B57="","",IF($C57=0,"",IF(INDEX(Setup!$C$37:$C$49,$C57-36)="","",INDEX(Setup!$C$37:$C$49,$C57-36))))</f>
        <v/>
      </c>
      <c r="U57" s="21" t="str">
        <f aca="false">IF($B57="","",IF($C57=0,"",IF(INDEX(Setup!$F$37:$F$49,$C57-36)="","",INDEX(Setup!$F$37:$F$49,$C57-36))))</f>
        <v/>
      </c>
      <c r="V57" s="21" t="str">
        <f aca="false">IF($B57="","",IF($C57=0,"",IF(INDEX(Setup!$E$37:$E$49,$C57-36)="","",INDEX(Setup!$E$37:$E$49,$C57-36))))</f>
        <v/>
      </c>
      <c r="W57" s="16" t="n">
        <f aca="false">IF($O57="","",IF(OR(Fits!$C$5&lt;&gt;"Yes",$D57="Blank",$L57&lt;=Fits!$B$6),$O57,($L57*$O57-Fits!$B$6*Fits!$B$7)/($L57-Fits!$B$6)))</f>
        <v>-5.883</v>
      </c>
      <c r="X57" s="16" t="n">
        <f aca="false">IF($W57="","",$W57-Fits!$B$20*($L57-Fits!$B$16))</f>
        <v>-5.883</v>
      </c>
      <c r="Y57" s="22" t="n">
        <f aca="false">IF($W57="","",IF(OR(Fits!$B$38="Row",$BI57=""),$A57,$BI57))</f>
        <v>52</v>
      </c>
      <c r="Z57" s="16" t="n">
        <f aca="false">IF($X57="","",$X57-Fits!$B$39*($Y57-Fits!$B$40))</f>
        <v>-5.61401685010102</v>
      </c>
      <c r="AA57" s="23" t="n">
        <f aca="false">IF(OR($Z57="",Fits!$B$55&lt;2),"",Fits!$B$56*$Z57+Fits!$B$57)</f>
        <v>-4.7360679241351</v>
      </c>
      <c r="AB57" s="16" t="n">
        <f aca="false">IF($R57="","",IF(OR(Fits!$C$9&lt;&gt;"Yes",$D57="Blank",$P57&lt;=Fits!$B$10),$R57,($P57*$R57-Fits!$B$10*Fits!$B$11)/($P57-Fits!$B$10)))</f>
        <v>-9.614</v>
      </c>
      <c r="AC57" s="16" t="n">
        <f aca="false">IF($AB57="","",$AB57-Fits!$B$28*($P57-Fits!$B$24))</f>
        <v>-9.56907756631651</v>
      </c>
      <c r="AD57" s="22" t="n">
        <f aca="false">IF($AB57="","",IF(OR(Fits!$B$50="Row",$BI57=""),$A57,$BI57))</f>
        <v>52</v>
      </c>
      <c r="AE57" s="16" t="n">
        <f aca="false">IF($AC57="","",$AC57-Fits!$B$51*($AD57-Fits!$B$52))</f>
        <v>-9.6164350371691</v>
      </c>
      <c r="AF57" s="23" t="n">
        <f aca="false">IF(OR($AE57="",Fits!$B$62&lt;2),"",Fits!$B$63*$AE57+Fits!$B$64)</f>
        <v>-26.7447541794178</v>
      </c>
      <c r="AG57" s="21" t="n">
        <f aca="false">IF(OR($L57="",Fits!$B$69&lt;3),"",($L57-Fits!$B$71)/Fits!$B$70)</f>
        <v>33.8015713815519</v>
      </c>
      <c r="AH57" s="21" t="n">
        <f aca="false">IF(OR($P57="",Fits!$B$75&lt;3),"",($P57-Fits!$B$77)/Fits!$B$76)</f>
        <v>227.515054141451</v>
      </c>
      <c r="AI57" s="23" t="str">
        <f aca="false">IF(OR($AG57="",$G57="",$G57=0),"",$AG57/($G57*1000)*100)</f>
        <v/>
      </c>
      <c r="AJ57" s="23" t="str">
        <f aca="false">IF(OR($AH57="",$G57="",$G57=0),"",$AH57/($G57*1000)*100)</f>
        <v/>
      </c>
      <c r="AK57" s="23" t="n">
        <f aca="false">IF(OR($AG57="",$AH57="",$AG57&lt;=0),"",($AH57/Setup!$B$52)/($AG57/Setup!$B$53))</f>
        <v>7.849449675852</v>
      </c>
      <c r="AL57" s="23" t="n">
        <f aca="false">IF(OR($AG57="",$AH57="",$AG57&lt;=0),"",$AH57/$AG57)</f>
        <v>6.73090169605614</v>
      </c>
      <c r="AM57" s="9" t="str">
        <f aca="false">IF($D57="Linearity",IF($L57="","",$L57),"")</f>
        <v/>
      </c>
      <c r="AN57" s="9" t="str">
        <f aca="false">IF($D57="Linearity",IF($W57="","",$W57),"")</f>
        <v/>
      </c>
      <c r="AO57" s="9" t="str">
        <f aca="false">IF($D57="Linearity",IF($P57="","",$P57),"")</f>
        <v/>
      </c>
      <c r="AP57" s="9" t="str">
        <f aca="false">IF($D57="Linearity",IF($AB57="","",$AB57),"")</f>
        <v/>
      </c>
      <c r="AQ57" s="9" t="str">
        <f aca="false">IF($D57="Drift",IF($A57&lt;IF(Setup!$B$14="",0,Setup!$B$14),"",$A57),"")</f>
        <v/>
      </c>
      <c r="AR57" s="9" t="str">
        <f aca="false">IF($D57="Drift",IF($A57&lt;IF(Setup!$B$14="",0,Setup!$B$14),"",IF($BI57="","",$BI57)),"")</f>
        <v/>
      </c>
      <c r="AS57" s="9" t="str">
        <f aca="false">IF($D57="Drift",IF($A57&lt;IF(Setup!$B$14="",0,Setup!$B$14),"",IF(OR($X57="",$BX57=1),"",$X57)),"")</f>
        <v/>
      </c>
      <c r="AT57" s="9" t="str">
        <f aca="false">IF($D57="Drift",IF($A57&lt;IF(Setup!$B$14="",0,Setup!$B$14),"",IF(OR($AC57="",$BY57=1),"",$AC57)),"")</f>
        <v/>
      </c>
      <c r="AU57" s="9" t="str">
        <f aca="false">IF($D57="Anchor",IF(OR($Z57="",$S57=""),"",$Z57),"")</f>
        <v/>
      </c>
      <c r="AV57" s="9" t="str">
        <f aca="false">IF($D57="Anchor",IF(OR($Z57="",$S57=""),"",$S57),"")</f>
        <v/>
      </c>
      <c r="AW57" s="9" t="str">
        <f aca="false">IF($D57="Anchor",IF(OR($AE57="",$T57=""),"",$AE57),"")</f>
        <v/>
      </c>
      <c r="AX57" s="9" t="str">
        <f aca="false">IF($D57="Anchor",IF(OR($AE57="",$T57=""),"",$T57),"")</f>
        <v/>
      </c>
      <c r="AY57" s="9" t="str">
        <f aca="false">IF(OR($D57="Blank",$D57="Exclude",$D57="Sample",$D57="",$G57="",$U57="",$L57=""),"",$G57*1000*$U57/100)</f>
        <v/>
      </c>
      <c r="AZ57" s="9" t="str">
        <f aca="false">IF($AY57="","",$L57)</f>
        <v/>
      </c>
      <c r="BA57" s="9" t="str">
        <f aca="false">IF(OR($D57="Blank",$D57="Exclude",$D57="Sample",$D57="",$G57="",$V57="",$P57=""),"",$G57*1000*$V57/100)</f>
        <v/>
      </c>
      <c r="BB57" s="9" t="str">
        <f aca="false">IF($BA57="","",$P57)</f>
        <v/>
      </c>
      <c r="BC57" s="9" t="str">
        <f aca="false">IF(AND($D57="Blank",$L57&lt;&gt;""),$O57,"")</f>
        <v/>
      </c>
      <c r="BD57" s="9" t="str">
        <f aca="false">IF($BC57="","",$L57)</f>
        <v/>
      </c>
      <c r="BE57" s="9" t="str">
        <f aca="false">IF(AND($D57="Blank",$P57&lt;&gt;""),$R57,"")</f>
        <v/>
      </c>
      <c r="BF57" s="9" t="str">
        <f aca="false">IF($BE57="","",$P57)</f>
        <v/>
      </c>
      <c r="BG57" s="9" t="str">
        <f aca="false">IF(AND($D57="Drift",$BX57&lt;&gt;1),IF($AA57="","",$AA57),"")</f>
        <v/>
      </c>
      <c r="BH57" s="9" t="str">
        <f aca="false">IF(AND($D57="Drift",$BY57&lt;&gt;1),IF($AF57="","",$AF57),"")</f>
        <v/>
      </c>
      <c r="BI57" s="20" t="n">
        <f aca="false">IF($B57="","",IFERROR(INDEX(Raw!$G$2:$G$1001,MATCH($A57&amp;"|N|"&amp;SUMPRODUCT(MAX((Raw!$A$2:$A$1001=$A57)*(Raw!$R$2:$R$1001="N")*(Raw!$I$2:$I$1001=1)*Raw!$D$2:$D$1001)),Raw!$S$2:$S$1001,0)),""))</f>
        <v>23.2</v>
      </c>
      <c r="BJ57" s="21" t="n">
        <f aca="false">IF(OR($BI57="",Fits!$B$85&lt;=0),"",($BI57-Fits!$B$83)/Fits!$B$85)</f>
        <v>0.00900900900900882</v>
      </c>
      <c r="BK57" s="9" t="str">
        <f aca="false">IF($AS57="","",IF($A57&gt;=Fits!$B$86,"",$A57))</f>
        <v/>
      </c>
      <c r="BL57" s="9" t="str">
        <f aca="false">IF($BK57="","",$X57)</f>
        <v/>
      </c>
      <c r="BM57" s="9" t="str">
        <f aca="false">IF($AS57="","",IF($A57&lt;Fits!$B$86,"",$A57))</f>
        <v/>
      </c>
      <c r="BN57" s="9" t="str">
        <f aca="false">IF($BM57="","",$X57)</f>
        <v/>
      </c>
      <c r="BO57" s="9" t="str">
        <f aca="false">IF(AND($D57="Drift",$BX57&lt;&gt;1),IF($O57="","",$O57),"")</f>
        <v/>
      </c>
      <c r="BP57" s="9" t="str">
        <f aca="false">IF(AND($D57="Drift",$BX57&lt;&gt;1),IF($W57="","",$W57),"")</f>
        <v/>
      </c>
      <c r="BQ57" s="9" t="str">
        <f aca="false">IF(AND($D57="Drift",$BX57&lt;&gt;1),IF($X57="","",$X57),"")</f>
        <v/>
      </c>
      <c r="BR57" s="9" t="str">
        <f aca="false">IF(AND($D57="Drift",$BX57&lt;&gt;1),IF($Z57="","",$Z57),"")</f>
        <v/>
      </c>
      <c r="BS57" s="9" t="n">
        <f aca="false">IF(OR($B57="",$H57=""),"",SUMPRODUCT(MIN((Raw!$A$2:$A$1001=$A57)*(Raw!$R$2:$R$1001="N")*(Raw!$I$2:$I$1001=0)*(Raw!$D$2:$D$1001&lt;$H57)*Raw!$D$2:$D$1001+(1-(Raw!$A$2:$A$1001=$A57)*(Raw!$R$2:$R$1001="N")*(Raw!$I$2:$I$1001=0)*(Raw!$D$2:$D$1001&lt;$H57))*9999)))</f>
        <v>1</v>
      </c>
      <c r="BT57" s="16" t="n">
        <f aca="false">IF(OR($BS57="",$BS57=9999,$BS57=0),"",IFERROR(INDEX(Raw!$N$2:$N$1001,MATCH($A57&amp;"|N|"&amp;$BS57,Raw!$S$2:$S$1001,0)),""))</f>
        <v>-1.193</v>
      </c>
      <c r="BU57" s="9" t="n">
        <f aca="false">IF($B57="","",SUMPRODUCT(MIN((Raw!$A$2:$A$1001=$A57)*(Raw!$R$2:$R$1001="C")*(Raw!$I$2:$I$1001=1)*Raw!$D$2:$D$1001+(1-(Raw!$A$2:$A$1001=$A57)*(Raw!$R$2:$R$1001="C")*(Raw!$I$2:$I$1001=1))*9999)))</f>
        <v>5</v>
      </c>
      <c r="BV57" s="9" t="n">
        <f aca="false">IF(OR($BU57="",$BU57=9999),"",SUMPRODUCT(MIN((Raw!$A$2:$A$1001=$A57)*(Raw!$R$2:$R$1001="C")*(Raw!$I$2:$I$1001=0)*(Raw!$D$2:$D$1001&gt;$BU57)*Raw!$D$2:$D$1001+(1-(Raw!$A$2:$A$1001=$A57)*(Raw!$R$2:$R$1001="C")*(Raw!$I$2:$I$1001=0)*(Raw!$D$2:$D$1001&gt;$BU57))*9999)))</f>
        <v>6</v>
      </c>
      <c r="BW57" s="16" t="n">
        <f aca="false">IF(OR($BV57="",$BV57=9999,$BV57=0),"",IFERROR(INDEX(Raw!$O$2:$O$1001,MATCH($A57&amp;"|C|"&amp;$BV57,Raw!$S$2:$S$1001,0)),""))</f>
        <v>-25.377</v>
      </c>
      <c r="BX57" s="9" t="n">
        <f aca="false">IF($B57="","",IF(ISNUMBER(SEARCH(","&amp;$A57&amp;",",","&amp;SUBSTITUTE(Setup!$B$16," ","")&amp;",")),1,0))</f>
        <v>0</v>
      </c>
      <c r="BY57" s="9" t="n">
        <f aca="false">IF($B57="","",IF(ISNUMBER(SEARCH(","&amp;$A57&amp;",",","&amp;SUBSTITUTE(Setup!$B$17," ","")&amp;",")),1,0))</f>
        <v>0</v>
      </c>
      <c r="BZ57" s="22" t="str">
        <f aca="false">IF($AS57="","",IF(Fits!$B$38="Row",$AQ57,IF($AR57="","",$AR57)))</f>
        <v/>
      </c>
      <c r="CA57" s="22" t="str">
        <f aca="false">IF($AT57="","",IF(Fits!$B$50="Row",$AQ57,IF($AR57="","",$AR57)))</f>
        <v/>
      </c>
      <c r="CB57" s="20" t="str">
        <f aca="false">IF(OR($D57&lt;&gt;"Drift",$X57="",$A57&lt;IF(Setup!$B$14="",0,Setup!$B$14),Fits!$B$107&lt;3,Fits!$B$110="",Fits!$B$109=0,IF(Fits!$B$38="Row",$AQ57,$AR57)=""),"",IF($BX57=1,IF(OR(Fits!$B$111="",Fits!$B$111=0),"",($X57-(IF(Fits!$B$38="Row",Fits!$B$32,Fits!$B$35)*IF(Fits!$B$38="Row",$AQ57,$AR57)+Fits!$B$110))/(Fits!$B$111*SQRT(1+(1/Fits!$B$107+(IF(Fits!$B$38="Row",$AQ57,$AR57)-Fits!$B$108)^2/Fits!$B$109)))),IF(OR(Fits!$B$107&lt;4,(1/Fits!$B$107+(IF(Fits!$B$38="Row",$AQ57,$AR57)-Fits!$B$108)^2/Fits!$B$109)&gt;=1),"",IF((Fits!$B$116-($X57-(IF(Fits!$B$38="Row",Fits!$B$32,Fits!$B$35)*IF(Fits!$B$38="Row",$AQ57,$AR57)+Fits!$B$110))^2/(1-(1/Fits!$B$107+(IF(Fits!$B$38="Row",$AQ57,$AR57)-Fits!$B$108)^2/Fits!$B$109)))&lt;=0,"",($X57-(IF(Fits!$B$38="Row",Fits!$B$32,Fits!$B$35)*IF(Fits!$B$38="Row",$AQ57,$AR57)+Fits!$B$110))/(SQRT((Fits!$B$116-($X57-(IF(Fits!$B$38="Row",Fits!$B$32,Fits!$B$35)*IF(Fits!$B$38="Row",$AQ57,$AR57)+Fits!$B$110))^2/(1-(1/Fits!$B$107+(IF(Fits!$B$38="Row",$AQ57,$AR57)-Fits!$B$108)^2/Fits!$B$109)))/(Fits!$B$107-3))*SQRT(1-(1/Fits!$B$107+(IF(Fits!$B$38="Row",$AQ57,$AR57)-Fits!$B$108)^2/Fits!$B$109)))))))</f>
        <v/>
      </c>
      <c r="CC57" s="20" t="str">
        <f aca="false">IF(OR($D57&lt;&gt;"Drift",$AC57="",$A57&lt;IF(Setup!$B$14="",0,Setup!$B$14),Fits!$B$120&lt;3,Fits!$B$123="",Fits!$B$122=0,IF(Fits!$B$50="Row",$AQ57,$AR57)=""),"",IF($BY57=1,IF(OR(Fits!$B$124="",Fits!$B$124=0),"",($AC57-(IF(Fits!$B$50="Row",Fits!$B$44,Fits!$B$47)*IF(Fits!$B$50="Row",$AQ57,$AR57)+Fits!$B$123))/(Fits!$B$124*SQRT(1+(1/Fits!$B$120+(IF(Fits!$B$50="Row",$AQ57,$AR57)-Fits!$B$121)^2/Fits!$B$122)))),IF(OR(Fits!$B$120&lt;4,(1/Fits!$B$120+(IF(Fits!$B$50="Row",$AQ57,$AR57)-Fits!$B$121)^2/Fits!$B$122)&gt;=1),"",IF((Fits!$B$129-($AC57-(IF(Fits!$B$50="Row",Fits!$B$44,Fits!$B$47)*IF(Fits!$B$50="Row",$AQ57,$AR57)+Fits!$B$123))^2/(1-(1/Fits!$B$120+(IF(Fits!$B$50="Row",$AQ57,$AR57)-Fits!$B$121)^2/Fits!$B$122)))&lt;=0,"",($AC57-(IF(Fits!$B$50="Row",Fits!$B$44,Fits!$B$47)*IF(Fits!$B$50="Row",$AQ57,$AR57)+Fits!$B$123))/(SQRT((Fits!$B$129-($AC57-(IF(Fits!$B$50="Row",Fits!$B$44,Fits!$B$47)*IF(Fits!$B$50="Row",$AQ57,$AR57)+Fits!$B$123))^2/(1-(1/Fits!$B$120+(IF(Fits!$B$50="Row",$AQ57,$AR57)-Fits!$B$121)^2/Fits!$B$122)))/(Fits!$B$120-3))*SQRT(1-(1/Fits!$B$120+(IF(Fits!$B$50="Row",$AQ57,$AR57)-Fits!$B$121)^2/Fits!$B$122)))))))</f>
        <v/>
      </c>
      <c r="CD57" s="9" t="str">
        <f aca="false">IF($AU57="","",1)</f>
        <v/>
      </c>
      <c r="CE57" s="24" t="str">
        <f aca="false">IF($AU57="","",$AU57-Fits!$B$133)</f>
        <v/>
      </c>
      <c r="CF57" s="24" t="str">
        <f aca="false">IF($AU57="","",($AV57-(Fits!$B$56*$AU57+Fits!$B$57))-Fits!$B$56*($AU57-Fits!$B$133))</f>
        <v/>
      </c>
      <c r="CG57" s="25" t="str">
        <f aca="false">IF($AU57="","",$AU57^2)</f>
        <v/>
      </c>
      <c r="CH57" s="9" t="str">
        <f aca="false">IF($AW57="","",1)</f>
        <v/>
      </c>
      <c r="CI57" s="24" t="str">
        <f aca="false">IF($AW57="","",$AW57-Fits!$B$153)</f>
        <v/>
      </c>
      <c r="CJ57" s="24" t="str">
        <f aca="false">IF($AW57="","",($AX57-(Fits!$B$63*$AW57+Fits!$B$64))-Fits!$B$63*($AW57-Fits!$B$153))</f>
        <v/>
      </c>
      <c r="CK57" s="25" t="str">
        <f aca="false">IF($AW57="","",$AW57^2)</f>
        <v/>
      </c>
      <c r="CL57" s="26" t="n">
        <f aca="false">IF(OR($Z57="",Fits!$B$55&lt;3,Fits!$B$133="",Fits!$B$134="",Fits!$B$134=0,Fits!$B$136=""),"",SQRT((Fits!$B$136*Fits!$B$56)^2+SUMPRODUCT((Fits!$J$163:$J$175*(Fits!$B$163:$B$175/Fits!$B$55+Fits!$H$163:$H$175*($Z57-Fits!$B$133)/Fits!$B$134))^2)+SUMPRODUCT((Fits!$G$163:$G$175*(($Z57-Fits!$B$133)*Fits!$I$163:$I$175/Fits!$B$134-Fits!$B$163:$B$175*Fits!$B$56/Fits!$B$55))^2)))</f>
        <v>0.253016319511533</v>
      </c>
      <c r="CM57" s="26" t="n">
        <f aca="false">IF($CL57="","",Setup!$B$32*$CL57)</f>
        <v>0.506032639023065</v>
      </c>
      <c r="CN57" s="26" t="n">
        <f aca="false">IF(OR($AE57="",Fits!$B$62&lt;3,Fits!$B$153="",Fits!$B$154="",Fits!$B$154=0,Fits!$B$156=""),"",SQRT((Fits!$B$156*Fits!$B$63)^2+SUMPRODUCT((Fits!$J$183:$J$195*(Fits!$B$183:$B$195/Fits!$B$62+Fits!$H$183:$H$195*($AE57-Fits!$B$153)/Fits!$B$154))^2)+SUMPRODUCT((Fits!$G$183:$G$195*(($AE57-Fits!$B$153)*Fits!$I$183:$I$195/Fits!$B$154-Fits!$B$183:$B$195*Fits!$B$63/Fits!$B$62))^2)))</f>
        <v>0.0377704469912241</v>
      </c>
      <c r="CO57" s="26" t="n">
        <f aca="false">IF($CN57="","",Setup!$B$32*$CN57)</f>
        <v>0.0755408939824482</v>
      </c>
      <c r="CP57" s="9" t="n">
        <f aca="false">IF(OR(NOT(ISNUMBER($BJ57)),$EK57=1),$CP56,IF($BJ57&lt;=Setup!$B$26,$CP56+1,0))</f>
        <v>22</v>
      </c>
      <c r="CQ57" s="9" t="n">
        <f aca="false">IF($BT57="","",$A57)</f>
        <v>52</v>
      </c>
      <c r="CR57" s="9" t="n">
        <f aca="false">IF($BW57="","",$A57)</f>
        <v>52</v>
      </c>
      <c r="CS57" s="9" t="n">
        <f aca="false">IF($B57="","",IF(Setup!$A$37="",0,IF(ISNUMBER(SEARCH(Setup!$A$37,$B57)),37,0)))</f>
        <v>0</v>
      </c>
      <c r="CT57" s="9" t="n">
        <f aca="false">IF($B57="","",IF(Setup!$A$38="",0,IF(ISNUMBER(SEARCH(Setup!$A$38,$B57)),38,0)))</f>
        <v>0</v>
      </c>
      <c r="CU57" s="9" t="n">
        <f aca="false">IF($B57="","",IF(Setup!$A$39="",0,IF(ISNUMBER(SEARCH(Setup!$A$39,$B57)),39,0)))</f>
        <v>0</v>
      </c>
      <c r="CV57" s="9" t="n">
        <f aca="false">IF($B57="","",IF(Setup!$A$40="",0,IF(ISNUMBER(SEARCH(Setup!$A$40,$B57)),40,0)))</f>
        <v>0</v>
      </c>
      <c r="CW57" s="9" t="n">
        <f aca="false">IF($B57="","",IF(Setup!$A$41="",0,IF(ISNUMBER(SEARCH(Setup!$A$41,$B57)),41,0)))</f>
        <v>0</v>
      </c>
      <c r="CX57" s="9" t="n">
        <f aca="false">IF($B57="","",IF(Setup!$A$42="",0,IF(ISNUMBER(SEARCH(Setup!$A$42,$B57)),42,0)))</f>
        <v>0</v>
      </c>
      <c r="CY57" s="9" t="n">
        <f aca="false">IF($B57="","",IF(Setup!$A$43="",0,IF(ISNUMBER(SEARCH(Setup!$A$43,$B57)),43,0)))</f>
        <v>0</v>
      </c>
      <c r="CZ57" s="9" t="n">
        <f aca="false">IF($B57="","",IF(Setup!$A$44="",0,IF(ISNUMBER(SEARCH(Setup!$A$44,$B57)),44,0)))</f>
        <v>0</v>
      </c>
      <c r="DA57" s="9" t="n">
        <f aca="false">IF($B57="","",IF(Setup!$A$45="",0,IF(ISNUMBER(SEARCH(Setup!$A$45,$B57)),45,0)))</f>
        <v>0</v>
      </c>
      <c r="DB57" s="9" t="n">
        <f aca="false">IF($B57="","",IF(Setup!$A$46="",0,IF(ISNUMBER(SEARCH(Setup!$A$46,$B57)),46,0)))</f>
        <v>0</v>
      </c>
      <c r="DC57" s="9" t="n">
        <f aca="false">IF($B57="","",IF(Setup!$A$47="",0,IF(ISNUMBER(SEARCH(Setup!$A$47,$B57)),47,0)))</f>
        <v>0</v>
      </c>
      <c r="DD57" s="9" t="n">
        <f aca="false">IF($B57="","",IF(Setup!$A$48="",0,IF(ISNUMBER(SEARCH(Setup!$A$48,$B57)),48,0)))</f>
        <v>0</v>
      </c>
      <c r="DE57" s="9" t="n">
        <f aca="false">IF($B57="","",IF(Setup!$A$49="",0,IF(ISNUMBER(SEARCH(Setup!$A$49,$B57)),49,0)))</f>
        <v>0</v>
      </c>
      <c r="DF57" s="9" t="n">
        <f aca="false">IF($B57="",NA(),$A57)</f>
        <v>52</v>
      </c>
      <c r="DG57" s="22" t="n">
        <f aca="false">IF($BI57="",NA(),$BI57)</f>
        <v>23.2</v>
      </c>
      <c r="DH57" s="22" t="n">
        <f aca="false">IF($N57="",NA(),$N57)</f>
        <v>24</v>
      </c>
      <c r="DI57" s="9" t="e">
        <f aca="false">IF(AND($D57="Drift",$N57&lt;&gt;""),$N57,NA())</f>
        <v>#N/A</v>
      </c>
      <c r="DJ57" s="9" t="str">
        <f aca="false">IF(AND($D57="Drift",$N57&lt;&gt;""),$N57,"")</f>
        <v/>
      </c>
      <c r="DK57" s="9" t="str">
        <f aca="false">IF($DJ57="","",$A57)</f>
        <v/>
      </c>
      <c r="DL57" s="9" t="e">
        <f aca="false">IF($AN57="",NA(),$AM57)</f>
        <v>#N/A</v>
      </c>
      <c r="DM57" s="9" t="e">
        <f aca="false">IF($AN57="",NA(),$AN57)</f>
        <v>#N/A</v>
      </c>
      <c r="DN57" s="24" t="n">
        <f aca="false">IF(AND($D57="Sample",$L57&lt;&gt;""),$L57,NA())</f>
        <v>22.447</v>
      </c>
      <c r="DO57" s="24" t="n">
        <f aca="false">IF(AND($D57="Sample",$L57&lt;&gt;"",Fits!$B$98&lt;&gt;""),Fits!$B$98,NA())</f>
        <v>-6.0577</v>
      </c>
      <c r="DP57" s="9" t="e">
        <f aca="false">IF($AS57="",NA(),$AS57)</f>
        <v>#N/A</v>
      </c>
      <c r="DQ57" s="9" t="e">
        <f aca="false">IF(AND($D57="Drift",$AS57="",$X57&lt;&gt;""),$X57,NA())</f>
        <v>#N/A</v>
      </c>
      <c r="DR57" s="9" t="e">
        <f aca="false">IF(AND($D57="Drift",$Z57&lt;&gt;""),$Z57,NA())</f>
        <v>#N/A</v>
      </c>
      <c r="DS57" s="25" t="n">
        <f aca="false">IF(AND(OR($D57="Sample",$D57="Check"),$AA57&lt;&gt;""),$AA57,NA())</f>
        <v>-4.7360679241351</v>
      </c>
      <c r="DT57" s="25" t="n">
        <f aca="false">IF(OR($B57="",Fits!$B$138=""),NA(),Fits!$B$138)</f>
        <v>1.76</v>
      </c>
      <c r="DU57" s="25" t="n">
        <f aca="false">IF(OR($B57="",Fits!$B$139=""),NA(),Fits!$B$139)</f>
        <v>20.68</v>
      </c>
      <c r="DV57" s="24" t="n">
        <f aca="false">IF($BT57="",NA(),$BT57)</f>
        <v>-1.193</v>
      </c>
      <c r="DW57" s="9" t="e">
        <f aca="false">IF($AP57="",NA(),$AO57)</f>
        <v>#N/A</v>
      </c>
      <c r="DX57" s="9" t="e">
        <f aca="false">IF($AP57="",NA(),$AP57)</f>
        <v>#N/A</v>
      </c>
      <c r="DY57" s="24" t="n">
        <f aca="false">IF(AND($D57="Sample",$P57&lt;&gt;""),$P57,NA())</f>
        <v>101.638</v>
      </c>
      <c r="DZ57" s="24" t="n">
        <f aca="false">IF(AND($D57="Sample",$P57&lt;&gt;"",Fits!$B$105&lt;&gt;""),Fits!$B$105,NA())</f>
        <v>-9.717</v>
      </c>
      <c r="EA57" s="9" t="e">
        <f aca="false">IF($AT57="",NA(),$AT57)</f>
        <v>#N/A</v>
      </c>
      <c r="EB57" s="9" t="e">
        <f aca="false">IF(AND($D57="Drift",$AT57="",$AC57&lt;&gt;""),$AC57,NA())</f>
        <v>#N/A</v>
      </c>
      <c r="EC57" s="9" t="e">
        <f aca="false">IF(AND($D57="Drift",$AE57&lt;&gt;""),$AE57,NA())</f>
        <v>#N/A</v>
      </c>
      <c r="ED57" s="25" t="n">
        <f aca="false">IF(AND(OR($D57="Sample",$D57="Check"),$AF57&lt;&gt;""),$AF57,NA())</f>
        <v>-26.7447541794178</v>
      </c>
      <c r="EE57" s="25" t="n">
        <f aca="false">IF(OR($B57="",Fits!$B$158=""),NA(),Fits!$B$158)</f>
        <v>-40.81</v>
      </c>
      <c r="EF57" s="25" t="n">
        <f aca="false">IF(OR($B57="",Fits!$B$159=""),NA(),Fits!$B$159)</f>
        <v>-20.29</v>
      </c>
      <c r="EG57" s="24" t="n">
        <f aca="false">IF($BW57="",NA(),$BW57)</f>
        <v>-25.377</v>
      </c>
      <c r="EH57" s="9" t="e">
        <f aca="false">IF(AND($EN57=1,ISNUMBER($N57)),$N57,NA())</f>
        <v>#N/A</v>
      </c>
      <c r="EI57" s="9" t="n">
        <f aca="false">IF($B57="","",$A57)</f>
        <v>52</v>
      </c>
      <c r="EJ57" s="9" t="n">
        <f aca="false">IF(OR(AND(ISNUMBER($L57),Fits!$B$97&gt;0,$L57&gt;Fits!$B$97),AND(ISNUMBER($P57),Fits!$B$104&gt;0,$P57&gt;Fits!$B$104)),1,0)</f>
        <v>0</v>
      </c>
      <c r="EK57" s="9" t="n">
        <f aca="false">IF(OR($EJ56=1,$EJ55=1),1,0)</f>
        <v>0</v>
      </c>
      <c r="EL57" s="22" t="n">
        <f aca="false">IF(AND($EK57=0,ISNUMBER($N57)),$N57,$EL56)</f>
        <v>24</v>
      </c>
      <c r="EM57" s="9" t="str">
        <f aca="false">IF(AND($EK57=1,ISNUMBER($N57),ISNUMBER($EL57)),$N57-$EL57,"")</f>
        <v/>
      </c>
      <c r="EN57" s="9" t="n">
        <f aca="false">IF(Setup!$B$28="",0,IF(ISNUMBER($EM57),IF($EM57&gt;Setup!$B$28,1,0),0))</f>
        <v>0</v>
      </c>
      <c r="EO57" s="9" t="str">
        <f aca="false">IF($EN57=1,COUNTIF($EN$6:$EN57,1),"")</f>
        <v/>
      </c>
      <c r="EP57" s="9" t="n">
        <f aca="false">IF(AND($EJ56=1,OR($D57="Sample",$D57="Check")),1,0)</f>
        <v>0</v>
      </c>
      <c r="EQ57" s="9" t="str">
        <f aca="false">IF(ISNUMBER($BI57),IF(COUNT($BI$6:$BI57)&lt;=5,$BI57,""),"")</f>
        <v/>
      </c>
      <c r="ER57" s="9" t="n">
        <f aca="false">IF(OR(NOT(ISNUMBER($BJ57)),$EK57=1),$ER56,IF($BJ57&lt;=Setup!$B$26,IF($CP56=0,$A57,$ER56),""))</f>
        <v>27</v>
      </c>
    </row>
    <row r="58" customFormat="false" ht="15" hidden="false" customHeight="false" outlineLevel="0" collapsed="false">
      <c r="A58" s="8" t="n">
        <v>53</v>
      </c>
      <c r="B58" s="8" t="str">
        <f aca="false">IFERROR(INDEX(Raw!$B$2:$B$1001,MATCH($A58,Raw!$A$2:$A$1001,0)),"")</f>
        <v>Random</v>
      </c>
      <c r="C58" s="9" t="n">
        <f aca="false">IF($B58="","",MAX($CS58:$DE58))</f>
        <v>0</v>
      </c>
      <c r="D58" s="8" t="str">
        <f aca="false">IF($B58="","",IF($C58=0,"Sample",INDEX(Setup!$B$37:$B$49,$C58-36)))</f>
        <v>Sample</v>
      </c>
      <c r="E58" s="16" t="str">
        <f aca="false">IF($B58="","",IFERROR(IF(INDEX(Raw!$E$2:$E$1001,MATCH($A58,Raw!$A$2:$A$1001,0))=0,"",INDEX(Raw!$E$2:$E$1001,MATCH($A58,Raw!$A$2:$A$1001,0))),""))</f>
        <v/>
      </c>
      <c r="F58" s="18"/>
      <c r="G58" s="16" t="str">
        <f aca="false">IF($B58="","",IF($F58&lt;&gt;"",$F58,IF($E58="","",$E58)))</f>
        <v/>
      </c>
      <c r="H58" s="9" t="n">
        <f aca="false">IF($B58="","",SUMPRODUCT(MAX((Raw!$A$2:$A$1001=$A58)*(Raw!$R$2:$R$1001="N")*Raw!$D$2:$D$1001)))</f>
        <v>3</v>
      </c>
      <c r="I58" s="9" t="str">
        <f aca="false">IF(OR($H58="",$H58=0),"",$A58&amp;"|N|"&amp;$H58)</f>
        <v>53|N|3</v>
      </c>
      <c r="J58" s="9" t="n">
        <f aca="false">IF($B58="","",SUMPRODUCT(MIN((Raw!$A$2:$A$1001=$A58)*(Raw!$R$2:$R$1001="C")*Raw!$D$2:$D$1001+(1-(Raw!$A$2:$A$1001=$A58)*(Raw!$R$2:$R$1001="C"))*9999)))</f>
        <v>4</v>
      </c>
      <c r="K58" s="9" t="str">
        <f aca="false">IF(OR($J58="",$J58=0,$J58=9999),"",$A58&amp;"|C|"&amp;$J58)</f>
        <v>53|C|4</v>
      </c>
      <c r="L58" s="16" t="n">
        <f aca="false">IF($I58="","",IF(INDEX(Raw!$I$2:$I$1001,MATCH($I58,Raw!$S$2:$S$1001,0))&lt;&gt;0,"",INDEX(Raw!$H$2:$H$1001,MATCH($I58,Raw!$S$2:$S$1001,0))))</f>
        <v>1.4</v>
      </c>
      <c r="M58" s="19" t="n">
        <f aca="false">IF($I58="","",IF(INDEX(Raw!$I$2:$I$1001,MATCH($I58,Raw!$S$2:$S$1001,0))&lt;&gt;0,"",INDEX(Raw!$F$2:$F$1001,MATCH($I58,Raw!$S$2:$S$1001,0))))</f>
        <v>63</v>
      </c>
      <c r="N58" s="20" t="n">
        <f aca="false">IF($I58="","",IF(INDEX(Raw!$I$2:$I$1001,MATCH($I58,Raw!$S$2:$S$1001,0))&lt;&gt;0,"",INDEX(Raw!$G$2:$G$1001,MATCH($I58,Raw!$S$2:$S$1001,0))))</f>
        <v>25.7</v>
      </c>
      <c r="O58" s="16" t="n">
        <f aca="false">IF($I58="","",IF(INDEX(Raw!$I$2:$I$1001,MATCH($I58,Raw!$S$2:$S$1001,0))&lt;&gt;0,"",INDEX(Raw!$N$2:$N$1001,MATCH($I58,Raw!$S$2:$S$1001,0))))</f>
        <v>-9.347</v>
      </c>
      <c r="P58" s="16" t="str">
        <f aca="false">IF($K58="","",IF(INDEX(Raw!$I$2:$I$1001,MATCH($K58,Raw!$S$2:$S$1001,0))&lt;&gt;0,"",INDEX(Raw!$K$2:$K$1001,MATCH($K58,Raw!$S$2:$S$1001,0))))</f>
        <v/>
      </c>
      <c r="Q58" s="19" t="str">
        <f aca="false">IF($K58="","",IF(INDEX(Raw!$I$2:$I$1001,MATCH($K58,Raw!$S$2:$S$1001,0))&lt;&gt;0,"",INDEX(Raw!$J$2:$J$1001,MATCH($K58,Raw!$S$2:$S$1001,0))))</f>
        <v/>
      </c>
      <c r="R58" s="16" t="str">
        <f aca="false">IF($K58="","",IF(INDEX(Raw!$I$2:$I$1001,MATCH($K58,Raw!$S$2:$S$1001,0))&lt;&gt;0,"",INDEX(Raw!$O$2:$O$1001,MATCH($K58,Raw!$S$2:$S$1001,0))))</f>
        <v/>
      </c>
      <c r="S58" s="21" t="str">
        <f aca="false">IF($B58="","",IF($C58=0,"",IF(INDEX(Setup!$D$37:$D$49,$C58-36)="","",INDEX(Setup!$D$37:$D$49,$C58-36))))</f>
        <v/>
      </c>
      <c r="T58" s="21" t="str">
        <f aca="false">IF($B58="","",IF($C58=0,"",IF(INDEX(Setup!$C$37:$C$49,$C58-36)="","",INDEX(Setup!$C$37:$C$49,$C58-36))))</f>
        <v/>
      </c>
      <c r="U58" s="21" t="str">
        <f aca="false">IF($B58="","",IF($C58=0,"",IF(INDEX(Setup!$F$37:$F$49,$C58-36)="","",INDEX(Setup!$F$37:$F$49,$C58-36))))</f>
        <v/>
      </c>
      <c r="V58" s="21" t="str">
        <f aca="false">IF($B58="","",IF($C58=0,"",IF(INDEX(Setup!$E$37:$E$49,$C58-36)="","",INDEX(Setup!$E$37:$E$49,$C58-36))))</f>
        <v/>
      </c>
      <c r="W58" s="16" t="n">
        <f aca="false">IF($O58="","",IF(OR(Fits!$C$5&lt;&gt;"Yes",$D58="Blank",$L58&lt;=Fits!$B$6),$O58,($L58*$O58-Fits!$B$6*Fits!$B$7)/($L58-Fits!$B$6)))</f>
        <v>-9.347</v>
      </c>
      <c r="X58" s="16" t="n">
        <f aca="false">IF($W58="","",$W58-Fits!$B$20*($L58-Fits!$B$16))</f>
        <v>-9.347</v>
      </c>
      <c r="Y58" s="22" t="n">
        <f aca="false">IF($W58="","",IF(OR(Fits!$B$38="Row",$BI58=""),$A58,$BI58))</f>
        <v>53</v>
      </c>
      <c r="Z58" s="16" t="n">
        <f aca="false">IF($X58="","",$X58-Fits!$B$39*($Y58-Fits!$B$40))</f>
        <v>-9.06326250010656</v>
      </c>
      <c r="AA58" s="23" t="n">
        <f aca="false">IF(OR($Z58="",Fits!$B$55&lt;2),"",Fits!$B$56*$Z58+Fits!$B$57)</f>
        <v>-8.27705572363885</v>
      </c>
      <c r="AB58" s="16" t="str">
        <f aca="false">IF($R58="","",IF(OR(Fits!$C$9&lt;&gt;"Yes",$D58="Blank",$P58&lt;=Fits!$B$10),$R58,($P58*$R58-Fits!$B$10*Fits!$B$11)/($P58-Fits!$B$10)))</f>
        <v/>
      </c>
      <c r="AC58" s="16" t="str">
        <f aca="false">IF($AB58="","",$AB58-Fits!$B$28*($P58-Fits!$B$24))</f>
        <v/>
      </c>
      <c r="AD58" s="22" t="str">
        <f aca="false">IF($AB58="","",IF(OR(Fits!$B$50="Row",$BI58=""),$A58,$BI58))</f>
        <v/>
      </c>
      <c r="AE58" s="16" t="str">
        <f aca="false">IF($AC58="","",$AC58-Fits!$B$51*($AD58-Fits!$B$52))</f>
        <v/>
      </c>
      <c r="AF58" s="23" t="str">
        <f aca="false">IF(OR($AE58="",Fits!$B$62&lt;2),"",Fits!$B$63*$AE58+Fits!$B$64)</f>
        <v/>
      </c>
      <c r="AG58" s="21" t="n">
        <f aca="false">IF(OR($L58="",Fits!$B$69&lt;3),"",($L58-Fits!$B$71)/Fits!$B$70)</f>
        <v>-0.966144265735328</v>
      </c>
      <c r="AH58" s="21" t="str">
        <f aca="false">IF(OR($P58="",Fits!$B$75&lt;3),"",($P58-Fits!$B$77)/Fits!$B$76)</f>
        <v/>
      </c>
      <c r="AI58" s="23" t="str">
        <f aca="false">IF(OR($AG58="",$G58="",$G58=0),"",$AG58/($G58*1000)*100)</f>
        <v/>
      </c>
      <c r="AJ58" s="23" t="str">
        <f aca="false">IF(OR($AH58="",$G58="",$G58=0),"",$AH58/($G58*1000)*100)</f>
        <v/>
      </c>
      <c r="AK58" s="23" t="str">
        <f aca="false">IF(OR($AG58="",$AH58="",$AG58&lt;=0),"",($AH58/Setup!$B$52)/($AG58/Setup!$B$53))</f>
        <v/>
      </c>
      <c r="AL58" s="23" t="str">
        <f aca="false">IF(OR($AG58="",$AH58="",$AG58&lt;=0),"",$AH58/$AG58)</f>
        <v/>
      </c>
      <c r="AM58" s="9" t="str">
        <f aca="false">IF($D58="Linearity",IF($L58="","",$L58),"")</f>
        <v/>
      </c>
      <c r="AN58" s="9" t="str">
        <f aca="false">IF($D58="Linearity",IF($W58="","",$W58),"")</f>
        <v/>
      </c>
      <c r="AO58" s="9" t="str">
        <f aca="false">IF($D58="Linearity",IF($P58="","",$P58),"")</f>
        <v/>
      </c>
      <c r="AP58" s="9" t="str">
        <f aca="false">IF($D58="Linearity",IF($AB58="","",$AB58),"")</f>
        <v/>
      </c>
      <c r="AQ58" s="9" t="str">
        <f aca="false">IF($D58="Drift",IF($A58&lt;IF(Setup!$B$14="",0,Setup!$B$14),"",$A58),"")</f>
        <v/>
      </c>
      <c r="AR58" s="9" t="str">
        <f aca="false">IF($D58="Drift",IF($A58&lt;IF(Setup!$B$14="",0,Setup!$B$14),"",IF($BI58="","",$BI58)),"")</f>
        <v/>
      </c>
      <c r="AS58" s="9" t="str">
        <f aca="false">IF($D58="Drift",IF($A58&lt;IF(Setup!$B$14="",0,Setup!$B$14),"",IF(OR($X58="",$BX58=1),"",$X58)),"")</f>
        <v/>
      </c>
      <c r="AT58" s="9" t="str">
        <f aca="false">IF($D58="Drift",IF($A58&lt;IF(Setup!$B$14="",0,Setup!$B$14),"",IF(OR($AC58="",$BY58=1),"",$AC58)),"")</f>
        <v/>
      </c>
      <c r="AU58" s="9" t="str">
        <f aca="false">IF($D58="Anchor",IF(OR($Z58="",$S58=""),"",$Z58),"")</f>
        <v/>
      </c>
      <c r="AV58" s="9" t="str">
        <f aca="false">IF($D58="Anchor",IF(OR($Z58="",$S58=""),"",$S58),"")</f>
        <v/>
      </c>
      <c r="AW58" s="9" t="str">
        <f aca="false">IF($D58="Anchor",IF(OR($AE58="",$T58=""),"",$AE58),"")</f>
        <v/>
      </c>
      <c r="AX58" s="9" t="str">
        <f aca="false">IF($D58="Anchor",IF(OR($AE58="",$T58=""),"",$T58),"")</f>
        <v/>
      </c>
      <c r="AY58" s="9" t="str">
        <f aca="false">IF(OR($D58="Blank",$D58="Exclude",$D58="Sample",$D58="",$G58="",$U58="",$L58=""),"",$G58*1000*$U58/100)</f>
        <v/>
      </c>
      <c r="AZ58" s="9" t="str">
        <f aca="false">IF($AY58="","",$L58)</f>
        <v/>
      </c>
      <c r="BA58" s="9" t="str">
        <f aca="false">IF(OR($D58="Blank",$D58="Exclude",$D58="Sample",$D58="",$G58="",$V58="",$P58=""),"",$G58*1000*$V58/100)</f>
        <v/>
      </c>
      <c r="BB58" s="9" t="str">
        <f aca="false">IF($BA58="","",$P58)</f>
        <v/>
      </c>
      <c r="BC58" s="9" t="str">
        <f aca="false">IF(AND($D58="Blank",$L58&lt;&gt;""),$O58,"")</f>
        <v/>
      </c>
      <c r="BD58" s="9" t="str">
        <f aca="false">IF($BC58="","",$L58)</f>
        <v/>
      </c>
      <c r="BE58" s="9" t="str">
        <f aca="false">IF(AND($D58="Blank",$P58&lt;&gt;""),$R58,"")</f>
        <v/>
      </c>
      <c r="BF58" s="9" t="str">
        <f aca="false">IF($BE58="","",$P58)</f>
        <v/>
      </c>
      <c r="BG58" s="9" t="str">
        <f aca="false">IF(AND($D58="Drift",$BX58&lt;&gt;1),IF($AA58="","",$AA58),"")</f>
        <v/>
      </c>
      <c r="BH58" s="9" t="str">
        <f aca="false">IF(AND($D58="Drift",$BY58&lt;&gt;1),IF($AF58="","",$AF58),"")</f>
        <v/>
      </c>
      <c r="BI58" s="20" t="n">
        <f aca="false">IF($B58="","",IFERROR(INDEX(Raw!$G$2:$G$1001,MATCH($A58&amp;"|N|"&amp;SUMPRODUCT(MAX((Raw!$A$2:$A$1001=$A58)*(Raw!$R$2:$R$1001="N")*(Raw!$I$2:$I$1001=1)*Raw!$D$2:$D$1001)),Raw!$S$2:$S$1001,0)),""))</f>
        <v>23.2</v>
      </c>
      <c r="BJ58" s="21" t="n">
        <f aca="false">IF(OR($BI58="",Fits!$B$85&lt;=0),"",($BI58-Fits!$B$83)/Fits!$B$85)</f>
        <v>0.00900900900900882</v>
      </c>
      <c r="BK58" s="9" t="str">
        <f aca="false">IF($AS58="","",IF($A58&gt;=Fits!$B$86,"",$A58))</f>
        <v/>
      </c>
      <c r="BL58" s="9" t="str">
        <f aca="false">IF($BK58="","",$X58)</f>
        <v/>
      </c>
      <c r="BM58" s="9" t="str">
        <f aca="false">IF($AS58="","",IF($A58&lt;Fits!$B$86,"",$A58))</f>
        <v/>
      </c>
      <c r="BN58" s="9" t="str">
        <f aca="false">IF($BM58="","",$X58)</f>
        <v/>
      </c>
      <c r="BO58" s="9" t="str">
        <f aca="false">IF(AND($D58="Drift",$BX58&lt;&gt;1),IF($O58="","",$O58),"")</f>
        <v/>
      </c>
      <c r="BP58" s="9" t="str">
        <f aca="false">IF(AND($D58="Drift",$BX58&lt;&gt;1),IF($W58="","",$W58),"")</f>
        <v/>
      </c>
      <c r="BQ58" s="9" t="str">
        <f aca="false">IF(AND($D58="Drift",$BX58&lt;&gt;1),IF($X58="","",$X58),"")</f>
        <v/>
      </c>
      <c r="BR58" s="9" t="str">
        <f aca="false">IF(AND($D58="Drift",$BX58&lt;&gt;1),IF($Z58="","",$Z58),"")</f>
        <v/>
      </c>
      <c r="BS58" s="9" t="n">
        <f aca="false">IF(OR($B58="",$H58=""),"",SUMPRODUCT(MIN((Raw!$A$2:$A$1001=$A58)*(Raw!$R$2:$R$1001="N")*(Raw!$I$2:$I$1001=0)*(Raw!$D$2:$D$1001&lt;$H58)*Raw!$D$2:$D$1001+(1-(Raw!$A$2:$A$1001=$A58)*(Raw!$R$2:$R$1001="N")*(Raw!$I$2:$I$1001=0)*(Raw!$D$2:$D$1001&lt;$H58))*9999)))</f>
        <v>1</v>
      </c>
      <c r="BT58" s="16" t="n">
        <f aca="false">IF(OR($BS58="",$BS58=9999,$BS58=0),"",IFERROR(INDEX(Raw!$N$2:$N$1001,MATCH($A58&amp;"|N|"&amp;$BS58,Raw!$S$2:$S$1001,0)),""))</f>
        <v>-1.245</v>
      </c>
      <c r="BU58" s="9" t="n">
        <f aca="false">IF($B58="","",SUMPRODUCT(MIN((Raw!$A$2:$A$1001=$A58)*(Raw!$R$2:$R$1001="C")*(Raw!$I$2:$I$1001=1)*Raw!$D$2:$D$1001+(1-(Raw!$A$2:$A$1001=$A58)*(Raw!$R$2:$R$1001="C")*(Raw!$I$2:$I$1001=1))*9999)))</f>
        <v>4</v>
      </c>
      <c r="BV58" s="9" t="n">
        <f aca="false">IF(OR($BU58="",$BU58=9999),"",SUMPRODUCT(MIN((Raw!$A$2:$A$1001=$A58)*(Raw!$R$2:$R$1001="C")*(Raw!$I$2:$I$1001=0)*(Raw!$D$2:$D$1001&gt;$BU58)*Raw!$D$2:$D$1001+(1-(Raw!$A$2:$A$1001=$A58)*(Raw!$R$2:$R$1001="C")*(Raw!$I$2:$I$1001=0)*(Raw!$D$2:$D$1001&gt;$BU58))*9999)))</f>
        <v>5</v>
      </c>
      <c r="BW58" s="16" t="n">
        <f aca="false">IF(OR($BV58="",$BV58=9999,$BV58=0),"",IFERROR(INDEX(Raw!$O$2:$O$1001,MATCH($A58&amp;"|C|"&amp;$BV58,Raw!$S$2:$S$1001,0)),""))</f>
        <v>-25.479</v>
      </c>
      <c r="BX58" s="9" t="n">
        <f aca="false">IF($B58="","",IF(ISNUMBER(SEARCH(","&amp;$A58&amp;",",","&amp;SUBSTITUTE(Setup!$B$16," ","")&amp;",")),1,0))</f>
        <v>0</v>
      </c>
      <c r="BY58" s="9" t="n">
        <f aca="false">IF($B58="","",IF(ISNUMBER(SEARCH(","&amp;$A58&amp;",",","&amp;SUBSTITUTE(Setup!$B$17," ","")&amp;",")),1,0))</f>
        <v>0</v>
      </c>
      <c r="BZ58" s="22" t="str">
        <f aca="false">IF($AS58="","",IF(Fits!$B$38="Row",$AQ58,IF($AR58="","",$AR58)))</f>
        <v/>
      </c>
      <c r="CA58" s="22" t="str">
        <f aca="false">IF($AT58="","",IF(Fits!$B$50="Row",$AQ58,IF($AR58="","",$AR58)))</f>
        <v/>
      </c>
      <c r="CB58" s="20" t="str">
        <f aca="false">IF(OR($D58&lt;&gt;"Drift",$X58="",$A58&lt;IF(Setup!$B$14="",0,Setup!$B$14),Fits!$B$107&lt;3,Fits!$B$110="",Fits!$B$109=0,IF(Fits!$B$38="Row",$AQ58,$AR58)=""),"",IF($BX58=1,IF(OR(Fits!$B$111="",Fits!$B$111=0),"",($X58-(IF(Fits!$B$38="Row",Fits!$B$32,Fits!$B$35)*IF(Fits!$B$38="Row",$AQ58,$AR58)+Fits!$B$110))/(Fits!$B$111*SQRT(1+(1/Fits!$B$107+(IF(Fits!$B$38="Row",$AQ58,$AR58)-Fits!$B$108)^2/Fits!$B$109)))),IF(OR(Fits!$B$107&lt;4,(1/Fits!$B$107+(IF(Fits!$B$38="Row",$AQ58,$AR58)-Fits!$B$108)^2/Fits!$B$109)&gt;=1),"",IF((Fits!$B$116-($X58-(IF(Fits!$B$38="Row",Fits!$B$32,Fits!$B$35)*IF(Fits!$B$38="Row",$AQ58,$AR58)+Fits!$B$110))^2/(1-(1/Fits!$B$107+(IF(Fits!$B$38="Row",$AQ58,$AR58)-Fits!$B$108)^2/Fits!$B$109)))&lt;=0,"",($X58-(IF(Fits!$B$38="Row",Fits!$B$32,Fits!$B$35)*IF(Fits!$B$38="Row",$AQ58,$AR58)+Fits!$B$110))/(SQRT((Fits!$B$116-($X58-(IF(Fits!$B$38="Row",Fits!$B$32,Fits!$B$35)*IF(Fits!$B$38="Row",$AQ58,$AR58)+Fits!$B$110))^2/(1-(1/Fits!$B$107+(IF(Fits!$B$38="Row",$AQ58,$AR58)-Fits!$B$108)^2/Fits!$B$109)))/(Fits!$B$107-3))*SQRT(1-(1/Fits!$B$107+(IF(Fits!$B$38="Row",$AQ58,$AR58)-Fits!$B$108)^2/Fits!$B$109)))))))</f>
        <v/>
      </c>
      <c r="CC58" s="20" t="str">
        <f aca="false">IF(OR($D58&lt;&gt;"Drift",$AC58="",$A58&lt;IF(Setup!$B$14="",0,Setup!$B$14),Fits!$B$120&lt;3,Fits!$B$123="",Fits!$B$122=0,IF(Fits!$B$50="Row",$AQ58,$AR58)=""),"",IF($BY58=1,IF(OR(Fits!$B$124="",Fits!$B$124=0),"",($AC58-(IF(Fits!$B$50="Row",Fits!$B$44,Fits!$B$47)*IF(Fits!$B$50="Row",$AQ58,$AR58)+Fits!$B$123))/(Fits!$B$124*SQRT(1+(1/Fits!$B$120+(IF(Fits!$B$50="Row",$AQ58,$AR58)-Fits!$B$121)^2/Fits!$B$122)))),IF(OR(Fits!$B$120&lt;4,(1/Fits!$B$120+(IF(Fits!$B$50="Row",$AQ58,$AR58)-Fits!$B$121)^2/Fits!$B$122)&gt;=1),"",IF((Fits!$B$129-($AC58-(IF(Fits!$B$50="Row",Fits!$B$44,Fits!$B$47)*IF(Fits!$B$50="Row",$AQ58,$AR58)+Fits!$B$123))^2/(1-(1/Fits!$B$120+(IF(Fits!$B$50="Row",$AQ58,$AR58)-Fits!$B$121)^2/Fits!$B$122)))&lt;=0,"",($AC58-(IF(Fits!$B$50="Row",Fits!$B$44,Fits!$B$47)*IF(Fits!$B$50="Row",$AQ58,$AR58)+Fits!$B$123))/(SQRT((Fits!$B$129-($AC58-(IF(Fits!$B$50="Row",Fits!$B$44,Fits!$B$47)*IF(Fits!$B$50="Row",$AQ58,$AR58)+Fits!$B$123))^2/(1-(1/Fits!$B$120+(IF(Fits!$B$50="Row",$AQ58,$AR58)-Fits!$B$121)^2/Fits!$B$122)))/(Fits!$B$120-3))*SQRT(1-(1/Fits!$B$120+(IF(Fits!$B$50="Row",$AQ58,$AR58)-Fits!$B$121)^2/Fits!$B$122)))))))</f>
        <v/>
      </c>
      <c r="CD58" s="9" t="str">
        <f aca="false">IF($AU58="","",1)</f>
        <v/>
      </c>
      <c r="CE58" s="24" t="str">
        <f aca="false">IF($AU58="","",$AU58-Fits!$B$133)</f>
        <v/>
      </c>
      <c r="CF58" s="24" t="str">
        <f aca="false">IF($AU58="","",($AV58-(Fits!$B$56*$AU58+Fits!$B$57))-Fits!$B$56*($AU58-Fits!$B$133))</f>
        <v/>
      </c>
      <c r="CG58" s="25" t="str">
        <f aca="false">IF($AU58="","",$AU58^2)</f>
        <v/>
      </c>
      <c r="CH58" s="9" t="str">
        <f aca="false">IF($AW58="","",1)</f>
        <v/>
      </c>
      <c r="CI58" s="24" t="str">
        <f aca="false">IF($AW58="","",$AW58-Fits!$B$153)</f>
        <v/>
      </c>
      <c r="CJ58" s="24" t="str">
        <f aca="false">IF($AW58="","",($AX58-(Fits!$B$63*$AW58+Fits!$B$64))-Fits!$B$63*($AW58-Fits!$B$153))</f>
        <v/>
      </c>
      <c r="CK58" s="25" t="str">
        <f aca="false">IF($AW58="","",$AW58^2)</f>
        <v/>
      </c>
      <c r="CL58" s="26" t="n">
        <f aca="false">IF(OR($Z58="",Fits!$B$55&lt;3,Fits!$B$133="",Fits!$B$134="",Fits!$B$134=0,Fits!$B$136=""),"",SQRT((Fits!$B$136*Fits!$B$56)^2+SUMPRODUCT((Fits!$J$163:$J$175*(Fits!$B$163:$B$175/Fits!$B$55+Fits!$H$163:$H$175*($Z58-Fits!$B$133)/Fits!$B$134))^2)+SUMPRODUCT((Fits!$G$163:$G$175*(($Z58-Fits!$B$133)*Fits!$I$163:$I$175/Fits!$B$134-Fits!$B$163:$B$175*Fits!$B$56/Fits!$B$55))^2)))</f>
        <v>0.274402710977006</v>
      </c>
      <c r="CM58" s="26" t="n">
        <f aca="false">IF($CL58="","",Setup!$B$32*$CL58)</f>
        <v>0.548805421954013</v>
      </c>
      <c r="CN58" s="26" t="str">
        <f aca="false">IF(OR($AE58="",Fits!$B$62&lt;3,Fits!$B$153="",Fits!$B$154="",Fits!$B$154=0,Fits!$B$156=""),"",SQRT((Fits!$B$156*Fits!$B$63)^2+SUMPRODUCT((Fits!$J$183:$J$195*(Fits!$B$183:$B$195/Fits!$B$62+Fits!$H$183:$H$195*($AE58-Fits!$B$153)/Fits!$B$154))^2)+SUMPRODUCT((Fits!$G$183:$G$195*(($AE58-Fits!$B$153)*Fits!$I$183:$I$195/Fits!$B$154-Fits!$B$183:$B$195*Fits!$B$63/Fits!$B$62))^2)))</f>
        <v/>
      </c>
      <c r="CO58" s="26" t="str">
        <f aca="false">IF($CN58="","",Setup!$B$32*$CN58)</f>
        <v/>
      </c>
      <c r="CP58" s="9" t="n">
        <f aca="false">IF(OR(NOT(ISNUMBER($BJ58)),$EK58=1),$CP57,IF($BJ58&lt;=Setup!$B$26,$CP57+1,0))</f>
        <v>23</v>
      </c>
      <c r="CQ58" s="9" t="n">
        <f aca="false">IF($BT58="","",$A58)</f>
        <v>53</v>
      </c>
      <c r="CR58" s="9" t="n">
        <f aca="false">IF($BW58="","",$A58)</f>
        <v>53</v>
      </c>
      <c r="CS58" s="9" t="n">
        <f aca="false">IF($B58="","",IF(Setup!$A$37="",0,IF(ISNUMBER(SEARCH(Setup!$A$37,$B58)),37,0)))</f>
        <v>0</v>
      </c>
      <c r="CT58" s="9" t="n">
        <f aca="false">IF($B58="","",IF(Setup!$A$38="",0,IF(ISNUMBER(SEARCH(Setup!$A$38,$B58)),38,0)))</f>
        <v>0</v>
      </c>
      <c r="CU58" s="9" t="n">
        <f aca="false">IF($B58="","",IF(Setup!$A$39="",0,IF(ISNUMBER(SEARCH(Setup!$A$39,$B58)),39,0)))</f>
        <v>0</v>
      </c>
      <c r="CV58" s="9" t="n">
        <f aca="false">IF($B58="","",IF(Setup!$A$40="",0,IF(ISNUMBER(SEARCH(Setup!$A$40,$B58)),40,0)))</f>
        <v>0</v>
      </c>
      <c r="CW58" s="9" t="n">
        <f aca="false">IF($B58="","",IF(Setup!$A$41="",0,IF(ISNUMBER(SEARCH(Setup!$A$41,$B58)),41,0)))</f>
        <v>0</v>
      </c>
      <c r="CX58" s="9" t="n">
        <f aca="false">IF($B58="","",IF(Setup!$A$42="",0,IF(ISNUMBER(SEARCH(Setup!$A$42,$B58)),42,0)))</f>
        <v>0</v>
      </c>
      <c r="CY58" s="9" t="n">
        <f aca="false">IF($B58="","",IF(Setup!$A$43="",0,IF(ISNUMBER(SEARCH(Setup!$A$43,$B58)),43,0)))</f>
        <v>0</v>
      </c>
      <c r="CZ58" s="9" t="n">
        <f aca="false">IF($B58="","",IF(Setup!$A$44="",0,IF(ISNUMBER(SEARCH(Setup!$A$44,$B58)),44,0)))</f>
        <v>0</v>
      </c>
      <c r="DA58" s="9" t="n">
        <f aca="false">IF($B58="","",IF(Setup!$A$45="",0,IF(ISNUMBER(SEARCH(Setup!$A$45,$B58)),45,0)))</f>
        <v>0</v>
      </c>
      <c r="DB58" s="9" t="n">
        <f aca="false">IF($B58="","",IF(Setup!$A$46="",0,IF(ISNUMBER(SEARCH(Setup!$A$46,$B58)),46,0)))</f>
        <v>0</v>
      </c>
      <c r="DC58" s="9" t="n">
        <f aca="false">IF($B58="","",IF(Setup!$A$47="",0,IF(ISNUMBER(SEARCH(Setup!$A$47,$B58)),47,0)))</f>
        <v>0</v>
      </c>
      <c r="DD58" s="9" t="n">
        <f aca="false">IF($B58="","",IF(Setup!$A$48="",0,IF(ISNUMBER(SEARCH(Setup!$A$48,$B58)),48,0)))</f>
        <v>0</v>
      </c>
      <c r="DE58" s="9" t="n">
        <f aca="false">IF($B58="","",IF(Setup!$A$49="",0,IF(ISNUMBER(SEARCH(Setup!$A$49,$B58)),49,0)))</f>
        <v>0</v>
      </c>
      <c r="DF58" s="9" t="n">
        <f aca="false">IF($B58="",NA(),$A58)</f>
        <v>53</v>
      </c>
      <c r="DG58" s="22" t="n">
        <f aca="false">IF($BI58="",NA(),$BI58)</f>
        <v>23.2</v>
      </c>
      <c r="DH58" s="22" t="n">
        <f aca="false">IF($N58="",NA(),$N58)</f>
        <v>25.7</v>
      </c>
      <c r="DI58" s="9" t="e">
        <f aca="false">IF(AND($D58="Drift",$N58&lt;&gt;""),$N58,NA())</f>
        <v>#N/A</v>
      </c>
      <c r="DJ58" s="9" t="str">
        <f aca="false">IF(AND($D58="Drift",$N58&lt;&gt;""),$N58,"")</f>
        <v/>
      </c>
      <c r="DK58" s="9" t="str">
        <f aca="false">IF($DJ58="","",$A58)</f>
        <v/>
      </c>
      <c r="DL58" s="9" t="e">
        <f aca="false">IF($AN58="",NA(),$AM58)</f>
        <v>#N/A</v>
      </c>
      <c r="DM58" s="9" t="e">
        <f aca="false">IF($AN58="",NA(),$AN58)</f>
        <v>#N/A</v>
      </c>
      <c r="DN58" s="24" t="n">
        <f aca="false">IF(AND($D58="Sample",$L58&lt;&gt;""),$L58,NA())</f>
        <v>1.4</v>
      </c>
      <c r="DO58" s="24" t="n">
        <f aca="false">IF(AND($D58="Sample",$L58&lt;&gt;"",Fits!$B$98&lt;&gt;""),Fits!$B$98,NA())</f>
        <v>-6.0577</v>
      </c>
      <c r="DP58" s="9" t="e">
        <f aca="false">IF($AS58="",NA(),$AS58)</f>
        <v>#N/A</v>
      </c>
      <c r="DQ58" s="9" t="e">
        <f aca="false">IF(AND($D58="Drift",$AS58="",$X58&lt;&gt;""),$X58,NA())</f>
        <v>#N/A</v>
      </c>
      <c r="DR58" s="9" t="e">
        <f aca="false">IF(AND($D58="Drift",$Z58&lt;&gt;""),$Z58,NA())</f>
        <v>#N/A</v>
      </c>
      <c r="DS58" s="25" t="n">
        <f aca="false">IF(AND(OR($D58="Sample",$D58="Check"),$AA58&lt;&gt;""),$AA58,NA())</f>
        <v>-8.27705572363885</v>
      </c>
      <c r="DT58" s="25" t="n">
        <f aca="false">IF(OR($B58="",Fits!$B$138=""),NA(),Fits!$B$138)</f>
        <v>1.76</v>
      </c>
      <c r="DU58" s="25" t="n">
        <f aca="false">IF(OR($B58="",Fits!$B$139=""),NA(),Fits!$B$139)</f>
        <v>20.68</v>
      </c>
      <c r="DV58" s="24" t="n">
        <f aca="false">IF($BT58="",NA(),$BT58)</f>
        <v>-1.245</v>
      </c>
      <c r="DW58" s="9" t="e">
        <f aca="false">IF($AP58="",NA(),$AO58)</f>
        <v>#N/A</v>
      </c>
      <c r="DX58" s="9" t="e">
        <f aca="false">IF($AP58="",NA(),$AP58)</f>
        <v>#N/A</v>
      </c>
      <c r="DY58" s="9" t="e">
        <f aca="false">IF(AND($D58="Sample",$P58&lt;&gt;""),$P58,NA())</f>
        <v>#N/A</v>
      </c>
      <c r="DZ58" s="9" t="e">
        <f aca="false">IF(AND($D58="Sample",$P58&lt;&gt;"",Fits!$B$105&lt;&gt;""),Fits!$B$105,NA())</f>
        <v>#N/A</v>
      </c>
      <c r="EA58" s="9" t="e">
        <f aca="false">IF($AT58="",NA(),$AT58)</f>
        <v>#N/A</v>
      </c>
      <c r="EB58" s="9" t="e">
        <f aca="false">IF(AND($D58="Drift",$AT58="",$AC58&lt;&gt;""),$AC58,NA())</f>
        <v>#N/A</v>
      </c>
      <c r="EC58" s="9" t="e">
        <f aca="false">IF(AND($D58="Drift",$AE58&lt;&gt;""),$AE58,NA())</f>
        <v>#N/A</v>
      </c>
      <c r="ED58" s="9" t="e">
        <f aca="false">IF(AND(OR($D58="Sample",$D58="Check"),$AF58&lt;&gt;""),$AF58,NA())</f>
        <v>#N/A</v>
      </c>
      <c r="EE58" s="25" t="n">
        <f aca="false">IF(OR($B58="",Fits!$B$158=""),NA(),Fits!$B$158)</f>
        <v>-40.81</v>
      </c>
      <c r="EF58" s="25" t="n">
        <f aca="false">IF(OR($B58="",Fits!$B$159=""),NA(),Fits!$B$159)</f>
        <v>-20.29</v>
      </c>
      <c r="EG58" s="24" t="n">
        <f aca="false">IF($BW58="",NA(),$BW58)</f>
        <v>-25.479</v>
      </c>
      <c r="EH58" s="9" t="e">
        <f aca="false">IF(AND($EN58=1,ISNUMBER($N58)),$N58,NA())</f>
        <v>#N/A</v>
      </c>
      <c r="EI58" s="9" t="n">
        <f aca="false">IF($B58="","",$A58)</f>
        <v>53</v>
      </c>
      <c r="EJ58" s="9" t="n">
        <f aca="false">IF(OR(AND(ISNUMBER($L58),Fits!$B$97&gt;0,$L58&gt;Fits!$B$97),AND(ISNUMBER($P58),Fits!$B$104&gt;0,$P58&gt;Fits!$B$104)),1,0)</f>
        <v>0</v>
      </c>
      <c r="EK58" s="9" t="n">
        <f aca="false">IF(OR($EJ57=1,$EJ56=1),1,0)</f>
        <v>0</v>
      </c>
      <c r="EL58" s="22" t="n">
        <f aca="false">IF(AND($EK58=0,ISNUMBER($N58)),$N58,$EL57)</f>
        <v>25.7</v>
      </c>
      <c r="EM58" s="9" t="str">
        <f aca="false">IF(AND($EK58=1,ISNUMBER($N58),ISNUMBER($EL58)),$N58-$EL58,"")</f>
        <v/>
      </c>
      <c r="EN58" s="9" t="n">
        <f aca="false">IF(Setup!$B$28="",0,IF(ISNUMBER($EM58),IF($EM58&gt;Setup!$B$28,1,0),0))</f>
        <v>0</v>
      </c>
      <c r="EO58" s="9" t="str">
        <f aca="false">IF($EN58=1,COUNTIF($EN$6:$EN58,1),"")</f>
        <v/>
      </c>
      <c r="EP58" s="9" t="n">
        <f aca="false">IF(AND($EJ57=1,OR($D58="Sample",$D58="Check")),1,0)</f>
        <v>0</v>
      </c>
      <c r="EQ58" s="9" t="str">
        <f aca="false">IF(ISNUMBER($BI58),IF(COUNT($BI$6:$BI58)&lt;=5,$BI58,""),"")</f>
        <v/>
      </c>
      <c r="ER58" s="9" t="n">
        <f aca="false">IF(OR(NOT(ISNUMBER($BJ58)),$EK58=1),$ER57,IF($BJ58&lt;=Setup!$B$26,IF($CP57=0,$A58,$ER57),""))</f>
        <v>27</v>
      </c>
    </row>
    <row r="59" customFormat="false" ht="15" hidden="false" customHeight="false" outlineLevel="0" collapsed="false">
      <c r="A59" s="8" t="n">
        <v>54</v>
      </c>
      <c r="B59" s="8" t="str">
        <f aca="false">IFERROR(INDEX(Raw!$B$2:$B$1001,MATCH($A59,Raw!$A$2:$A$1001,0)),"")</f>
        <v>Ace Drift12</v>
      </c>
      <c r="C59" s="9" t="n">
        <f aca="false">IF($B59="","",MAX($CS59:$DE59))</f>
        <v>43</v>
      </c>
      <c r="D59" s="8" t="str">
        <f aca="false">IF($B59="","",IF($C59=0,"Sample",INDEX(Setup!$B$37:$B$49,$C59-36)))</f>
        <v>Drift</v>
      </c>
      <c r="E59" s="16" t="n">
        <f aca="false">IF($B59="","",IFERROR(IF(INDEX(Raw!$E$2:$E$1001,MATCH($A59,Raw!$A$2:$A$1001,0))=0,"",INDEX(Raw!$E$2:$E$1001,MATCH($A59,Raw!$A$2:$A$1001,0))),""))</f>
        <v>0.38</v>
      </c>
      <c r="F59" s="18"/>
      <c r="G59" s="16" t="n">
        <f aca="false">IF($B59="","",IF($F59&lt;&gt;"",$F59,IF($E59="","",$E59)))</f>
        <v>0.38</v>
      </c>
      <c r="H59" s="9" t="n">
        <f aca="false">IF($B59="","",SUMPRODUCT(MAX((Raw!$A$2:$A$1001=$A59)*(Raw!$R$2:$R$1001="N")*Raw!$D$2:$D$1001)))</f>
        <v>3</v>
      </c>
      <c r="I59" s="9" t="str">
        <f aca="false">IF(OR($H59="",$H59=0),"",$A59&amp;"|N|"&amp;$H59)</f>
        <v>54|N|3</v>
      </c>
      <c r="J59" s="9" t="n">
        <f aca="false">IF($B59="","",SUMPRODUCT(MIN((Raw!$A$2:$A$1001=$A59)*(Raw!$R$2:$R$1001="C")*Raw!$D$2:$D$1001+(1-(Raw!$A$2:$A$1001=$A59)*(Raw!$R$2:$R$1001="C"))*9999)))</f>
        <v>4</v>
      </c>
      <c r="K59" s="9" t="str">
        <f aca="false">IF(OR($J59="",$J59=0,$J59=9999),"",$A59&amp;"|C|"&amp;$J59)</f>
        <v>54|C|4</v>
      </c>
      <c r="L59" s="16" t="n">
        <f aca="false">IF($I59="","",IF(INDEX(Raw!$I$2:$I$1001,MATCH($I59,Raw!$S$2:$S$1001,0))&lt;&gt;0,"",INDEX(Raw!$H$2:$H$1001,MATCH($I59,Raw!$S$2:$S$1001,0))))</f>
        <v>27.037</v>
      </c>
      <c r="M59" s="19" t="n">
        <f aca="false">IF($I59="","",IF(INDEX(Raw!$I$2:$I$1001,MATCH($I59,Raw!$S$2:$S$1001,0))&lt;&gt;0,"",INDEX(Raw!$F$2:$F$1001,MATCH($I59,Raw!$S$2:$S$1001,0))))</f>
        <v>1494</v>
      </c>
      <c r="N59" s="20" t="n">
        <f aca="false">IF($I59="","",IF(INDEX(Raw!$I$2:$I$1001,MATCH($I59,Raw!$S$2:$S$1001,0))&lt;&gt;0,"",INDEX(Raw!$G$2:$G$1001,MATCH($I59,Raw!$S$2:$S$1001,0))))</f>
        <v>23.8</v>
      </c>
      <c r="O59" s="16" t="n">
        <f aca="false">IF($I59="","",IF(INDEX(Raw!$I$2:$I$1001,MATCH($I59,Raw!$S$2:$S$1001,0))&lt;&gt;0,"",INDEX(Raw!$N$2:$N$1001,MATCH($I59,Raw!$S$2:$S$1001,0))))</f>
        <v>-6.297</v>
      </c>
      <c r="P59" s="16" t="n">
        <f aca="false">IF($K59="","",IF(INDEX(Raw!$I$2:$I$1001,MATCH($K59,Raw!$S$2:$S$1001,0))&lt;&gt;0,"",INDEX(Raw!$K$2:$K$1001,MATCH($K59,Raw!$S$2:$S$1001,0))))</f>
        <v>122.82</v>
      </c>
      <c r="Q59" s="19" t="n">
        <f aca="false">IF($K59="","",IF(INDEX(Raw!$I$2:$I$1001,MATCH($K59,Raw!$S$2:$S$1001,0))&lt;&gt;0,"",INDEX(Raw!$J$2:$J$1001,MATCH($K59,Raw!$S$2:$S$1001,0))))</f>
        <v>5383</v>
      </c>
      <c r="R59" s="16" t="n">
        <f aca="false">IF($K59="","",IF(INDEX(Raw!$I$2:$I$1001,MATCH($K59,Raw!$S$2:$S$1001,0))&lt;&gt;0,"",INDEX(Raw!$O$2:$O$1001,MATCH($K59,Raw!$S$2:$S$1001,0))))</f>
        <v>-9.406</v>
      </c>
      <c r="S59" s="21" t="str">
        <f aca="false">IF($B59="","",IF($C59=0,"",IF(INDEX(Setup!$D$37:$D$49,$C59-36)="","",INDEX(Setup!$D$37:$D$49,$C59-36))))</f>
        <v/>
      </c>
      <c r="T59" s="21" t="str">
        <f aca="false">IF($B59="","",IF($C59=0,"",IF(INDEX(Setup!$C$37:$C$49,$C59-36)="","",INDEX(Setup!$C$37:$C$49,$C59-36))))</f>
        <v/>
      </c>
      <c r="U59" s="21" t="n">
        <f aca="false">IF($B59="","",IF($C59=0,"",IF(INDEX(Setup!$F$37:$F$49,$C59-36)="","",INDEX(Setup!$F$37:$F$49,$C59-36))))</f>
        <v>10.36</v>
      </c>
      <c r="V59" s="21" t="n">
        <f aca="false">IF($B59="","",IF($C59=0,"",IF(INDEX(Setup!$E$37:$E$49,$C59-36)="","",INDEX(Setup!$E$37:$E$49,$C59-36))))</f>
        <v>71.09</v>
      </c>
      <c r="W59" s="16" t="n">
        <f aca="false">IF($O59="","",IF(OR(Fits!$C$5&lt;&gt;"Yes",$D59="Blank",$L59&lt;=Fits!$B$6),$O59,($L59*$O59-Fits!$B$6*Fits!$B$7)/($L59-Fits!$B$6)))</f>
        <v>-6.297</v>
      </c>
      <c r="X59" s="16" t="n">
        <f aca="false">IF($W59="","",$W59-Fits!$B$20*($L59-Fits!$B$16))</f>
        <v>-6.297</v>
      </c>
      <c r="Y59" s="22" t="n">
        <f aca="false">IF($W59="","",IF(OR(Fits!$B$38="Row",$BI59=""),$A59,$BI59))</f>
        <v>54</v>
      </c>
      <c r="Z59" s="16" t="n">
        <f aca="false">IF($X59="","",$X59-Fits!$B$39*($Y59-Fits!$B$40))</f>
        <v>-5.99850815011211</v>
      </c>
      <c r="AA59" s="23" t="n">
        <f aca="false">IF(OR($Z59="",Fits!$B$55&lt;2),"",Fits!$B$56*$Z59+Fits!$B$57)</f>
        <v>-5.13078582494694</v>
      </c>
      <c r="AB59" s="16" t="n">
        <f aca="false">IF($R59="","",IF(OR(Fits!$C$9&lt;&gt;"Yes",$D59="Blank",$P59&lt;=Fits!$B$10),$R59,($P59*$R59-Fits!$B$10*Fits!$B$11)/($P59-Fits!$B$10)))</f>
        <v>-9.406</v>
      </c>
      <c r="AC59" s="16" t="n">
        <f aca="false">IF($AB59="","",$AB59-Fits!$B$28*($P59-Fits!$B$24))</f>
        <v>-9.39778069606459</v>
      </c>
      <c r="AD59" s="22" t="n">
        <f aca="false">IF($AB59="","",IF(OR(Fits!$B$50="Row",$BI59=""),$A59,$BI59))</f>
        <v>54</v>
      </c>
      <c r="AE59" s="16" t="n">
        <f aca="false">IF($AC59="","",$AC59-Fits!$B$51*($AD59-Fits!$B$52))</f>
        <v>-9.45033350127231</v>
      </c>
      <c r="AF59" s="23" t="n">
        <f aca="false">IF(OR($AE59="",Fits!$B$62&lt;2),"",Fits!$B$63*$AE59+Fits!$B$64)</f>
        <v>-26.5763022086713</v>
      </c>
      <c r="AG59" s="21" t="n">
        <f aca="false">IF(OR($L59="",Fits!$B$69&lt;3),"",($L59-Fits!$B$71)/Fits!$B$70)</f>
        <v>41.3838308399569</v>
      </c>
      <c r="AH59" s="21" t="n">
        <f aca="false">IF(OR($P59="",Fits!$B$75&lt;3),"",($P59-Fits!$B$77)/Fits!$B$76)</f>
        <v>275.760315538876</v>
      </c>
      <c r="AI59" s="23" t="n">
        <f aca="false">IF(OR($AG59="",$G59="",$G59=0),"",$AG59/($G59*1000)*100)</f>
        <v>10.8904817999886</v>
      </c>
      <c r="AJ59" s="23" t="n">
        <f aca="false">IF(OR($AH59="",$G59="",$G59=0),"",$AH59/($G59*1000)*100)</f>
        <v>72.5685040891779</v>
      </c>
      <c r="AK59" s="23" t="n">
        <f aca="false">IF(OR($AG59="",$AH59="",$AG59&lt;=0),"",($AH59/Setup!$B$52)/($AG59/Setup!$B$53))</f>
        <v>7.77082339200882</v>
      </c>
      <c r="AL59" s="23" t="n">
        <f aca="false">IF(OR($AG59="",$AH59="",$AG59&lt;=0),"",$AH59/$AG59)</f>
        <v>6.663479671694</v>
      </c>
      <c r="AM59" s="9" t="str">
        <f aca="false">IF($D59="Linearity",IF($L59="","",$L59),"")</f>
        <v/>
      </c>
      <c r="AN59" s="9" t="str">
        <f aca="false">IF($D59="Linearity",IF($W59="","",$W59),"")</f>
        <v/>
      </c>
      <c r="AO59" s="9" t="str">
        <f aca="false">IF($D59="Linearity",IF($P59="","",$P59),"")</f>
        <v/>
      </c>
      <c r="AP59" s="9" t="str">
        <f aca="false">IF($D59="Linearity",IF($AB59="","",$AB59),"")</f>
        <v/>
      </c>
      <c r="AQ59" s="9" t="n">
        <f aca="false">IF($D59="Drift",IF($A59&lt;IF(Setup!$B$14="",0,Setup!$B$14),"",$A59),"")</f>
        <v>54</v>
      </c>
      <c r="AR59" s="22" t="n">
        <f aca="false">IF($D59="Drift",IF($A59&lt;IF(Setup!$B$14="",0,Setup!$B$14),"",IF($BI59="","",$BI59)),"")</f>
        <v>23</v>
      </c>
      <c r="AS59" s="24" t="n">
        <f aca="false">IF($D59="Drift",IF($A59&lt;IF(Setup!$B$14="",0,Setup!$B$14),"",IF(OR($X59="",$BX59=1),"",$X59)),"")</f>
        <v>-6.297</v>
      </c>
      <c r="AT59" s="24" t="n">
        <f aca="false">IF($D59="Drift",IF($A59&lt;IF(Setup!$B$14="",0,Setup!$B$14),"",IF(OR($AC59="",$BY59=1),"",$AC59)),"")</f>
        <v>-9.39778069606459</v>
      </c>
      <c r="AU59" s="9" t="str">
        <f aca="false">IF($D59="Anchor",IF(OR($Z59="",$S59=""),"",$Z59),"")</f>
        <v/>
      </c>
      <c r="AV59" s="9" t="str">
        <f aca="false">IF($D59="Anchor",IF(OR($Z59="",$S59=""),"",$S59),"")</f>
        <v/>
      </c>
      <c r="AW59" s="9" t="str">
        <f aca="false">IF($D59="Anchor",IF(OR($AE59="",$T59=""),"",$AE59),"")</f>
        <v/>
      </c>
      <c r="AX59" s="9" t="str">
        <f aca="false">IF($D59="Anchor",IF(OR($AE59="",$T59=""),"",$T59),"")</f>
        <v/>
      </c>
      <c r="AY59" s="9" t="n">
        <f aca="false">IF(OR($D59="Blank",$D59="Exclude",$D59="Sample",$D59="",$G59="",$U59="",$L59=""),"",$G59*1000*$U59/100)</f>
        <v>39.368</v>
      </c>
      <c r="AZ59" s="24" t="n">
        <f aca="false">IF($AY59="","",$L59)</f>
        <v>27.037</v>
      </c>
      <c r="BA59" s="9" t="n">
        <f aca="false">IF(OR($D59="Blank",$D59="Exclude",$D59="Sample",$D59="",$G59="",$V59="",$P59=""),"",$G59*1000*$V59/100)</f>
        <v>270.142</v>
      </c>
      <c r="BB59" s="24" t="n">
        <f aca="false">IF($BA59="","",$P59)</f>
        <v>122.82</v>
      </c>
      <c r="BC59" s="9" t="str">
        <f aca="false">IF(AND($D59="Blank",$L59&lt;&gt;""),$O59,"")</f>
        <v/>
      </c>
      <c r="BD59" s="9" t="str">
        <f aca="false">IF($BC59="","",$L59)</f>
        <v/>
      </c>
      <c r="BE59" s="9" t="str">
        <f aca="false">IF(AND($D59="Blank",$P59&lt;&gt;""),$R59,"")</f>
        <v/>
      </c>
      <c r="BF59" s="9" t="str">
        <f aca="false">IF($BE59="","",$P59)</f>
        <v/>
      </c>
      <c r="BG59" s="25" t="n">
        <f aca="false">IF(AND($D59="Drift",$BX59&lt;&gt;1),IF($AA59="","",$AA59),"")</f>
        <v>-5.13078582494694</v>
      </c>
      <c r="BH59" s="25" t="n">
        <f aca="false">IF(AND($D59="Drift",$BY59&lt;&gt;1),IF($AF59="","",$AF59),"")</f>
        <v>-26.5763022086713</v>
      </c>
      <c r="BI59" s="20" t="n">
        <f aca="false">IF($B59="","",IFERROR(INDEX(Raw!$G$2:$G$1001,MATCH($A59&amp;"|N|"&amp;SUMPRODUCT(MAX((Raw!$A$2:$A$1001=$A59)*(Raw!$R$2:$R$1001="N")*(Raw!$I$2:$I$1001=1)*Raw!$D$2:$D$1001)),Raw!$S$2:$S$1001,0)),""))</f>
        <v>23</v>
      </c>
      <c r="BJ59" s="21" t="n">
        <f aca="false">IF(OR($BI59="",Fits!$B$85&lt;=0),"",($BI59-Fits!$B$83)/Fits!$B$85)</f>
        <v>-0.00900900900900914</v>
      </c>
      <c r="BK59" s="9" t="str">
        <f aca="false">IF($AS59="","",IF($A59&gt;=Fits!$B$86,"",$A59))</f>
        <v/>
      </c>
      <c r="BL59" s="9" t="str">
        <f aca="false">IF($BK59="","",$X59)</f>
        <v/>
      </c>
      <c r="BM59" s="9" t="n">
        <f aca="false">IF($AS59="","",IF($A59&lt;Fits!$B$86,"",$A59))</f>
        <v>54</v>
      </c>
      <c r="BN59" s="24" t="n">
        <f aca="false">IF($BM59="","",$X59)</f>
        <v>-6.297</v>
      </c>
      <c r="BO59" s="24" t="n">
        <f aca="false">IF(AND($D59="Drift",$BX59&lt;&gt;1),IF($O59="","",$O59),"")</f>
        <v>-6.297</v>
      </c>
      <c r="BP59" s="24" t="n">
        <f aca="false">IF(AND($D59="Drift",$BX59&lt;&gt;1),IF($W59="","",$W59),"")</f>
        <v>-6.297</v>
      </c>
      <c r="BQ59" s="24" t="n">
        <f aca="false">IF(AND($D59="Drift",$BX59&lt;&gt;1),IF($X59="","",$X59),"")</f>
        <v>-6.297</v>
      </c>
      <c r="BR59" s="24" t="n">
        <f aca="false">IF(AND($D59="Drift",$BX59&lt;&gt;1),IF($Z59="","",$Z59),"")</f>
        <v>-5.99850815011211</v>
      </c>
      <c r="BS59" s="9" t="n">
        <f aca="false">IF(OR($B59="",$H59=""),"",SUMPRODUCT(MIN((Raw!$A$2:$A$1001=$A59)*(Raw!$R$2:$R$1001="N")*(Raw!$I$2:$I$1001=0)*(Raw!$D$2:$D$1001&lt;$H59)*Raw!$D$2:$D$1001+(1-(Raw!$A$2:$A$1001=$A59)*(Raw!$R$2:$R$1001="N")*(Raw!$I$2:$I$1001=0)*(Raw!$D$2:$D$1001&lt;$H59))*9999)))</f>
        <v>1</v>
      </c>
      <c r="BT59" s="16" t="n">
        <f aca="false">IF(OR($BS59="",$BS59=9999,$BS59=0),"",IFERROR(INDEX(Raw!$N$2:$N$1001,MATCH($A59&amp;"|N|"&amp;$BS59,Raw!$S$2:$S$1001,0)),""))</f>
        <v>-1.255</v>
      </c>
      <c r="BU59" s="9" t="n">
        <f aca="false">IF($B59="","",SUMPRODUCT(MIN((Raw!$A$2:$A$1001=$A59)*(Raw!$R$2:$R$1001="C")*(Raw!$I$2:$I$1001=1)*Raw!$D$2:$D$1001+(1-(Raw!$A$2:$A$1001=$A59)*(Raw!$R$2:$R$1001="C")*(Raw!$I$2:$I$1001=1))*9999)))</f>
        <v>5</v>
      </c>
      <c r="BV59" s="9" t="n">
        <f aca="false">IF(OR($BU59="",$BU59=9999),"",SUMPRODUCT(MIN((Raw!$A$2:$A$1001=$A59)*(Raw!$R$2:$R$1001="C")*(Raw!$I$2:$I$1001=0)*(Raw!$D$2:$D$1001&gt;$BU59)*Raw!$D$2:$D$1001+(1-(Raw!$A$2:$A$1001=$A59)*(Raw!$R$2:$R$1001="C")*(Raw!$I$2:$I$1001=0)*(Raw!$D$2:$D$1001&gt;$BU59))*9999)))</f>
        <v>6</v>
      </c>
      <c r="BW59" s="16" t="n">
        <f aca="false">IF(OR($BV59="",$BV59=9999,$BV59=0),"",IFERROR(INDEX(Raw!$O$2:$O$1001,MATCH($A59&amp;"|C|"&amp;$BV59,Raw!$S$2:$S$1001,0)),""))</f>
        <v>-25.342</v>
      </c>
      <c r="BX59" s="9" t="n">
        <f aca="false">IF($B59="","",IF(ISNUMBER(SEARCH(","&amp;$A59&amp;",",","&amp;SUBSTITUTE(Setup!$B$16," ","")&amp;",")),1,0))</f>
        <v>0</v>
      </c>
      <c r="BY59" s="9" t="n">
        <f aca="false">IF($B59="","",IF(ISNUMBER(SEARCH(","&amp;$A59&amp;",",","&amp;SUBSTITUTE(Setup!$B$17," ","")&amp;",")),1,0))</f>
        <v>0</v>
      </c>
      <c r="BZ59" s="22" t="n">
        <f aca="false">IF($AS59="","",IF(Fits!$B$38="Row",$AQ59,IF($AR59="","",$AR59)))</f>
        <v>54</v>
      </c>
      <c r="CA59" s="22" t="n">
        <f aca="false">IF($AT59="","",IF(Fits!$B$50="Row",$AQ59,IF($AR59="","",$AR59)))</f>
        <v>54</v>
      </c>
      <c r="CB59" s="20" t="n">
        <f aca="false">IF(OR($D59&lt;&gt;"Drift",$X59="",$A59&lt;IF(Setup!$B$14="",0,Setup!$B$14),Fits!$B$107&lt;3,Fits!$B$110="",Fits!$B$109=0,IF(Fits!$B$38="Row",$AQ59,$AR59)=""),"",IF($BX59=1,IF(OR(Fits!$B$111="",Fits!$B$111=0),"",($X59-(IF(Fits!$B$38="Row",Fits!$B$32,Fits!$B$35)*IF(Fits!$B$38="Row",$AQ59,$AR59)+Fits!$B$110))/(Fits!$B$111*SQRT(1+(1/Fits!$B$107+(IF(Fits!$B$38="Row",$AQ59,$AR59)-Fits!$B$108)^2/Fits!$B$109)))),IF(OR(Fits!$B$107&lt;4,(1/Fits!$B$107+(IF(Fits!$B$38="Row",$AQ59,$AR59)-Fits!$B$108)^2/Fits!$B$109)&gt;=1),"",IF((Fits!$B$116-($X59-(IF(Fits!$B$38="Row",Fits!$B$32,Fits!$B$35)*IF(Fits!$B$38="Row",$AQ59,$AR59)+Fits!$B$110))^2/(1-(1/Fits!$B$107+(IF(Fits!$B$38="Row",$AQ59,$AR59)-Fits!$B$108)^2/Fits!$B$109)))&lt;=0,"",($X59-(IF(Fits!$B$38="Row",Fits!$B$32,Fits!$B$35)*IF(Fits!$B$38="Row",$AQ59,$AR59)+Fits!$B$110))/(SQRT((Fits!$B$116-($X59-(IF(Fits!$B$38="Row",Fits!$B$32,Fits!$B$35)*IF(Fits!$B$38="Row",$AQ59,$AR59)+Fits!$B$110))^2/(1-(1/Fits!$B$107+(IF(Fits!$B$38="Row",$AQ59,$AR59)-Fits!$B$108)^2/Fits!$B$109)))/(Fits!$B$107-3))*SQRT(1-(1/Fits!$B$107+(IF(Fits!$B$38="Row",$AQ59,$AR59)-Fits!$B$108)^2/Fits!$B$109)))))))</f>
        <v>0.8153998482757</v>
      </c>
      <c r="CC59" s="20" t="n">
        <f aca="false">IF(OR($D59&lt;&gt;"Drift",$AC59="",$A59&lt;IF(Setup!$B$14="",0,Setup!$B$14),Fits!$B$120&lt;3,Fits!$B$123="",Fits!$B$122=0,IF(Fits!$B$50="Row",$AQ59,$AR59)=""),"",IF($BY59=1,IF(OR(Fits!$B$124="",Fits!$B$124=0),"",($AC59-(IF(Fits!$B$50="Row",Fits!$B$44,Fits!$B$47)*IF(Fits!$B$50="Row",$AQ59,$AR59)+Fits!$B$123))/(Fits!$B$124*SQRT(1+(1/Fits!$B$120+(IF(Fits!$B$50="Row",$AQ59,$AR59)-Fits!$B$121)^2/Fits!$B$122)))),IF(OR(Fits!$B$120&lt;4,(1/Fits!$B$120+(IF(Fits!$B$50="Row",$AQ59,$AR59)-Fits!$B$121)^2/Fits!$B$122)&gt;=1),"",IF((Fits!$B$129-($AC59-(IF(Fits!$B$50="Row",Fits!$B$44,Fits!$B$47)*IF(Fits!$B$50="Row",$AQ59,$AR59)+Fits!$B$123))^2/(1-(1/Fits!$B$120+(IF(Fits!$B$50="Row",$AQ59,$AR59)-Fits!$B$121)^2/Fits!$B$122)))&lt;=0,"",($AC59-(IF(Fits!$B$50="Row",Fits!$B$44,Fits!$B$47)*IF(Fits!$B$50="Row",$AQ59,$AR59)+Fits!$B$123))/(SQRT((Fits!$B$129-($AC59-(IF(Fits!$B$50="Row",Fits!$B$44,Fits!$B$47)*IF(Fits!$B$50="Row",$AQ59,$AR59)+Fits!$B$123))^2/(1-(1/Fits!$B$120+(IF(Fits!$B$50="Row",$AQ59,$AR59)-Fits!$B$121)^2/Fits!$B$122)))/(Fits!$B$120-3))*SQRT(1-(1/Fits!$B$120+(IF(Fits!$B$50="Row",$AQ59,$AR59)-Fits!$B$121)^2/Fits!$B$122)))))))</f>
        <v>0.706770587613628</v>
      </c>
      <c r="CD59" s="9" t="str">
        <f aca="false">IF($AU59="","",1)</f>
        <v/>
      </c>
      <c r="CE59" s="24" t="str">
        <f aca="false">IF($AU59="","",$AU59-Fits!$B$133)</f>
        <v/>
      </c>
      <c r="CF59" s="24" t="str">
        <f aca="false">IF($AU59="","",($AV59-(Fits!$B$56*$AU59+Fits!$B$57))-Fits!$B$56*($AU59-Fits!$B$133))</f>
        <v/>
      </c>
      <c r="CG59" s="25" t="str">
        <f aca="false">IF($AU59="","",$AU59^2)</f>
        <v/>
      </c>
      <c r="CH59" s="9" t="str">
        <f aca="false">IF($AW59="","",1)</f>
        <v/>
      </c>
      <c r="CI59" s="24" t="str">
        <f aca="false">IF($AW59="","",$AW59-Fits!$B$153)</f>
        <v/>
      </c>
      <c r="CJ59" s="24" t="str">
        <f aca="false">IF($AW59="","",($AX59-(Fits!$B$63*$AW59+Fits!$B$64))-Fits!$B$63*($AW59-Fits!$B$153))</f>
        <v/>
      </c>
      <c r="CK59" s="25" t="str">
        <f aca="false">IF($AW59="","",$AW59^2)</f>
        <v/>
      </c>
      <c r="CL59" s="26" t="n">
        <f aca="false">IF(OR($Z59="",Fits!$B$55&lt;3,Fits!$B$133="",Fits!$B$134="",Fits!$B$134=0,Fits!$B$136=""),"",SQRT((Fits!$B$136*Fits!$B$56)^2+SUMPRODUCT((Fits!$J$163:$J$175*(Fits!$B$163:$B$175/Fits!$B$55+Fits!$H$163:$H$175*($Z59-Fits!$B$133)/Fits!$B$134))^2)+SUMPRODUCT((Fits!$G$163:$G$175*(($Z59-Fits!$B$133)*Fits!$I$163:$I$175/Fits!$B$134-Fits!$B$163:$B$175*Fits!$B$56/Fits!$B$55))^2)))</f>
        <v>0.255304113087888</v>
      </c>
      <c r="CM59" s="26" t="n">
        <f aca="false">IF($CL59="","",Setup!$B$32*$CL59)</f>
        <v>0.510608226175775</v>
      </c>
      <c r="CN59" s="26" t="n">
        <f aca="false">IF(OR($AE59="",Fits!$B$62&lt;3,Fits!$B$153="",Fits!$B$154="",Fits!$B$154=0,Fits!$B$156=""),"",SQRT((Fits!$B$156*Fits!$B$63)^2+SUMPRODUCT((Fits!$J$183:$J$195*(Fits!$B$183:$B$195/Fits!$B$62+Fits!$H$183:$H$195*($AE59-Fits!$B$153)/Fits!$B$154))^2)+SUMPRODUCT((Fits!$G$183:$G$195*(($AE59-Fits!$B$153)*Fits!$I$183:$I$195/Fits!$B$154-Fits!$B$183:$B$195*Fits!$B$63/Fits!$B$62))^2)))</f>
        <v>0.0379138924583218</v>
      </c>
      <c r="CO59" s="26" t="n">
        <f aca="false">IF($CN59="","",Setup!$B$32*$CN59)</f>
        <v>0.0758277849166436</v>
      </c>
      <c r="CP59" s="9" t="n">
        <f aca="false">IF(OR(NOT(ISNUMBER($BJ59)),$EK59=1),$CP58,IF($BJ59&lt;=Setup!$B$26,$CP58+1,0))</f>
        <v>24</v>
      </c>
      <c r="CQ59" s="9" t="n">
        <f aca="false">IF($BT59="","",$A59)</f>
        <v>54</v>
      </c>
      <c r="CR59" s="9" t="n">
        <f aca="false">IF($BW59="","",$A59)</f>
        <v>54</v>
      </c>
      <c r="CS59" s="9" t="n">
        <f aca="false">IF($B59="","",IF(Setup!$A$37="",0,IF(ISNUMBER(SEARCH(Setup!$A$37,$B59)),37,0)))</f>
        <v>0</v>
      </c>
      <c r="CT59" s="9" t="n">
        <f aca="false">IF($B59="","",IF(Setup!$A$38="",0,IF(ISNUMBER(SEARCH(Setup!$A$38,$B59)),38,0)))</f>
        <v>0</v>
      </c>
      <c r="CU59" s="9" t="n">
        <f aca="false">IF($B59="","",IF(Setup!$A$39="",0,IF(ISNUMBER(SEARCH(Setup!$A$39,$B59)),39,0)))</f>
        <v>0</v>
      </c>
      <c r="CV59" s="9" t="n">
        <f aca="false">IF($B59="","",IF(Setup!$A$40="",0,IF(ISNUMBER(SEARCH(Setup!$A$40,$B59)),40,0)))</f>
        <v>0</v>
      </c>
      <c r="CW59" s="9" t="n">
        <f aca="false">IF($B59="","",IF(Setup!$A$41="",0,IF(ISNUMBER(SEARCH(Setup!$A$41,$B59)),41,0)))</f>
        <v>0</v>
      </c>
      <c r="CX59" s="9" t="n">
        <f aca="false">IF($B59="","",IF(Setup!$A$42="",0,IF(ISNUMBER(SEARCH(Setup!$A$42,$B59)),42,0)))</f>
        <v>0</v>
      </c>
      <c r="CY59" s="9" t="n">
        <f aca="false">IF($B59="","",IF(Setup!$A$43="",0,IF(ISNUMBER(SEARCH(Setup!$A$43,$B59)),43,0)))</f>
        <v>43</v>
      </c>
      <c r="CZ59" s="9" t="n">
        <f aca="false">IF($B59="","",IF(Setup!$A$44="",0,IF(ISNUMBER(SEARCH(Setup!$A$44,$B59)),44,0)))</f>
        <v>0</v>
      </c>
      <c r="DA59" s="9" t="n">
        <f aca="false">IF($B59="","",IF(Setup!$A$45="",0,IF(ISNUMBER(SEARCH(Setup!$A$45,$B59)),45,0)))</f>
        <v>0</v>
      </c>
      <c r="DB59" s="9" t="n">
        <f aca="false">IF($B59="","",IF(Setup!$A$46="",0,IF(ISNUMBER(SEARCH(Setup!$A$46,$B59)),46,0)))</f>
        <v>0</v>
      </c>
      <c r="DC59" s="9" t="n">
        <f aca="false">IF($B59="","",IF(Setup!$A$47="",0,IF(ISNUMBER(SEARCH(Setup!$A$47,$B59)),47,0)))</f>
        <v>0</v>
      </c>
      <c r="DD59" s="9" t="n">
        <f aca="false">IF($B59="","",IF(Setup!$A$48="",0,IF(ISNUMBER(SEARCH(Setup!$A$48,$B59)),48,0)))</f>
        <v>0</v>
      </c>
      <c r="DE59" s="9" t="n">
        <f aca="false">IF($B59="","",IF(Setup!$A$49="",0,IF(ISNUMBER(SEARCH(Setup!$A$49,$B59)),49,0)))</f>
        <v>0</v>
      </c>
      <c r="DF59" s="9" t="n">
        <f aca="false">IF($B59="",NA(),$A59)</f>
        <v>54</v>
      </c>
      <c r="DG59" s="22" t="n">
        <f aca="false">IF($BI59="",NA(),$BI59)</f>
        <v>23</v>
      </c>
      <c r="DH59" s="22" t="n">
        <f aca="false">IF($N59="",NA(),$N59)</f>
        <v>23.8</v>
      </c>
      <c r="DI59" s="22" t="n">
        <f aca="false">IF(AND($D59="Drift",$N59&lt;&gt;""),$N59,NA())</f>
        <v>23.8</v>
      </c>
      <c r="DJ59" s="22" t="n">
        <f aca="false">IF(AND($D59="Drift",$N59&lt;&gt;""),$N59,"")</f>
        <v>23.8</v>
      </c>
      <c r="DK59" s="9" t="n">
        <f aca="false">IF($DJ59="","",$A59)</f>
        <v>54</v>
      </c>
      <c r="DL59" s="9" t="e">
        <f aca="false">IF($AN59="",NA(),$AM59)</f>
        <v>#N/A</v>
      </c>
      <c r="DM59" s="9" t="e">
        <f aca="false">IF($AN59="",NA(),$AN59)</f>
        <v>#N/A</v>
      </c>
      <c r="DN59" s="9" t="e">
        <f aca="false">IF(AND($D59="Sample",$L59&lt;&gt;""),$L59,NA())</f>
        <v>#N/A</v>
      </c>
      <c r="DO59" s="9" t="e">
        <f aca="false">IF(AND($D59="Sample",$L59&lt;&gt;"",Fits!$B$98&lt;&gt;""),Fits!$B$98,NA())</f>
        <v>#N/A</v>
      </c>
      <c r="DP59" s="24" t="n">
        <f aca="false">IF($AS59="",NA(),$AS59)</f>
        <v>-6.297</v>
      </c>
      <c r="DQ59" s="9" t="e">
        <f aca="false">IF(AND($D59="Drift",$AS59="",$X59&lt;&gt;""),$X59,NA())</f>
        <v>#N/A</v>
      </c>
      <c r="DR59" s="24" t="n">
        <f aca="false">IF(AND($D59="Drift",$Z59&lt;&gt;""),$Z59,NA())</f>
        <v>-5.99850815011211</v>
      </c>
      <c r="DS59" s="9" t="e">
        <f aca="false">IF(AND(OR($D59="Sample",$D59="Check"),$AA59&lt;&gt;""),$AA59,NA())</f>
        <v>#N/A</v>
      </c>
      <c r="DT59" s="25" t="n">
        <f aca="false">IF(OR($B59="",Fits!$B$138=""),NA(),Fits!$B$138)</f>
        <v>1.76</v>
      </c>
      <c r="DU59" s="25" t="n">
        <f aca="false">IF(OR($B59="",Fits!$B$139=""),NA(),Fits!$B$139)</f>
        <v>20.68</v>
      </c>
      <c r="DV59" s="24" t="n">
        <f aca="false">IF($BT59="",NA(),$BT59)</f>
        <v>-1.255</v>
      </c>
      <c r="DW59" s="9" t="e">
        <f aca="false">IF($AP59="",NA(),$AO59)</f>
        <v>#N/A</v>
      </c>
      <c r="DX59" s="9" t="e">
        <f aca="false">IF($AP59="",NA(),$AP59)</f>
        <v>#N/A</v>
      </c>
      <c r="DY59" s="9" t="e">
        <f aca="false">IF(AND($D59="Sample",$P59&lt;&gt;""),$P59,NA())</f>
        <v>#N/A</v>
      </c>
      <c r="DZ59" s="9" t="e">
        <f aca="false">IF(AND($D59="Sample",$P59&lt;&gt;"",Fits!$B$105&lt;&gt;""),Fits!$B$105,NA())</f>
        <v>#N/A</v>
      </c>
      <c r="EA59" s="24" t="n">
        <f aca="false">IF($AT59="",NA(),$AT59)</f>
        <v>-9.39778069606459</v>
      </c>
      <c r="EB59" s="9" t="e">
        <f aca="false">IF(AND($D59="Drift",$AT59="",$AC59&lt;&gt;""),$AC59,NA())</f>
        <v>#N/A</v>
      </c>
      <c r="EC59" s="24" t="n">
        <f aca="false">IF(AND($D59="Drift",$AE59&lt;&gt;""),$AE59,NA())</f>
        <v>-9.45033350127231</v>
      </c>
      <c r="ED59" s="9" t="e">
        <f aca="false">IF(AND(OR($D59="Sample",$D59="Check"),$AF59&lt;&gt;""),$AF59,NA())</f>
        <v>#N/A</v>
      </c>
      <c r="EE59" s="25" t="n">
        <f aca="false">IF(OR($B59="",Fits!$B$158=""),NA(),Fits!$B$158)</f>
        <v>-40.81</v>
      </c>
      <c r="EF59" s="25" t="n">
        <f aca="false">IF(OR($B59="",Fits!$B$159=""),NA(),Fits!$B$159)</f>
        <v>-20.29</v>
      </c>
      <c r="EG59" s="24" t="n">
        <f aca="false">IF($BW59="",NA(),$BW59)</f>
        <v>-25.342</v>
      </c>
      <c r="EH59" s="9" t="e">
        <f aca="false">IF(AND($EN59=1,ISNUMBER($N59)),$N59,NA())</f>
        <v>#N/A</v>
      </c>
      <c r="EI59" s="9" t="n">
        <f aca="false">IF($B59="","",$A59)</f>
        <v>54</v>
      </c>
      <c r="EJ59" s="9" t="n">
        <f aca="false">IF(OR(AND(ISNUMBER($L59),Fits!$B$97&gt;0,$L59&gt;Fits!$B$97),AND(ISNUMBER($P59),Fits!$B$104&gt;0,$P59&gt;Fits!$B$104)),1,0)</f>
        <v>0</v>
      </c>
      <c r="EK59" s="9" t="n">
        <f aca="false">IF(OR($EJ58=1,$EJ57=1),1,0)</f>
        <v>0</v>
      </c>
      <c r="EL59" s="22" t="n">
        <f aca="false">IF(AND($EK59=0,ISNUMBER($N59)),$N59,$EL58)</f>
        <v>23.8</v>
      </c>
      <c r="EM59" s="9" t="str">
        <f aca="false">IF(AND($EK59=1,ISNUMBER($N59),ISNUMBER($EL59)),$N59-$EL59,"")</f>
        <v/>
      </c>
      <c r="EN59" s="9" t="n">
        <f aca="false">IF(Setup!$B$28="",0,IF(ISNUMBER($EM59),IF($EM59&gt;Setup!$B$28,1,0),0))</f>
        <v>0</v>
      </c>
      <c r="EO59" s="9" t="str">
        <f aca="false">IF($EN59=1,COUNTIF($EN$6:$EN59,1),"")</f>
        <v/>
      </c>
      <c r="EP59" s="9" t="n">
        <f aca="false">IF(AND($EJ58=1,OR($D59="Sample",$D59="Check")),1,0)</f>
        <v>0</v>
      </c>
      <c r="EQ59" s="9" t="str">
        <f aca="false">IF(ISNUMBER($BI59),IF(COUNT($BI$6:$BI59)&lt;=5,$BI59,""),"")</f>
        <v/>
      </c>
      <c r="ER59" s="9" t="n">
        <f aca="false">IF(OR(NOT(ISNUMBER($BJ59)),$EK59=1),$ER58,IF($BJ59&lt;=Setup!$B$26,IF($CP58=0,$A59,$ER58),""))</f>
        <v>27</v>
      </c>
    </row>
    <row r="60" customFormat="false" ht="15" hidden="false" customHeight="false" outlineLevel="0" collapsed="false">
      <c r="A60" s="8" t="n">
        <v>55</v>
      </c>
      <c r="B60" s="8" t="str">
        <f aca="false">IFERROR(INDEX(Raw!$B$2:$B$1001,MATCH($A60,Raw!$A$2:$A$1001,0)),"")</f>
        <v>Ace Drift 13</v>
      </c>
      <c r="C60" s="9" t="n">
        <f aca="false">IF($B60="","",MAX($CS60:$DE60))</f>
        <v>43</v>
      </c>
      <c r="D60" s="8" t="str">
        <f aca="false">IF($B60="","",IF($C60=0,"Sample",INDEX(Setup!$B$37:$B$49,$C60-36)))</f>
        <v>Drift</v>
      </c>
      <c r="E60" s="16" t="n">
        <f aca="false">IF($B60="","",IFERROR(IF(INDEX(Raw!$E$2:$E$1001,MATCH($A60,Raw!$A$2:$A$1001,0))=0,"",INDEX(Raw!$E$2:$E$1001,MATCH($A60,Raw!$A$2:$A$1001,0))),""))</f>
        <v>0.397</v>
      </c>
      <c r="F60" s="18"/>
      <c r="G60" s="16" t="n">
        <f aca="false">IF($B60="","",IF($F60&lt;&gt;"",$F60,IF($E60="","",$E60)))</f>
        <v>0.397</v>
      </c>
      <c r="H60" s="9" t="n">
        <f aca="false">IF($B60="","",SUMPRODUCT(MAX((Raw!$A$2:$A$1001=$A60)*(Raw!$R$2:$R$1001="N")*Raw!$D$2:$D$1001)))</f>
        <v>3</v>
      </c>
      <c r="I60" s="9" t="str">
        <f aca="false">IF(OR($H60="",$H60=0),"",$A60&amp;"|N|"&amp;$H60)</f>
        <v>55|N|3</v>
      </c>
      <c r="J60" s="9" t="n">
        <f aca="false">IF($B60="","",SUMPRODUCT(MIN((Raw!$A$2:$A$1001=$A60)*(Raw!$R$2:$R$1001="C")*Raw!$D$2:$D$1001+(1-(Raw!$A$2:$A$1001=$A60)*(Raw!$R$2:$R$1001="C"))*9999)))</f>
        <v>4</v>
      </c>
      <c r="K60" s="9" t="str">
        <f aca="false">IF(OR($J60="",$J60=0,$J60=9999),"",$A60&amp;"|C|"&amp;$J60)</f>
        <v>55|C|4</v>
      </c>
      <c r="L60" s="16" t="n">
        <f aca="false">IF($I60="","",IF(INDEX(Raw!$I$2:$I$1001,MATCH($I60,Raw!$S$2:$S$1001,0))&lt;&gt;0,"",INDEX(Raw!$H$2:$H$1001,MATCH($I60,Raw!$S$2:$S$1001,0))))</f>
        <v>28.314</v>
      </c>
      <c r="M60" s="19" t="n">
        <f aca="false">IF($I60="","",IF(INDEX(Raw!$I$2:$I$1001,MATCH($I60,Raw!$S$2:$S$1001,0))&lt;&gt;0,"",INDEX(Raw!$F$2:$F$1001,MATCH($I60,Raw!$S$2:$S$1001,0))))</f>
        <v>1555</v>
      </c>
      <c r="N60" s="20" t="n">
        <f aca="false">IF($I60="","",IF(INDEX(Raw!$I$2:$I$1001,MATCH($I60,Raw!$S$2:$S$1001,0))&lt;&gt;0,"",INDEX(Raw!$G$2:$G$1001,MATCH($I60,Raw!$S$2:$S$1001,0))))</f>
        <v>24</v>
      </c>
      <c r="O60" s="16" t="n">
        <f aca="false">IF($I60="","",IF(INDEX(Raw!$I$2:$I$1001,MATCH($I60,Raw!$S$2:$S$1001,0))&lt;&gt;0,"",INDEX(Raw!$N$2:$N$1001,MATCH($I60,Raw!$S$2:$S$1001,0))))</f>
        <v>-6.395</v>
      </c>
      <c r="P60" s="16" t="n">
        <f aca="false">IF($K60="","",IF(INDEX(Raw!$I$2:$I$1001,MATCH($K60,Raw!$S$2:$S$1001,0))&lt;&gt;0,"",INDEX(Raw!$K$2:$K$1001,MATCH($K60,Raw!$S$2:$S$1001,0))))</f>
        <v>128.087</v>
      </c>
      <c r="Q60" s="19" t="n">
        <f aca="false">IF($K60="","",IF(INDEX(Raw!$I$2:$I$1001,MATCH($K60,Raw!$S$2:$S$1001,0))&lt;&gt;0,"",INDEX(Raw!$J$2:$J$1001,MATCH($K60,Raw!$S$2:$S$1001,0))))</f>
        <v>5635</v>
      </c>
      <c r="R60" s="16" t="n">
        <f aca="false">IF($K60="","",IF(INDEX(Raw!$I$2:$I$1001,MATCH($K60,Raw!$S$2:$S$1001,0))&lt;&gt;0,"",INDEX(Raw!$O$2:$O$1001,MATCH($K60,Raw!$S$2:$S$1001,0))))</f>
        <v>-9.436</v>
      </c>
      <c r="S60" s="21" t="str">
        <f aca="false">IF($B60="","",IF($C60=0,"",IF(INDEX(Setup!$D$37:$D$49,$C60-36)="","",INDEX(Setup!$D$37:$D$49,$C60-36))))</f>
        <v/>
      </c>
      <c r="T60" s="21" t="str">
        <f aca="false">IF($B60="","",IF($C60=0,"",IF(INDEX(Setup!$C$37:$C$49,$C60-36)="","",INDEX(Setup!$C$37:$C$49,$C60-36))))</f>
        <v/>
      </c>
      <c r="U60" s="21" t="n">
        <f aca="false">IF($B60="","",IF($C60=0,"",IF(INDEX(Setup!$F$37:$F$49,$C60-36)="","",INDEX(Setup!$F$37:$F$49,$C60-36))))</f>
        <v>10.36</v>
      </c>
      <c r="V60" s="21" t="n">
        <f aca="false">IF($B60="","",IF($C60=0,"",IF(INDEX(Setup!$E$37:$E$49,$C60-36)="","",INDEX(Setup!$E$37:$E$49,$C60-36))))</f>
        <v>71.09</v>
      </c>
      <c r="W60" s="16" t="n">
        <f aca="false">IF($O60="","",IF(OR(Fits!$C$5&lt;&gt;"Yes",$D60="Blank",$L60&lt;=Fits!$B$6),$O60,($L60*$O60-Fits!$B$6*Fits!$B$7)/($L60-Fits!$B$6)))</f>
        <v>-6.395</v>
      </c>
      <c r="X60" s="16" t="n">
        <f aca="false">IF($W60="","",$W60-Fits!$B$20*($L60-Fits!$B$16))</f>
        <v>-6.395</v>
      </c>
      <c r="Y60" s="22" t="n">
        <f aca="false">IF($W60="","",IF(OR(Fits!$B$38="Row",$BI60=""),$A60,$BI60))</f>
        <v>55</v>
      </c>
      <c r="Z60" s="16" t="n">
        <f aca="false">IF($X60="","",$X60-Fits!$B$39*($Y60-Fits!$B$40))</f>
        <v>-6.08175380011765</v>
      </c>
      <c r="AA60" s="23" t="n">
        <f aca="false">IF(OR($Z60="",Fits!$B$55&lt;2),"",Fits!$B$56*$Z60+Fits!$B$57)</f>
        <v>-5.21624562136095</v>
      </c>
      <c r="AB60" s="16" t="n">
        <f aca="false">IF($R60="","",IF(OR(Fits!$C$9&lt;&gt;"Yes",$D60="Blank",$P60&lt;=Fits!$B$10),$R60,($P60*$R60-Fits!$B$10*Fits!$B$11)/($P60-Fits!$B$10)))</f>
        <v>-9.436</v>
      </c>
      <c r="AC60" s="16" t="n">
        <f aca="false">IF($AB60="","",$AB60-Fits!$B$28*($P60-Fits!$B$24))</f>
        <v>-9.4369070951007</v>
      </c>
      <c r="AD60" s="22" t="n">
        <f aca="false">IF($AB60="","",IF(OR(Fits!$B$50="Row",$BI60=""),$A60,$BI60))</f>
        <v>55</v>
      </c>
      <c r="AE60" s="16" t="n">
        <f aca="false">IF($AC60="","",$AC60-Fits!$B$51*($AD60-Fits!$B$52))</f>
        <v>-9.492057567486</v>
      </c>
      <c r="AF60" s="23" t="n">
        <f aca="false">IF(OR($AE60="",Fits!$B$62&lt;2),"",Fits!$B$63*$AE60+Fits!$B$64)</f>
        <v>-26.6186166950685</v>
      </c>
      <c r="AG60" s="21" t="n">
        <f aca="false">IF(OR($L60="",Fits!$B$69&lt;3),"",($L60-Fits!$B$71)/Fits!$B$70)</f>
        <v>43.4933178396046</v>
      </c>
      <c r="AH60" s="21" t="n">
        <f aca="false">IF(OR($P60="",Fits!$B$75&lt;3),"",($P60-Fits!$B$77)/Fits!$B$76)</f>
        <v>287.756717756808</v>
      </c>
      <c r="AI60" s="23" t="n">
        <f aca="false">IF(OR($AG60="",$G60="",$G60=0),"",$AG60/($G60*1000)*100)</f>
        <v>10.9554956774823</v>
      </c>
      <c r="AJ60" s="23" t="n">
        <f aca="false">IF(OR($AH60="",$G60="",$G60=0),"",$AH60/($G60*1000)*100)</f>
        <v>72.4828004425209</v>
      </c>
      <c r="AK60" s="23" t="n">
        <f aca="false">IF(OR($AG60="",$AH60="",$AG60&lt;=0),"",($AH60/Setup!$B$52)/($AG60/Setup!$B$53))</f>
        <v>7.71558560612728</v>
      </c>
      <c r="AL60" s="23" t="n">
        <f aca="false">IF(OR($AG60="",$AH60="",$AG60&lt;=0),"",$AH60/$AG60)</f>
        <v>6.61611328015954</v>
      </c>
      <c r="AM60" s="9" t="str">
        <f aca="false">IF($D60="Linearity",IF($L60="","",$L60),"")</f>
        <v/>
      </c>
      <c r="AN60" s="9" t="str">
        <f aca="false">IF($D60="Linearity",IF($W60="","",$W60),"")</f>
        <v/>
      </c>
      <c r="AO60" s="9" t="str">
        <f aca="false">IF($D60="Linearity",IF($P60="","",$P60),"")</f>
        <v/>
      </c>
      <c r="AP60" s="9" t="str">
        <f aca="false">IF($D60="Linearity",IF($AB60="","",$AB60),"")</f>
        <v/>
      </c>
      <c r="AQ60" s="9" t="n">
        <f aca="false">IF($D60="Drift",IF($A60&lt;IF(Setup!$B$14="",0,Setup!$B$14),"",$A60),"")</f>
        <v>55</v>
      </c>
      <c r="AR60" s="22" t="n">
        <f aca="false">IF($D60="Drift",IF($A60&lt;IF(Setup!$B$14="",0,Setup!$B$14),"",IF($BI60="","",$BI60)),"")</f>
        <v>23.2</v>
      </c>
      <c r="AS60" s="24" t="n">
        <f aca="false">IF($D60="Drift",IF($A60&lt;IF(Setup!$B$14="",0,Setup!$B$14),"",IF(OR($X60="",$BX60=1),"",$X60)),"")</f>
        <v>-6.395</v>
      </c>
      <c r="AT60" s="24" t="n">
        <f aca="false">IF($D60="Drift",IF($A60&lt;IF(Setup!$B$14="",0,Setup!$B$14),"",IF(OR($AC60="",$BY60=1),"",$AC60)),"")</f>
        <v>-9.4369070951007</v>
      </c>
      <c r="AU60" s="9" t="str">
        <f aca="false">IF($D60="Anchor",IF(OR($Z60="",$S60=""),"",$Z60),"")</f>
        <v/>
      </c>
      <c r="AV60" s="9" t="str">
        <f aca="false">IF($D60="Anchor",IF(OR($Z60="",$S60=""),"",$S60),"")</f>
        <v/>
      </c>
      <c r="AW60" s="9" t="str">
        <f aca="false">IF($D60="Anchor",IF(OR($AE60="",$T60=""),"",$AE60),"")</f>
        <v/>
      </c>
      <c r="AX60" s="9" t="str">
        <f aca="false">IF($D60="Anchor",IF(OR($AE60="",$T60=""),"",$T60),"")</f>
        <v/>
      </c>
      <c r="AY60" s="9" t="n">
        <f aca="false">IF(OR($D60="Blank",$D60="Exclude",$D60="Sample",$D60="",$G60="",$U60="",$L60=""),"",$G60*1000*$U60/100)</f>
        <v>41.1292</v>
      </c>
      <c r="AZ60" s="24" t="n">
        <f aca="false">IF($AY60="","",$L60)</f>
        <v>28.314</v>
      </c>
      <c r="BA60" s="9" t="n">
        <f aca="false">IF(OR($D60="Blank",$D60="Exclude",$D60="Sample",$D60="",$G60="",$V60="",$P60=""),"",$G60*1000*$V60/100)</f>
        <v>282.2273</v>
      </c>
      <c r="BB60" s="24" t="n">
        <f aca="false">IF($BA60="","",$P60)</f>
        <v>128.087</v>
      </c>
      <c r="BC60" s="9" t="str">
        <f aca="false">IF(AND($D60="Blank",$L60&lt;&gt;""),$O60,"")</f>
        <v/>
      </c>
      <c r="BD60" s="9" t="str">
        <f aca="false">IF($BC60="","",$L60)</f>
        <v/>
      </c>
      <c r="BE60" s="9" t="str">
        <f aca="false">IF(AND($D60="Blank",$P60&lt;&gt;""),$R60,"")</f>
        <v/>
      </c>
      <c r="BF60" s="9" t="str">
        <f aca="false">IF($BE60="","",$P60)</f>
        <v/>
      </c>
      <c r="BG60" s="25" t="n">
        <f aca="false">IF(AND($D60="Drift",$BX60&lt;&gt;1),IF($AA60="","",$AA60),"")</f>
        <v>-5.21624562136095</v>
      </c>
      <c r="BH60" s="25" t="n">
        <f aca="false">IF(AND($D60="Drift",$BY60&lt;&gt;1),IF($AF60="","",$AF60),"")</f>
        <v>-26.6186166950685</v>
      </c>
      <c r="BI60" s="20" t="n">
        <f aca="false">IF($B60="","",IFERROR(INDEX(Raw!$G$2:$G$1001,MATCH($A60&amp;"|N|"&amp;SUMPRODUCT(MAX((Raw!$A$2:$A$1001=$A60)*(Raw!$R$2:$R$1001="N")*(Raw!$I$2:$I$1001=1)*Raw!$D$2:$D$1001)),Raw!$S$2:$S$1001,0)),""))</f>
        <v>23.2</v>
      </c>
      <c r="BJ60" s="21" t="n">
        <f aca="false">IF(OR($BI60="",Fits!$B$85&lt;=0),"",($BI60-Fits!$B$83)/Fits!$B$85)</f>
        <v>0.00900900900900882</v>
      </c>
      <c r="BK60" s="9" t="str">
        <f aca="false">IF($AS60="","",IF($A60&gt;=Fits!$B$86,"",$A60))</f>
        <v/>
      </c>
      <c r="BL60" s="9" t="str">
        <f aca="false">IF($BK60="","",$X60)</f>
        <v/>
      </c>
      <c r="BM60" s="9" t="n">
        <f aca="false">IF($AS60="","",IF($A60&lt;Fits!$B$86,"",$A60))</f>
        <v>55</v>
      </c>
      <c r="BN60" s="24" t="n">
        <f aca="false">IF($BM60="","",$X60)</f>
        <v>-6.395</v>
      </c>
      <c r="BO60" s="24" t="n">
        <f aca="false">IF(AND($D60="Drift",$BX60&lt;&gt;1),IF($O60="","",$O60),"")</f>
        <v>-6.395</v>
      </c>
      <c r="BP60" s="24" t="n">
        <f aca="false">IF(AND($D60="Drift",$BX60&lt;&gt;1),IF($W60="","",$W60),"")</f>
        <v>-6.395</v>
      </c>
      <c r="BQ60" s="24" t="n">
        <f aca="false">IF(AND($D60="Drift",$BX60&lt;&gt;1),IF($X60="","",$X60),"")</f>
        <v>-6.395</v>
      </c>
      <c r="BR60" s="24" t="n">
        <f aca="false">IF(AND($D60="Drift",$BX60&lt;&gt;1),IF($Z60="","",$Z60),"")</f>
        <v>-6.08175380011765</v>
      </c>
      <c r="BS60" s="9" t="n">
        <f aca="false">IF(OR($B60="",$H60=""),"",SUMPRODUCT(MIN((Raw!$A$2:$A$1001=$A60)*(Raw!$R$2:$R$1001="N")*(Raw!$I$2:$I$1001=0)*(Raw!$D$2:$D$1001&lt;$H60)*Raw!$D$2:$D$1001+(1-(Raw!$A$2:$A$1001=$A60)*(Raw!$R$2:$R$1001="N")*(Raw!$I$2:$I$1001=0)*(Raw!$D$2:$D$1001&lt;$H60))*9999)))</f>
        <v>1</v>
      </c>
      <c r="BT60" s="16" t="n">
        <f aca="false">IF(OR($BS60="",$BS60=9999,$BS60=0),"",IFERROR(INDEX(Raw!$N$2:$N$1001,MATCH($A60&amp;"|N|"&amp;$BS60,Raw!$S$2:$S$1001,0)),""))</f>
        <v>-1.346</v>
      </c>
      <c r="BU60" s="9" t="n">
        <f aca="false">IF($B60="","",SUMPRODUCT(MIN((Raw!$A$2:$A$1001=$A60)*(Raw!$R$2:$R$1001="C")*(Raw!$I$2:$I$1001=1)*Raw!$D$2:$D$1001+(1-(Raw!$A$2:$A$1001=$A60)*(Raw!$R$2:$R$1001="C")*(Raw!$I$2:$I$1001=1))*9999)))</f>
        <v>5</v>
      </c>
      <c r="BV60" s="9" t="n">
        <f aca="false">IF(OR($BU60="",$BU60=9999),"",SUMPRODUCT(MIN((Raw!$A$2:$A$1001=$A60)*(Raw!$R$2:$R$1001="C")*(Raw!$I$2:$I$1001=0)*(Raw!$D$2:$D$1001&gt;$BU60)*Raw!$D$2:$D$1001+(1-(Raw!$A$2:$A$1001=$A60)*(Raw!$R$2:$R$1001="C")*(Raw!$I$2:$I$1001=0)*(Raw!$D$2:$D$1001&gt;$BU60))*9999)))</f>
        <v>6</v>
      </c>
      <c r="BW60" s="16" t="n">
        <f aca="false">IF(OR($BV60="",$BV60=9999,$BV60=0),"",IFERROR(INDEX(Raw!$O$2:$O$1001,MATCH($A60&amp;"|C|"&amp;$BV60,Raw!$S$2:$S$1001,0)),""))</f>
        <v>-25.343</v>
      </c>
      <c r="BX60" s="9" t="n">
        <f aca="false">IF($B60="","",IF(ISNUMBER(SEARCH(","&amp;$A60&amp;",",","&amp;SUBSTITUTE(Setup!$B$16," ","")&amp;",")),1,0))</f>
        <v>0</v>
      </c>
      <c r="BY60" s="9" t="n">
        <f aca="false">IF($B60="","",IF(ISNUMBER(SEARCH(","&amp;$A60&amp;",",","&amp;SUBSTITUTE(Setup!$B$17," ","")&amp;",")),1,0))</f>
        <v>0</v>
      </c>
      <c r="BZ60" s="22" t="n">
        <f aca="false">IF($AS60="","",IF(Fits!$B$38="Row",$AQ60,IF($AR60="","",$AR60)))</f>
        <v>55</v>
      </c>
      <c r="CA60" s="22" t="n">
        <f aca="false">IF($AT60="","",IF(Fits!$B$50="Row",$AQ60,IF($AR60="","",$AR60)))</f>
        <v>55</v>
      </c>
      <c r="CB60" s="20" t="n">
        <f aca="false">IF(OR($D60&lt;&gt;"Drift",$X60="",$A60&lt;IF(Setup!$B$14="",0,Setup!$B$14),Fits!$B$107&lt;3,Fits!$B$110="",Fits!$B$109=0,IF(Fits!$B$38="Row",$AQ60,$AR60)=""),"",IF($BX60=1,IF(OR(Fits!$B$111="",Fits!$B$111=0),"",($X60-(IF(Fits!$B$38="Row",Fits!$B$32,Fits!$B$35)*IF(Fits!$B$38="Row",$AQ60,$AR60)+Fits!$B$110))/(Fits!$B$111*SQRT(1+(1/Fits!$B$107+(IF(Fits!$B$38="Row",$AQ60,$AR60)-Fits!$B$108)^2/Fits!$B$109)))),IF(OR(Fits!$B$107&lt;4,(1/Fits!$B$107+(IF(Fits!$B$38="Row",$AQ60,$AR60)-Fits!$B$108)^2/Fits!$B$109)&gt;=1),"",IF((Fits!$B$116-($X60-(IF(Fits!$B$38="Row",Fits!$B$32,Fits!$B$35)*IF(Fits!$B$38="Row",$AQ60,$AR60)+Fits!$B$110))^2/(1-(1/Fits!$B$107+(IF(Fits!$B$38="Row",$AQ60,$AR60)-Fits!$B$108)^2/Fits!$B$109)))&lt;=0,"",($X60-(IF(Fits!$B$38="Row",Fits!$B$32,Fits!$B$35)*IF(Fits!$B$38="Row",$AQ60,$AR60)+Fits!$B$110))/(SQRT((Fits!$B$116-($X60-(IF(Fits!$B$38="Row",Fits!$B$32,Fits!$B$35)*IF(Fits!$B$38="Row",$AQ60,$AR60)+Fits!$B$110))^2/(1-(1/Fits!$B$107+(IF(Fits!$B$38="Row",$AQ60,$AR60)-Fits!$B$108)^2/Fits!$B$109)))/(Fits!$B$107-3))*SQRT(1-(1/Fits!$B$107+(IF(Fits!$B$38="Row",$AQ60,$AR60)-Fits!$B$108)^2/Fits!$B$109)))))))</f>
        <v>0.159495729059288</v>
      </c>
      <c r="CC60" s="20" t="n">
        <f aca="false">IF(OR($D60&lt;&gt;"Drift",$AC60="",$A60&lt;IF(Setup!$B$14="",0,Setup!$B$14),Fits!$B$120&lt;3,Fits!$B$123="",Fits!$B$122=0,IF(Fits!$B$50="Row",$AQ60,$AR60)=""),"",IF($BY60=1,IF(OR(Fits!$B$124="",Fits!$B$124=0),"",($AC60-(IF(Fits!$B$50="Row",Fits!$B$44,Fits!$B$47)*IF(Fits!$B$50="Row",$AQ60,$AR60)+Fits!$B$123))/(Fits!$B$124*SQRT(1+(1/Fits!$B$120+(IF(Fits!$B$50="Row",$AQ60,$AR60)-Fits!$B$121)^2/Fits!$B$122)))),IF(OR(Fits!$B$120&lt;4,(1/Fits!$B$120+(IF(Fits!$B$50="Row",$AQ60,$AR60)-Fits!$B$121)^2/Fits!$B$122)&gt;=1),"",IF((Fits!$B$129-($AC60-(IF(Fits!$B$50="Row",Fits!$B$44,Fits!$B$47)*IF(Fits!$B$50="Row",$AQ60,$AR60)+Fits!$B$123))^2/(1-(1/Fits!$B$120+(IF(Fits!$B$50="Row",$AQ60,$AR60)-Fits!$B$121)^2/Fits!$B$122)))&lt;=0,"",($AC60-(IF(Fits!$B$50="Row",Fits!$B$44,Fits!$B$47)*IF(Fits!$B$50="Row",$AQ60,$AR60)+Fits!$B$123))/(SQRT((Fits!$B$129-($AC60-(IF(Fits!$B$50="Row",Fits!$B$44,Fits!$B$47)*IF(Fits!$B$50="Row",$AQ60,$AR60)+Fits!$B$123))^2/(1-(1/Fits!$B$120+(IF(Fits!$B$50="Row",$AQ60,$AR60)-Fits!$B$121)^2/Fits!$B$122)))/(Fits!$B$120-3))*SQRT(1-(1/Fits!$B$120+(IF(Fits!$B$50="Row",$AQ60,$AR60)-Fits!$B$121)^2/Fits!$B$122)))))))</f>
        <v>-0.319948810779585</v>
      </c>
      <c r="CD60" s="9" t="str">
        <f aca="false">IF($AU60="","",1)</f>
        <v/>
      </c>
      <c r="CE60" s="24" t="str">
        <f aca="false">IF($AU60="","",$AU60-Fits!$B$133)</f>
        <v/>
      </c>
      <c r="CF60" s="24" t="str">
        <f aca="false">IF($AU60="","",($AV60-(Fits!$B$56*$AU60+Fits!$B$57))-Fits!$B$56*($AU60-Fits!$B$133))</f>
        <v/>
      </c>
      <c r="CG60" s="25" t="str">
        <f aca="false">IF($AU60="","",$AU60^2)</f>
        <v/>
      </c>
      <c r="CH60" s="9" t="str">
        <f aca="false">IF($AW60="","",1)</f>
        <v/>
      </c>
      <c r="CI60" s="24" t="str">
        <f aca="false">IF($AW60="","",$AW60-Fits!$B$153)</f>
        <v/>
      </c>
      <c r="CJ60" s="24" t="str">
        <f aca="false">IF($AW60="","",($AX60-(Fits!$B$63*$AW60+Fits!$B$64))-Fits!$B$63*($AW60-Fits!$B$153))</f>
        <v/>
      </c>
      <c r="CK60" s="25" t="str">
        <f aca="false">IF($AW60="","",$AW60^2)</f>
        <v/>
      </c>
      <c r="CL60" s="26" t="n">
        <f aca="false">IF(OR($Z60="",Fits!$B$55&lt;3,Fits!$B$133="",Fits!$B$134="",Fits!$B$134=0,Fits!$B$136=""),"",SQRT((Fits!$B$136*Fits!$B$56)^2+SUMPRODUCT((Fits!$J$163:$J$175*(Fits!$B$163:$B$175/Fits!$B$55+Fits!$H$163:$H$175*($Z60-Fits!$B$133)/Fits!$B$134))^2)+SUMPRODUCT((Fits!$G$163:$G$175*(($Z60-Fits!$B$133)*Fits!$I$163:$I$175/Fits!$B$134-Fits!$B$163:$B$175*Fits!$B$56/Fits!$B$55))^2)))</f>
        <v>0.255802843471761</v>
      </c>
      <c r="CM60" s="26" t="n">
        <f aca="false">IF($CL60="","",Setup!$B$32*$CL60)</f>
        <v>0.511605686943522</v>
      </c>
      <c r="CN60" s="26" t="n">
        <f aca="false">IF(OR($AE60="",Fits!$B$62&lt;3,Fits!$B$153="",Fits!$B$154="",Fits!$B$154=0,Fits!$B$156=""),"",SQRT((Fits!$B$156*Fits!$B$63)^2+SUMPRODUCT((Fits!$J$183:$J$195*(Fits!$B$183:$B$195/Fits!$B$62+Fits!$H$183:$H$195*($AE60-Fits!$B$153)/Fits!$B$154))^2)+SUMPRODUCT((Fits!$G$183:$G$195*(($AE60-Fits!$B$153)*Fits!$I$183:$I$195/Fits!$B$154-Fits!$B$183:$B$195*Fits!$B$63/Fits!$B$62))^2)))</f>
        <v>0.0378773267080325</v>
      </c>
      <c r="CO60" s="26" t="n">
        <f aca="false">IF($CN60="","",Setup!$B$32*$CN60)</f>
        <v>0.075754653416065</v>
      </c>
      <c r="CP60" s="9" t="n">
        <f aca="false">IF(OR(NOT(ISNUMBER($BJ60)),$EK60=1),$CP59,IF($BJ60&lt;=Setup!$B$26,$CP59+1,0))</f>
        <v>25</v>
      </c>
      <c r="CQ60" s="9" t="n">
        <f aca="false">IF($BT60="","",$A60)</f>
        <v>55</v>
      </c>
      <c r="CR60" s="9" t="n">
        <f aca="false">IF($BW60="","",$A60)</f>
        <v>55</v>
      </c>
      <c r="CS60" s="9" t="n">
        <f aca="false">IF($B60="","",IF(Setup!$A$37="",0,IF(ISNUMBER(SEARCH(Setup!$A$37,$B60)),37,0)))</f>
        <v>0</v>
      </c>
      <c r="CT60" s="9" t="n">
        <f aca="false">IF($B60="","",IF(Setup!$A$38="",0,IF(ISNUMBER(SEARCH(Setup!$A$38,$B60)),38,0)))</f>
        <v>0</v>
      </c>
      <c r="CU60" s="9" t="n">
        <f aca="false">IF($B60="","",IF(Setup!$A$39="",0,IF(ISNUMBER(SEARCH(Setup!$A$39,$B60)),39,0)))</f>
        <v>0</v>
      </c>
      <c r="CV60" s="9" t="n">
        <f aca="false">IF($B60="","",IF(Setup!$A$40="",0,IF(ISNUMBER(SEARCH(Setup!$A$40,$B60)),40,0)))</f>
        <v>0</v>
      </c>
      <c r="CW60" s="9" t="n">
        <f aca="false">IF($B60="","",IF(Setup!$A$41="",0,IF(ISNUMBER(SEARCH(Setup!$A$41,$B60)),41,0)))</f>
        <v>0</v>
      </c>
      <c r="CX60" s="9" t="n">
        <f aca="false">IF($B60="","",IF(Setup!$A$42="",0,IF(ISNUMBER(SEARCH(Setup!$A$42,$B60)),42,0)))</f>
        <v>0</v>
      </c>
      <c r="CY60" s="9" t="n">
        <f aca="false">IF($B60="","",IF(Setup!$A$43="",0,IF(ISNUMBER(SEARCH(Setup!$A$43,$B60)),43,0)))</f>
        <v>43</v>
      </c>
      <c r="CZ60" s="9" t="n">
        <f aca="false">IF($B60="","",IF(Setup!$A$44="",0,IF(ISNUMBER(SEARCH(Setup!$A$44,$B60)),44,0)))</f>
        <v>0</v>
      </c>
      <c r="DA60" s="9" t="n">
        <f aca="false">IF($B60="","",IF(Setup!$A$45="",0,IF(ISNUMBER(SEARCH(Setup!$A$45,$B60)),45,0)))</f>
        <v>0</v>
      </c>
      <c r="DB60" s="9" t="n">
        <f aca="false">IF($B60="","",IF(Setup!$A$46="",0,IF(ISNUMBER(SEARCH(Setup!$A$46,$B60)),46,0)))</f>
        <v>0</v>
      </c>
      <c r="DC60" s="9" t="n">
        <f aca="false">IF($B60="","",IF(Setup!$A$47="",0,IF(ISNUMBER(SEARCH(Setup!$A$47,$B60)),47,0)))</f>
        <v>0</v>
      </c>
      <c r="DD60" s="9" t="n">
        <f aca="false">IF($B60="","",IF(Setup!$A$48="",0,IF(ISNUMBER(SEARCH(Setup!$A$48,$B60)),48,0)))</f>
        <v>0</v>
      </c>
      <c r="DE60" s="9" t="n">
        <f aca="false">IF($B60="","",IF(Setup!$A$49="",0,IF(ISNUMBER(SEARCH(Setup!$A$49,$B60)),49,0)))</f>
        <v>0</v>
      </c>
      <c r="DF60" s="9" t="n">
        <f aca="false">IF($B60="",NA(),$A60)</f>
        <v>55</v>
      </c>
      <c r="DG60" s="22" t="n">
        <f aca="false">IF($BI60="",NA(),$BI60)</f>
        <v>23.2</v>
      </c>
      <c r="DH60" s="22" t="n">
        <f aca="false">IF($N60="",NA(),$N60)</f>
        <v>24</v>
      </c>
      <c r="DI60" s="22" t="n">
        <f aca="false">IF(AND($D60="Drift",$N60&lt;&gt;""),$N60,NA())</f>
        <v>24</v>
      </c>
      <c r="DJ60" s="22" t="n">
        <f aca="false">IF(AND($D60="Drift",$N60&lt;&gt;""),$N60,"")</f>
        <v>24</v>
      </c>
      <c r="DK60" s="9" t="n">
        <f aca="false">IF($DJ60="","",$A60)</f>
        <v>55</v>
      </c>
      <c r="DL60" s="9" t="e">
        <f aca="false">IF($AN60="",NA(),$AM60)</f>
        <v>#N/A</v>
      </c>
      <c r="DM60" s="9" t="e">
        <f aca="false">IF($AN60="",NA(),$AN60)</f>
        <v>#N/A</v>
      </c>
      <c r="DN60" s="9" t="e">
        <f aca="false">IF(AND($D60="Sample",$L60&lt;&gt;""),$L60,NA())</f>
        <v>#N/A</v>
      </c>
      <c r="DO60" s="9" t="e">
        <f aca="false">IF(AND($D60="Sample",$L60&lt;&gt;"",Fits!$B$98&lt;&gt;""),Fits!$B$98,NA())</f>
        <v>#N/A</v>
      </c>
      <c r="DP60" s="24" t="n">
        <f aca="false">IF($AS60="",NA(),$AS60)</f>
        <v>-6.395</v>
      </c>
      <c r="DQ60" s="9" t="e">
        <f aca="false">IF(AND($D60="Drift",$AS60="",$X60&lt;&gt;""),$X60,NA())</f>
        <v>#N/A</v>
      </c>
      <c r="DR60" s="24" t="n">
        <f aca="false">IF(AND($D60="Drift",$Z60&lt;&gt;""),$Z60,NA())</f>
        <v>-6.08175380011765</v>
      </c>
      <c r="DS60" s="9" t="e">
        <f aca="false">IF(AND(OR($D60="Sample",$D60="Check"),$AA60&lt;&gt;""),$AA60,NA())</f>
        <v>#N/A</v>
      </c>
      <c r="DT60" s="25" t="n">
        <f aca="false">IF(OR($B60="",Fits!$B$138=""),NA(),Fits!$B$138)</f>
        <v>1.76</v>
      </c>
      <c r="DU60" s="25" t="n">
        <f aca="false">IF(OR($B60="",Fits!$B$139=""),NA(),Fits!$B$139)</f>
        <v>20.68</v>
      </c>
      <c r="DV60" s="24" t="n">
        <f aca="false">IF($BT60="",NA(),$BT60)</f>
        <v>-1.346</v>
      </c>
      <c r="DW60" s="9" t="e">
        <f aca="false">IF($AP60="",NA(),$AO60)</f>
        <v>#N/A</v>
      </c>
      <c r="DX60" s="9" t="e">
        <f aca="false">IF($AP60="",NA(),$AP60)</f>
        <v>#N/A</v>
      </c>
      <c r="DY60" s="9" t="e">
        <f aca="false">IF(AND($D60="Sample",$P60&lt;&gt;""),$P60,NA())</f>
        <v>#N/A</v>
      </c>
      <c r="DZ60" s="9" t="e">
        <f aca="false">IF(AND($D60="Sample",$P60&lt;&gt;"",Fits!$B$105&lt;&gt;""),Fits!$B$105,NA())</f>
        <v>#N/A</v>
      </c>
      <c r="EA60" s="24" t="n">
        <f aca="false">IF($AT60="",NA(),$AT60)</f>
        <v>-9.4369070951007</v>
      </c>
      <c r="EB60" s="9" t="e">
        <f aca="false">IF(AND($D60="Drift",$AT60="",$AC60&lt;&gt;""),$AC60,NA())</f>
        <v>#N/A</v>
      </c>
      <c r="EC60" s="24" t="n">
        <f aca="false">IF(AND($D60="Drift",$AE60&lt;&gt;""),$AE60,NA())</f>
        <v>-9.492057567486</v>
      </c>
      <c r="ED60" s="9" t="e">
        <f aca="false">IF(AND(OR($D60="Sample",$D60="Check"),$AF60&lt;&gt;""),$AF60,NA())</f>
        <v>#N/A</v>
      </c>
      <c r="EE60" s="25" t="n">
        <f aca="false">IF(OR($B60="",Fits!$B$158=""),NA(),Fits!$B$158)</f>
        <v>-40.81</v>
      </c>
      <c r="EF60" s="25" t="n">
        <f aca="false">IF(OR($B60="",Fits!$B$159=""),NA(),Fits!$B$159)</f>
        <v>-20.29</v>
      </c>
      <c r="EG60" s="24" t="n">
        <f aca="false">IF($BW60="",NA(),$BW60)</f>
        <v>-25.343</v>
      </c>
      <c r="EH60" s="9" t="e">
        <f aca="false">IF(AND($EN60=1,ISNUMBER($N60)),$N60,NA())</f>
        <v>#N/A</v>
      </c>
      <c r="EI60" s="9" t="n">
        <f aca="false">IF($B60="","",$A60)</f>
        <v>55</v>
      </c>
      <c r="EJ60" s="9" t="n">
        <f aca="false">IF(OR(AND(ISNUMBER($L60),Fits!$B$97&gt;0,$L60&gt;Fits!$B$97),AND(ISNUMBER($P60),Fits!$B$104&gt;0,$P60&gt;Fits!$B$104)),1,0)</f>
        <v>0</v>
      </c>
      <c r="EK60" s="9" t="n">
        <f aca="false">IF(OR($EJ59=1,$EJ58=1),1,0)</f>
        <v>0</v>
      </c>
      <c r="EL60" s="22" t="n">
        <f aca="false">IF(AND($EK60=0,ISNUMBER($N60)),$N60,$EL59)</f>
        <v>24</v>
      </c>
      <c r="EM60" s="9" t="str">
        <f aca="false">IF(AND($EK60=1,ISNUMBER($N60),ISNUMBER($EL60)),$N60-$EL60,"")</f>
        <v/>
      </c>
      <c r="EN60" s="9" t="n">
        <f aca="false">IF(Setup!$B$28="",0,IF(ISNUMBER($EM60),IF($EM60&gt;Setup!$B$28,1,0),0))</f>
        <v>0</v>
      </c>
      <c r="EO60" s="9" t="str">
        <f aca="false">IF($EN60=1,COUNTIF($EN$6:$EN60,1),"")</f>
        <v/>
      </c>
      <c r="EP60" s="9" t="n">
        <f aca="false">IF(AND($EJ59=1,OR($D60="Sample",$D60="Check")),1,0)</f>
        <v>0</v>
      </c>
      <c r="EQ60" s="9" t="str">
        <f aca="false">IF(ISNUMBER($BI60),IF(COUNT($BI$6:$BI60)&lt;=5,$BI60,""),"")</f>
        <v/>
      </c>
      <c r="ER60" s="9" t="n">
        <f aca="false">IF(OR(NOT(ISNUMBER($BJ60)),$EK60=1),$ER59,IF($BJ60&lt;=Setup!$B$26,IF($CP59=0,$A60,$ER59),""))</f>
        <v>27</v>
      </c>
    </row>
    <row r="61" customFormat="false" ht="15" hidden="false" customHeight="false" outlineLevel="0" collapsed="false">
      <c r="A61" s="8" t="n">
        <v>56</v>
      </c>
      <c r="B61" s="8" t="str">
        <f aca="false">IFERROR(INDEX(Raw!$B$2:$B$1001,MATCH($A61,Raw!$A$2:$A$1001,0)),"")</f>
        <v>blank capsule</v>
      </c>
      <c r="C61" s="9" t="n">
        <f aca="false">IF($B61="","",MAX($CS61:$DE61))</f>
        <v>45</v>
      </c>
      <c r="D61" s="8" t="str">
        <f aca="false">IF($B61="","",IF($C61=0,"Sample",INDEX(Setup!$B$37:$B$49,$C61-36)))</f>
        <v>Blank</v>
      </c>
      <c r="E61" s="16" t="n">
        <f aca="false">IF($B61="","",IFERROR(IF(INDEX(Raw!$E$2:$E$1001,MATCH($A61,Raw!$A$2:$A$1001,0))=0,"",INDEX(Raw!$E$2:$E$1001,MATCH($A61,Raw!$A$2:$A$1001,0))),""))</f>
        <v>0.397</v>
      </c>
      <c r="F61" s="18"/>
      <c r="G61" s="16" t="n">
        <f aca="false">IF($B61="","",IF($F61&lt;&gt;"",$F61,IF($E61="","",$E61)))</f>
        <v>0.397</v>
      </c>
      <c r="H61" s="9" t="n">
        <f aca="false">IF($B61="","",SUMPRODUCT(MAX((Raw!$A$2:$A$1001=$A61)*(Raw!$R$2:$R$1001="N")*Raw!$D$2:$D$1001)))</f>
        <v>3</v>
      </c>
      <c r="I61" s="9" t="str">
        <f aca="false">IF(OR($H61="",$H61=0),"",$A61&amp;"|N|"&amp;$H61)</f>
        <v>56|N|3</v>
      </c>
      <c r="J61" s="9" t="n">
        <f aca="false">IF($B61="","",SUMPRODUCT(MIN((Raw!$A$2:$A$1001=$A61)*(Raw!$R$2:$R$1001="C")*Raw!$D$2:$D$1001+(1-(Raw!$A$2:$A$1001=$A61)*(Raw!$R$2:$R$1001="C"))*9999)))</f>
        <v>4</v>
      </c>
      <c r="K61" s="9" t="str">
        <f aca="false">IF(OR($J61="",$J61=0,$J61=9999),"",$A61&amp;"|C|"&amp;$J61)</f>
        <v>56|C|4</v>
      </c>
      <c r="L61" s="16" t="n">
        <f aca="false">IF($I61="","",IF(INDEX(Raw!$I$2:$I$1001,MATCH($I61,Raw!$S$2:$S$1001,0))&lt;&gt;0,"",INDEX(Raw!$H$2:$H$1001,MATCH($I61,Raw!$S$2:$S$1001,0))))</f>
        <v>2.058</v>
      </c>
      <c r="M61" s="19" t="n">
        <f aca="false">IF($I61="","",IF(INDEX(Raw!$I$2:$I$1001,MATCH($I61,Raw!$S$2:$S$1001,0))&lt;&gt;0,"",INDEX(Raw!$F$2:$F$1001,MATCH($I61,Raw!$S$2:$S$1001,0))))</f>
        <v>92</v>
      </c>
      <c r="N61" s="20" t="n">
        <f aca="false">IF($I61="","",IF(INDEX(Raw!$I$2:$I$1001,MATCH($I61,Raw!$S$2:$S$1001,0))&lt;&gt;0,"",INDEX(Raw!$G$2:$G$1001,MATCH($I61,Raw!$S$2:$S$1001,0))))</f>
        <v>25.7</v>
      </c>
      <c r="O61" s="16" t="n">
        <f aca="false">IF($I61="","",IF(INDEX(Raw!$I$2:$I$1001,MATCH($I61,Raw!$S$2:$S$1001,0))&lt;&gt;0,"",INDEX(Raw!$N$2:$N$1001,MATCH($I61,Raw!$S$2:$S$1001,0))))</f>
        <v>-6.777</v>
      </c>
      <c r="P61" s="16" t="str">
        <f aca="false">IF($K61="","",IF(INDEX(Raw!$I$2:$I$1001,MATCH($K61,Raw!$S$2:$S$1001,0))&lt;&gt;0,"",INDEX(Raw!$K$2:$K$1001,MATCH($K61,Raw!$S$2:$S$1001,0))))</f>
        <v/>
      </c>
      <c r="Q61" s="19" t="str">
        <f aca="false">IF($K61="","",IF(INDEX(Raw!$I$2:$I$1001,MATCH($K61,Raw!$S$2:$S$1001,0))&lt;&gt;0,"",INDEX(Raw!$J$2:$J$1001,MATCH($K61,Raw!$S$2:$S$1001,0))))</f>
        <v/>
      </c>
      <c r="R61" s="16" t="str">
        <f aca="false">IF($K61="","",IF(INDEX(Raw!$I$2:$I$1001,MATCH($K61,Raw!$S$2:$S$1001,0))&lt;&gt;0,"",INDEX(Raw!$O$2:$O$1001,MATCH($K61,Raw!$S$2:$S$1001,0))))</f>
        <v/>
      </c>
      <c r="S61" s="21" t="str">
        <f aca="false">IF($B61="","",IF($C61=0,"",IF(INDEX(Setup!$D$37:$D$49,$C61-36)="","",INDEX(Setup!$D$37:$D$49,$C61-36))))</f>
        <v/>
      </c>
      <c r="T61" s="21" t="str">
        <f aca="false">IF($B61="","",IF($C61=0,"",IF(INDEX(Setup!$C$37:$C$49,$C61-36)="","",INDEX(Setup!$C$37:$C$49,$C61-36))))</f>
        <v/>
      </c>
      <c r="U61" s="21" t="str">
        <f aca="false">IF($B61="","",IF($C61=0,"",IF(INDEX(Setup!$F$37:$F$49,$C61-36)="","",INDEX(Setup!$F$37:$F$49,$C61-36))))</f>
        <v/>
      </c>
      <c r="V61" s="21" t="str">
        <f aca="false">IF($B61="","",IF($C61=0,"",IF(INDEX(Setup!$E$37:$E$49,$C61-36)="","",INDEX(Setup!$E$37:$E$49,$C61-36))))</f>
        <v/>
      </c>
      <c r="W61" s="16" t="n">
        <f aca="false">IF($O61="","",IF(OR(Fits!$C$5&lt;&gt;"Yes",$D61="Blank",$L61&lt;=Fits!$B$6),$O61,($L61*$O61-Fits!$B$6*Fits!$B$7)/($L61-Fits!$B$6)))</f>
        <v>-6.777</v>
      </c>
      <c r="X61" s="16" t="n">
        <f aca="false">IF($W61="","",$W61-Fits!$B$20*($L61-Fits!$B$16))</f>
        <v>-6.777</v>
      </c>
      <c r="Y61" s="22" t="n">
        <f aca="false">IF($W61="","",IF(OR(Fits!$B$38="Row",$BI61=""),$A61,$BI61))</f>
        <v>56</v>
      </c>
      <c r="Z61" s="16" t="n">
        <f aca="false">IF($X61="","",$X61-Fits!$B$39*($Y61-Fits!$B$40))</f>
        <v>-6.44899945012319</v>
      </c>
      <c r="AA61" s="23" t="n">
        <f aca="false">IF(OR($Z61="",Fits!$B$55&lt;2),"",Fits!$B$56*$Z61+Fits!$B$57)</f>
        <v>-5.59325917679977</v>
      </c>
      <c r="AB61" s="16" t="str">
        <f aca="false">IF($R61="","",IF(OR(Fits!$C$9&lt;&gt;"Yes",$D61="Blank",$P61&lt;=Fits!$B$10),$R61,($P61*$R61-Fits!$B$10*Fits!$B$11)/($P61-Fits!$B$10)))</f>
        <v/>
      </c>
      <c r="AC61" s="16" t="str">
        <f aca="false">IF($AB61="","",$AB61-Fits!$B$28*($P61-Fits!$B$24))</f>
        <v/>
      </c>
      <c r="AD61" s="22" t="str">
        <f aca="false">IF($AB61="","",IF(OR(Fits!$B$50="Row",$BI61=""),$A61,$BI61))</f>
        <v/>
      </c>
      <c r="AE61" s="16" t="str">
        <f aca="false">IF($AC61="","",$AC61-Fits!$B$51*($AD61-Fits!$B$52))</f>
        <v/>
      </c>
      <c r="AF61" s="23" t="str">
        <f aca="false">IF(OR($AE61="",Fits!$B$62&lt;2),"",Fits!$B$63*$AE61+Fits!$B$64)</f>
        <v/>
      </c>
      <c r="AG61" s="21" t="n">
        <f aca="false">IF(OR($L61="",Fits!$B$69&lt;3),"",($L61-Fits!$B$71)/Fits!$B$70)</f>
        <v>0.120811447473918</v>
      </c>
      <c r="AH61" s="21" t="str">
        <f aca="false">IF(OR($P61="",Fits!$B$75&lt;3),"",($P61-Fits!$B$77)/Fits!$B$76)</f>
        <v/>
      </c>
      <c r="AI61" s="23" t="n">
        <f aca="false">IF(OR($AG61="",$G61="",$G61=0),"",$AG61/($G61*1000)*100)</f>
        <v>0.0304310950815915</v>
      </c>
      <c r="AJ61" s="23" t="str">
        <f aca="false">IF(OR($AH61="",$G61="",$G61=0),"",$AH61/($G61*1000)*100)</f>
        <v/>
      </c>
      <c r="AK61" s="23" t="str">
        <f aca="false">IF(OR($AG61="",$AH61="",$AG61&lt;=0),"",($AH61/Setup!$B$52)/($AG61/Setup!$B$53))</f>
        <v/>
      </c>
      <c r="AL61" s="23" t="str">
        <f aca="false">IF(OR($AG61="",$AH61="",$AG61&lt;=0),"",$AH61/$AG61)</f>
        <v/>
      </c>
      <c r="AM61" s="9" t="str">
        <f aca="false">IF($D61="Linearity",IF($L61="","",$L61),"")</f>
        <v/>
      </c>
      <c r="AN61" s="9" t="str">
        <f aca="false">IF($D61="Linearity",IF($W61="","",$W61),"")</f>
        <v/>
      </c>
      <c r="AO61" s="9" t="str">
        <f aca="false">IF($D61="Linearity",IF($P61="","",$P61),"")</f>
        <v/>
      </c>
      <c r="AP61" s="9" t="str">
        <f aca="false">IF($D61="Linearity",IF($AB61="","",$AB61),"")</f>
        <v/>
      </c>
      <c r="AQ61" s="9" t="str">
        <f aca="false">IF($D61="Drift",IF($A61&lt;IF(Setup!$B$14="",0,Setup!$B$14),"",$A61),"")</f>
        <v/>
      </c>
      <c r="AR61" s="9" t="str">
        <f aca="false">IF($D61="Drift",IF($A61&lt;IF(Setup!$B$14="",0,Setup!$B$14),"",IF($BI61="","",$BI61)),"")</f>
        <v/>
      </c>
      <c r="AS61" s="9" t="str">
        <f aca="false">IF($D61="Drift",IF($A61&lt;IF(Setup!$B$14="",0,Setup!$B$14),"",IF(OR($X61="",$BX61=1),"",$X61)),"")</f>
        <v/>
      </c>
      <c r="AT61" s="9" t="str">
        <f aca="false">IF($D61="Drift",IF($A61&lt;IF(Setup!$B$14="",0,Setup!$B$14),"",IF(OR($AC61="",$BY61=1),"",$AC61)),"")</f>
        <v/>
      </c>
      <c r="AU61" s="9" t="str">
        <f aca="false">IF($D61="Anchor",IF(OR($Z61="",$S61=""),"",$Z61),"")</f>
        <v/>
      </c>
      <c r="AV61" s="9" t="str">
        <f aca="false">IF($D61="Anchor",IF(OR($Z61="",$S61=""),"",$S61),"")</f>
        <v/>
      </c>
      <c r="AW61" s="9" t="str">
        <f aca="false">IF($D61="Anchor",IF(OR($AE61="",$T61=""),"",$AE61),"")</f>
        <v/>
      </c>
      <c r="AX61" s="9" t="str">
        <f aca="false">IF($D61="Anchor",IF(OR($AE61="",$T61=""),"",$T61),"")</f>
        <v/>
      </c>
      <c r="AY61" s="9" t="str">
        <f aca="false">IF(OR($D61="Blank",$D61="Exclude",$D61="Sample",$D61="",$G61="",$U61="",$L61=""),"",$G61*1000*$U61/100)</f>
        <v/>
      </c>
      <c r="AZ61" s="9" t="str">
        <f aca="false">IF($AY61="","",$L61)</f>
        <v/>
      </c>
      <c r="BA61" s="9" t="str">
        <f aca="false">IF(OR($D61="Blank",$D61="Exclude",$D61="Sample",$D61="",$G61="",$V61="",$P61=""),"",$G61*1000*$V61/100)</f>
        <v/>
      </c>
      <c r="BB61" s="9" t="str">
        <f aca="false">IF($BA61="","",$P61)</f>
        <v/>
      </c>
      <c r="BC61" s="24" t="n">
        <f aca="false">IF(AND($D61="Blank",$L61&lt;&gt;""),$O61,"")</f>
        <v>-6.777</v>
      </c>
      <c r="BD61" s="24" t="n">
        <f aca="false">IF($BC61="","",$L61)</f>
        <v>2.058</v>
      </c>
      <c r="BE61" s="9" t="str">
        <f aca="false">IF(AND($D61="Blank",$P61&lt;&gt;""),$R61,"")</f>
        <v/>
      </c>
      <c r="BF61" s="9" t="str">
        <f aca="false">IF($BE61="","",$P61)</f>
        <v/>
      </c>
      <c r="BG61" s="9" t="str">
        <f aca="false">IF(AND($D61="Drift",$BX61&lt;&gt;1),IF($AA61="","",$AA61),"")</f>
        <v/>
      </c>
      <c r="BH61" s="9" t="str">
        <f aca="false">IF(AND($D61="Drift",$BY61&lt;&gt;1),IF($AF61="","",$AF61),"")</f>
        <v/>
      </c>
      <c r="BI61" s="20" t="n">
        <f aca="false">IF($B61="","",IFERROR(INDEX(Raw!$G$2:$G$1001,MATCH($A61&amp;"|N|"&amp;SUMPRODUCT(MAX((Raw!$A$2:$A$1001=$A61)*(Raw!$R$2:$R$1001="N")*(Raw!$I$2:$I$1001=1)*Raw!$D$2:$D$1001)),Raw!$S$2:$S$1001,0)),""))</f>
        <v>23.2</v>
      </c>
      <c r="BJ61" s="21" t="n">
        <f aca="false">IF(OR($BI61="",Fits!$B$85&lt;=0),"",($BI61-Fits!$B$83)/Fits!$B$85)</f>
        <v>0.00900900900900882</v>
      </c>
      <c r="BK61" s="9" t="str">
        <f aca="false">IF($AS61="","",IF($A61&gt;=Fits!$B$86,"",$A61))</f>
        <v/>
      </c>
      <c r="BL61" s="9" t="str">
        <f aca="false">IF($BK61="","",$X61)</f>
        <v/>
      </c>
      <c r="BM61" s="9" t="str">
        <f aca="false">IF($AS61="","",IF($A61&lt;Fits!$B$86,"",$A61))</f>
        <v/>
      </c>
      <c r="BN61" s="9" t="str">
        <f aca="false">IF($BM61="","",$X61)</f>
        <v/>
      </c>
      <c r="BO61" s="9" t="str">
        <f aca="false">IF(AND($D61="Drift",$BX61&lt;&gt;1),IF($O61="","",$O61),"")</f>
        <v/>
      </c>
      <c r="BP61" s="9" t="str">
        <f aca="false">IF(AND($D61="Drift",$BX61&lt;&gt;1),IF($W61="","",$W61),"")</f>
        <v/>
      </c>
      <c r="BQ61" s="9" t="str">
        <f aca="false">IF(AND($D61="Drift",$BX61&lt;&gt;1),IF($X61="","",$X61),"")</f>
        <v/>
      </c>
      <c r="BR61" s="9" t="str">
        <f aca="false">IF(AND($D61="Drift",$BX61&lt;&gt;1),IF($Z61="","",$Z61),"")</f>
        <v/>
      </c>
      <c r="BS61" s="9" t="n">
        <f aca="false">IF(OR($B61="",$H61=""),"",SUMPRODUCT(MIN((Raw!$A$2:$A$1001=$A61)*(Raw!$R$2:$R$1001="N")*(Raw!$I$2:$I$1001=0)*(Raw!$D$2:$D$1001&lt;$H61)*Raw!$D$2:$D$1001+(1-(Raw!$A$2:$A$1001=$A61)*(Raw!$R$2:$R$1001="N")*(Raw!$I$2:$I$1001=0)*(Raw!$D$2:$D$1001&lt;$H61))*9999)))</f>
        <v>1</v>
      </c>
      <c r="BT61" s="16" t="n">
        <f aca="false">IF(OR($BS61="",$BS61=9999,$BS61=0),"",IFERROR(INDEX(Raw!$N$2:$N$1001,MATCH($A61&amp;"|N|"&amp;$BS61,Raw!$S$2:$S$1001,0)),""))</f>
        <v>-1.246</v>
      </c>
      <c r="BU61" s="9" t="n">
        <f aca="false">IF($B61="","",SUMPRODUCT(MIN((Raw!$A$2:$A$1001=$A61)*(Raw!$R$2:$R$1001="C")*(Raw!$I$2:$I$1001=1)*Raw!$D$2:$D$1001+(1-(Raw!$A$2:$A$1001=$A61)*(Raw!$R$2:$R$1001="C")*(Raw!$I$2:$I$1001=1))*9999)))</f>
        <v>4</v>
      </c>
      <c r="BV61" s="9" t="n">
        <f aca="false">IF(OR($BU61="",$BU61=9999),"",SUMPRODUCT(MIN((Raw!$A$2:$A$1001=$A61)*(Raw!$R$2:$R$1001="C")*(Raw!$I$2:$I$1001=0)*(Raw!$D$2:$D$1001&gt;$BU61)*Raw!$D$2:$D$1001+(1-(Raw!$A$2:$A$1001=$A61)*(Raw!$R$2:$R$1001="C")*(Raw!$I$2:$I$1001=0)*(Raw!$D$2:$D$1001&gt;$BU61))*9999)))</f>
        <v>5</v>
      </c>
      <c r="BW61" s="16" t="n">
        <f aca="false">IF(OR($BV61="",$BV61=9999,$BV61=0),"",IFERROR(INDEX(Raw!$O$2:$O$1001,MATCH($A61&amp;"|C|"&amp;$BV61,Raw!$S$2:$S$1001,0)),""))</f>
        <v>-25.445</v>
      </c>
      <c r="BX61" s="9" t="n">
        <f aca="false">IF($B61="","",IF(ISNUMBER(SEARCH(","&amp;$A61&amp;",",","&amp;SUBSTITUTE(Setup!$B$16," ","")&amp;",")),1,0))</f>
        <v>0</v>
      </c>
      <c r="BY61" s="9" t="n">
        <f aca="false">IF($B61="","",IF(ISNUMBER(SEARCH(","&amp;$A61&amp;",",","&amp;SUBSTITUTE(Setup!$B$17," ","")&amp;",")),1,0))</f>
        <v>0</v>
      </c>
      <c r="BZ61" s="22" t="str">
        <f aca="false">IF($AS61="","",IF(Fits!$B$38="Row",$AQ61,IF($AR61="","",$AR61)))</f>
        <v/>
      </c>
      <c r="CA61" s="22" t="str">
        <f aca="false">IF($AT61="","",IF(Fits!$B$50="Row",$AQ61,IF($AR61="","",$AR61)))</f>
        <v/>
      </c>
      <c r="CB61" s="20" t="str">
        <f aca="false">IF(OR($D61&lt;&gt;"Drift",$X61="",$A61&lt;IF(Setup!$B$14="",0,Setup!$B$14),Fits!$B$107&lt;3,Fits!$B$110="",Fits!$B$109=0,IF(Fits!$B$38="Row",$AQ61,$AR61)=""),"",IF($BX61=1,IF(OR(Fits!$B$111="",Fits!$B$111=0),"",($X61-(IF(Fits!$B$38="Row",Fits!$B$32,Fits!$B$35)*IF(Fits!$B$38="Row",$AQ61,$AR61)+Fits!$B$110))/(Fits!$B$111*SQRT(1+(1/Fits!$B$107+(IF(Fits!$B$38="Row",$AQ61,$AR61)-Fits!$B$108)^2/Fits!$B$109)))),IF(OR(Fits!$B$107&lt;4,(1/Fits!$B$107+(IF(Fits!$B$38="Row",$AQ61,$AR61)-Fits!$B$108)^2/Fits!$B$109)&gt;=1),"",IF((Fits!$B$116-($X61-(IF(Fits!$B$38="Row",Fits!$B$32,Fits!$B$35)*IF(Fits!$B$38="Row",$AQ61,$AR61)+Fits!$B$110))^2/(1-(1/Fits!$B$107+(IF(Fits!$B$38="Row",$AQ61,$AR61)-Fits!$B$108)^2/Fits!$B$109)))&lt;=0,"",($X61-(IF(Fits!$B$38="Row",Fits!$B$32,Fits!$B$35)*IF(Fits!$B$38="Row",$AQ61,$AR61)+Fits!$B$110))/(SQRT((Fits!$B$116-($X61-(IF(Fits!$B$38="Row",Fits!$B$32,Fits!$B$35)*IF(Fits!$B$38="Row",$AQ61,$AR61)+Fits!$B$110))^2/(1-(1/Fits!$B$107+(IF(Fits!$B$38="Row",$AQ61,$AR61)-Fits!$B$108)^2/Fits!$B$109)))/(Fits!$B$107-3))*SQRT(1-(1/Fits!$B$107+(IF(Fits!$B$38="Row",$AQ61,$AR61)-Fits!$B$108)^2/Fits!$B$109)))))))</f>
        <v/>
      </c>
      <c r="CC61" s="20" t="str">
        <f aca="false">IF(OR($D61&lt;&gt;"Drift",$AC61="",$A61&lt;IF(Setup!$B$14="",0,Setup!$B$14),Fits!$B$120&lt;3,Fits!$B$123="",Fits!$B$122=0,IF(Fits!$B$50="Row",$AQ61,$AR61)=""),"",IF($BY61=1,IF(OR(Fits!$B$124="",Fits!$B$124=0),"",($AC61-(IF(Fits!$B$50="Row",Fits!$B$44,Fits!$B$47)*IF(Fits!$B$50="Row",$AQ61,$AR61)+Fits!$B$123))/(Fits!$B$124*SQRT(1+(1/Fits!$B$120+(IF(Fits!$B$50="Row",$AQ61,$AR61)-Fits!$B$121)^2/Fits!$B$122)))),IF(OR(Fits!$B$120&lt;4,(1/Fits!$B$120+(IF(Fits!$B$50="Row",$AQ61,$AR61)-Fits!$B$121)^2/Fits!$B$122)&gt;=1),"",IF((Fits!$B$129-($AC61-(IF(Fits!$B$50="Row",Fits!$B$44,Fits!$B$47)*IF(Fits!$B$50="Row",$AQ61,$AR61)+Fits!$B$123))^2/(1-(1/Fits!$B$120+(IF(Fits!$B$50="Row",$AQ61,$AR61)-Fits!$B$121)^2/Fits!$B$122)))&lt;=0,"",($AC61-(IF(Fits!$B$50="Row",Fits!$B$44,Fits!$B$47)*IF(Fits!$B$50="Row",$AQ61,$AR61)+Fits!$B$123))/(SQRT((Fits!$B$129-($AC61-(IF(Fits!$B$50="Row",Fits!$B$44,Fits!$B$47)*IF(Fits!$B$50="Row",$AQ61,$AR61)+Fits!$B$123))^2/(1-(1/Fits!$B$120+(IF(Fits!$B$50="Row",$AQ61,$AR61)-Fits!$B$121)^2/Fits!$B$122)))/(Fits!$B$120-3))*SQRT(1-(1/Fits!$B$120+(IF(Fits!$B$50="Row",$AQ61,$AR61)-Fits!$B$121)^2/Fits!$B$122)))))))</f>
        <v/>
      </c>
      <c r="CD61" s="9" t="str">
        <f aca="false">IF($AU61="","",1)</f>
        <v/>
      </c>
      <c r="CE61" s="24" t="str">
        <f aca="false">IF($AU61="","",$AU61-Fits!$B$133)</f>
        <v/>
      </c>
      <c r="CF61" s="24" t="str">
        <f aca="false">IF($AU61="","",($AV61-(Fits!$B$56*$AU61+Fits!$B$57))-Fits!$B$56*($AU61-Fits!$B$133))</f>
        <v/>
      </c>
      <c r="CG61" s="25" t="str">
        <f aca="false">IF($AU61="","",$AU61^2)</f>
        <v/>
      </c>
      <c r="CH61" s="9" t="str">
        <f aca="false">IF($AW61="","",1)</f>
        <v/>
      </c>
      <c r="CI61" s="24" t="str">
        <f aca="false">IF($AW61="","",$AW61-Fits!$B$153)</f>
        <v/>
      </c>
      <c r="CJ61" s="24" t="str">
        <f aca="false">IF($AW61="","",($AX61-(Fits!$B$63*$AW61+Fits!$B$64))-Fits!$B$63*($AW61-Fits!$B$153))</f>
        <v/>
      </c>
      <c r="CK61" s="25" t="str">
        <f aca="false">IF($AW61="","",$AW61^2)</f>
        <v/>
      </c>
      <c r="CL61" s="26" t="n">
        <f aca="false">IF(OR($Z61="",Fits!$B$55&lt;3,Fits!$B$133="",Fits!$B$134="",Fits!$B$134=0,Fits!$B$136=""),"",SQRT((Fits!$B$136*Fits!$B$56)^2+SUMPRODUCT((Fits!$J$163:$J$175*(Fits!$B$163:$B$175/Fits!$B$55+Fits!$H$163:$H$175*($Z61-Fits!$B$133)/Fits!$B$134))^2)+SUMPRODUCT((Fits!$G$163:$G$175*(($Z61-Fits!$B$133)*Fits!$I$163:$I$175/Fits!$B$134-Fits!$B$163:$B$175*Fits!$B$56/Fits!$B$55))^2)))</f>
        <v>0.258017218340033</v>
      </c>
      <c r="CM61" s="26" t="n">
        <f aca="false">IF($CL61="","",Setup!$B$32*$CL61)</f>
        <v>0.516034436680065</v>
      </c>
      <c r="CN61" s="26" t="str">
        <f aca="false">IF(OR($AE61="",Fits!$B$62&lt;3,Fits!$B$153="",Fits!$B$154="",Fits!$B$154=0,Fits!$B$156=""),"",SQRT((Fits!$B$156*Fits!$B$63)^2+SUMPRODUCT((Fits!$J$183:$J$195*(Fits!$B$183:$B$195/Fits!$B$62+Fits!$H$183:$H$195*($AE61-Fits!$B$153)/Fits!$B$154))^2)+SUMPRODUCT((Fits!$G$183:$G$195*(($AE61-Fits!$B$153)*Fits!$I$183:$I$195/Fits!$B$154-Fits!$B$183:$B$195*Fits!$B$63/Fits!$B$62))^2)))</f>
        <v/>
      </c>
      <c r="CO61" s="26" t="str">
        <f aca="false">IF($CN61="","",Setup!$B$32*$CN61)</f>
        <v/>
      </c>
      <c r="CP61" s="9" t="n">
        <f aca="false">IF(OR(NOT(ISNUMBER($BJ61)),$EK61=1),$CP60,IF($BJ61&lt;=Setup!$B$26,$CP60+1,0))</f>
        <v>26</v>
      </c>
      <c r="CQ61" s="9" t="n">
        <f aca="false">IF($BT61="","",$A61)</f>
        <v>56</v>
      </c>
      <c r="CR61" s="9" t="n">
        <f aca="false">IF($BW61="","",$A61)</f>
        <v>56</v>
      </c>
      <c r="CS61" s="9" t="n">
        <f aca="false">IF($B61="","",IF(Setup!$A$37="",0,IF(ISNUMBER(SEARCH(Setup!$A$37,$B61)),37,0)))</f>
        <v>0</v>
      </c>
      <c r="CT61" s="9" t="n">
        <f aca="false">IF($B61="","",IF(Setup!$A$38="",0,IF(ISNUMBER(SEARCH(Setup!$A$38,$B61)),38,0)))</f>
        <v>0</v>
      </c>
      <c r="CU61" s="9" t="n">
        <f aca="false">IF($B61="","",IF(Setup!$A$39="",0,IF(ISNUMBER(SEARCH(Setup!$A$39,$B61)),39,0)))</f>
        <v>0</v>
      </c>
      <c r="CV61" s="9" t="n">
        <f aca="false">IF($B61="","",IF(Setup!$A$40="",0,IF(ISNUMBER(SEARCH(Setup!$A$40,$B61)),40,0)))</f>
        <v>0</v>
      </c>
      <c r="CW61" s="9" t="n">
        <f aca="false">IF($B61="","",IF(Setup!$A$41="",0,IF(ISNUMBER(SEARCH(Setup!$A$41,$B61)),41,0)))</f>
        <v>0</v>
      </c>
      <c r="CX61" s="9" t="n">
        <f aca="false">IF($B61="","",IF(Setup!$A$42="",0,IF(ISNUMBER(SEARCH(Setup!$A$42,$B61)),42,0)))</f>
        <v>0</v>
      </c>
      <c r="CY61" s="9" t="n">
        <f aca="false">IF($B61="","",IF(Setup!$A$43="",0,IF(ISNUMBER(SEARCH(Setup!$A$43,$B61)),43,0)))</f>
        <v>0</v>
      </c>
      <c r="CZ61" s="9" t="n">
        <f aca="false">IF($B61="","",IF(Setup!$A$44="",0,IF(ISNUMBER(SEARCH(Setup!$A$44,$B61)),44,0)))</f>
        <v>0</v>
      </c>
      <c r="DA61" s="9" t="n">
        <f aca="false">IF($B61="","",IF(Setup!$A$45="",0,IF(ISNUMBER(SEARCH(Setup!$A$45,$B61)),45,0)))</f>
        <v>45</v>
      </c>
      <c r="DB61" s="9" t="n">
        <f aca="false">IF($B61="","",IF(Setup!$A$46="",0,IF(ISNUMBER(SEARCH(Setup!$A$46,$B61)),46,0)))</f>
        <v>0</v>
      </c>
      <c r="DC61" s="9" t="n">
        <f aca="false">IF($B61="","",IF(Setup!$A$47="",0,IF(ISNUMBER(SEARCH(Setup!$A$47,$B61)),47,0)))</f>
        <v>0</v>
      </c>
      <c r="DD61" s="9" t="n">
        <f aca="false">IF($B61="","",IF(Setup!$A$48="",0,IF(ISNUMBER(SEARCH(Setup!$A$48,$B61)),48,0)))</f>
        <v>0</v>
      </c>
      <c r="DE61" s="9" t="n">
        <f aca="false">IF($B61="","",IF(Setup!$A$49="",0,IF(ISNUMBER(SEARCH(Setup!$A$49,$B61)),49,0)))</f>
        <v>0</v>
      </c>
      <c r="DF61" s="9" t="n">
        <f aca="false">IF($B61="",NA(),$A61)</f>
        <v>56</v>
      </c>
      <c r="DG61" s="22" t="n">
        <f aca="false">IF($BI61="",NA(),$BI61)</f>
        <v>23.2</v>
      </c>
      <c r="DH61" s="22" t="n">
        <f aca="false">IF($N61="",NA(),$N61)</f>
        <v>25.7</v>
      </c>
      <c r="DI61" s="9" t="e">
        <f aca="false">IF(AND($D61="Drift",$N61&lt;&gt;""),$N61,NA())</f>
        <v>#N/A</v>
      </c>
      <c r="DJ61" s="9" t="str">
        <f aca="false">IF(AND($D61="Drift",$N61&lt;&gt;""),$N61,"")</f>
        <v/>
      </c>
      <c r="DK61" s="9" t="str">
        <f aca="false">IF($DJ61="","",$A61)</f>
        <v/>
      </c>
      <c r="DL61" s="9" t="e">
        <f aca="false">IF($AN61="",NA(),$AM61)</f>
        <v>#N/A</v>
      </c>
      <c r="DM61" s="9" t="e">
        <f aca="false">IF($AN61="",NA(),$AN61)</f>
        <v>#N/A</v>
      </c>
      <c r="DN61" s="9" t="e">
        <f aca="false">IF(AND($D61="Sample",$L61&lt;&gt;""),$L61,NA())</f>
        <v>#N/A</v>
      </c>
      <c r="DO61" s="9" t="e">
        <f aca="false">IF(AND($D61="Sample",$L61&lt;&gt;"",Fits!$B$98&lt;&gt;""),Fits!$B$98,NA())</f>
        <v>#N/A</v>
      </c>
      <c r="DP61" s="9" t="e">
        <f aca="false">IF($AS61="",NA(),$AS61)</f>
        <v>#N/A</v>
      </c>
      <c r="DQ61" s="9" t="e">
        <f aca="false">IF(AND($D61="Drift",$AS61="",$X61&lt;&gt;""),$X61,NA())</f>
        <v>#N/A</v>
      </c>
      <c r="DR61" s="9" t="e">
        <f aca="false">IF(AND($D61="Drift",$Z61&lt;&gt;""),$Z61,NA())</f>
        <v>#N/A</v>
      </c>
      <c r="DS61" s="9" t="e">
        <f aca="false">IF(AND(OR($D61="Sample",$D61="Check"),$AA61&lt;&gt;""),$AA61,NA())</f>
        <v>#N/A</v>
      </c>
      <c r="DT61" s="25" t="n">
        <f aca="false">IF(OR($B61="",Fits!$B$138=""),NA(),Fits!$B$138)</f>
        <v>1.76</v>
      </c>
      <c r="DU61" s="25" t="n">
        <f aca="false">IF(OR($B61="",Fits!$B$139=""),NA(),Fits!$B$139)</f>
        <v>20.68</v>
      </c>
      <c r="DV61" s="24" t="n">
        <f aca="false">IF($BT61="",NA(),$BT61)</f>
        <v>-1.246</v>
      </c>
      <c r="DW61" s="9" t="e">
        <f aca="false">IF($AP61="",NA(),$AO61)</f>
        <v>#N/A</v>
      </c>
      <c r="DX61" s="9" t="e">
        <f aca="false">IF($AP61="",NA(),$AP61)</f>
        <v>#N/A</v>
      </c>
      <c r="DY61" s="9" t="e">
        <f aca="false">IF(AND($D61="Sample",$P61&lt;&gt;""),$P61,NA())</f>
        <v>#N/A</v>
      </c>
      <c r="DZ61" s="9" t="e">
        <f aca="false">IF(AND($D61="Sample",$P61&lt;&gt;"",Fits!$B$105&lt;&gt;""),Fits!$B$105,NA())</f>
        <v>#N/A</v>
      </c>
      <c r="EA61" s="9" t="e">
        <f aca="false">IF($AT61="",NA(),$AT61)</f>
        <v>#N/A</v>
      </c>
      <c r="EB61" s="9" t="e">
        <f aca="false">IF(AND($D61="Drift",$AT61="",$AC61&lt;&gt;""),$AC61,NA())</f>
        <v>#N/A</v>
      </c>
      <c r="EC61" s="9" t="e">
        <f aca="false">IF(AND($D61="Drift",$AE61&lt;&gt;""),$AE61,NA())</f>
        <v>#N/A</v>
      </c>
      <c r="ED61" s="9" t="e">
        <f aca="false">IF(AND(OR($D61="Sample",$D61="Check"),$AF61&lt;&gt;""),$AF61,NA())</f>
        <v>#N/A</v>
      </c>
      <c r="EE61" s="25" t="n">
        <f aca="false">IF(OR($B61="",Fits!$B$158=""),NA(),Fits!$B$158)</f>
        <v>-40.81</v>
      </c>
      <c r="EF61" s="25" t="n">
        <f aca="false">IF(OR($B61="",Fits!$B$159=""),NA(),Fits!$B$159)</f>
        <v>-20.29</v>
      </c>
      <c r="EG61" s="24" t="n">
        <f aca="false">IF($BW61="",NA(),$BW61)</f>
        <v>-25.445</v>
      </c>
      <c r="EH61" s="9" t="e">
        <f aca="false">IF(AND($EN61=1,ISNUMBER($N61)),$N61,NA())</f>
        <v>#N/A</v>
      </c>
      <c r="EI61" s="9" t="n">
        <f aca="false">IF($B61="","",$A61)</f>
        <v>56</v>
      </c>
      <c r="EJ61" s="9" t="n">
        <f aca="false">IF(OR(AND(ISNUMBER($L61),Fits!$B$97&gt;0,$L61&gt;Fits!$B$97),AND(ISNUMBER($P61),Fits!$B$104&gt;0,$P61&gt;Fits!$B$104)),1,0)</f>
        <v>0</v>
      </c>
      <c r="EK61" s="9" t="n">
        <f aca="false">IF(OR($EJ60=1,$EJ59=1),1,0)</f>
        <v>0</v>
      </c>
      <c r="EL61" s="22" t="n">
        <f aca="false">IF(AND($EK61=0,ISNUMBER($N61)),$N61,$EL60)</f>
        <v>25.7</v>
      </c>
      <c r="EM61" s="9" t="str">
        <f aca="false">IF(AND($EK61=1,ISNUMBER($N61),ISNUMBER($EL61)),$N61-$EL61,"")</f>
        <v/>
      </c>
      <c r="EN61" s="9" t="n">
        <f aca="false">IF(Setup!$B$28="",0,IF(ISNUMBER($EM61),IF($EM61&gt;Setup!$B$28,1,0),0))</f>
        <v>0</v>
      </c>
      <c r="EO61" s="9" t="str">
        <f aca="false">IF($EN61=1,COUNTIF($EN$6:$EN61,1),"")</f>
        <v/>
      </c>
      <c r="EP61" s="9" t="n">
        <f aca="false">IF(AND($EJ60=1,OR($D61="Sample",$D61="Check")),1,0)</f>
        <v>0</v>
      </c>
      <c r="EQ61" s="9" t="str">
        <f aca="false">IF(ISNUMBER($BI61),IF(COUNT($BI$6:$BI61)&lt;=5,$BI61,""),"")</f>
        <v/>
      </c>
      <c r="ER61" s="9" t="n">
        <f aca="false">IF(OR(NOT(ISNUMBER($BJ61)),$EK61=1),$ER60,IF($BJ61&lt;=Setup!$B$26,IF($CP60=0,$A61,$ER60),""))</f>
        <v>27</v>
      </c>
    </row>
    <row r="62" customFormat="false" ht="15" hidden="false" customHeight="false" outlineLevel="0" collapsed="false">
      <c r="A62" s="8" t="n">
        <v>57</v>
      </c>
      <c r="B62" s="8" t="str">
        <f aca="false">IFERROR(INDEX(Raw!$B$2:$B$1001,MATCH($A62,Raw!$A$2:$A$1001,0)),"")</f>
        <v/>
      </c>
      <c r="C62" s="9" t="str">
        <f aca="false">IF($B62="","",MAX($CS62:$DE62))</f>
        <v/>
      </c>
      <c r="D62" s="8" t="str">
        <f aca="false">IF($B62="","",IF($C62=0,"Sample",INDEX(Setup!$B$37:$B$49,$C62-36)))</f>
        <v/>
      </c>
      <c r="E62" s="16" t="str">
        <f aca="false">IF($B62="","",IFERROR(IF(INDEX(Raw!$E$2:$E$1001,MATCH($A62,Raw!$A$2:$A$1001,0))=0,"",INDEX(Raw!$E$2:$E$1001,MATCH($A62,Raw!$A$2:$A$1001,0))),""))</f>
        <v/>
      </c>
      <c r="F62" s="18"/>
      <c r="G62" s="16" t="str">
        <f aca="false">IF($B62="","",IF($F62&lt;&gt;"",$F62,IF($E62="","",$E62)))</f>
        <v/>
      </c>
      <c r="H62" s="9" t="str">
        <f aca="false">IF($B62="","",SUMPRODUCT(MAX((Raw!$A$2:$A$1001=$A62)*(Raw!$R$2:$R$1001="N")*Raw!$D$2:$D$1001)))</f>
        <v/>
      </c>
      <c r="I62" s="9" t="str">
        <f aca="false">IF(OR($H62="",$H62=0),"",$A62&amp;"|N|"&amp;$H62)</f>
        <v/>
      </c>
      <c r="J62" s="9" t="str">
        <f aca="false">IF($B62="","",SUMPRODUCT(MIN((Raw!$A$2:$A$1001=$A62)*(Raw!$R$2:$R$1001="C")*Raw!$D$2:$D$1001+(1-(Raw!$A$2:$A$1001=$A62)*(Raw!$R$2:$R$1001="C"))*9999)))</f>
        <v/>
      </c>
      <c r="K62" s="9" t="str">
        <f aca="false">IF(OR($J62="",$J62=0,$J62=9999),"",$A62&amp;"|C|"&amp;$J62)</f>
        <v/>
      </c>
      <c r="L62" s="16" t="str">
        <f aca="false">IF($I62="","",IF(INDEX(Raw!$I$2:$I$1001,MATCH($I62,Raw!$S$2:$S$1001,0))&lt;&gt;0,"",INDEX(Raw!$H$2:$H$1001,MATCH($I62,Raw!$S$2:$S$1001,0))))</f>
        <v/>
      </c>
      <c r="M62" s="19" t="str">
        <f aca="false">IF($I62="","",IF(INDEX(Raw!$I$2:$I$1001,MATCH($I62,Raw!$S$2:$S$1001,0))&lt;&gt;0,"",INDEX(Raw!$F$2:$F$1001,MATCH($I62,Raw!$S$2:$S$1001,0))))</f>
        <v/>
      </c>
      <c r="N62" s="20" t="str">
        <f aca="false">IF($I62="","",IF(INDEX(Raw!$I$2:$I$1001,MATCH($I62,Raw!$S$2:$S$1001,0))&lt;&gt;0,"",INDEX(Raw!$G$2:$G$1001,MATCH($I62,Raw!$S$2:$S$1001,0))))</f>
        <v/>
      </c>
      <c r="O62" s="16" t="str">
        <f aca="false">IF($I62="","",IF(INDEX(Raw!$I$2:$I$1001,MATCH($I62,Raw!$S$2:$S$1001,0))&lt;&gt;0,"",INDEX(Raw!$N$2:$N$1001,MATCH($I62,Raw!$S$2:$S$1001,0))))</f>
        <v/>
      </c>
      <c r="P62" s="16" t="str">
        <f aca="false">IF($K62="","",IF(INDEX(Raw!$I$2:$I$1001,MATCH($K62,Raw!$S$2:$S$1001,0))&lt;&gt;0,"",INDEX(Raw!$K$2:$K$1001,MATCH($K62,Raw!$S$2:$S$1001,0))))</f>
        <v/>
      </c>
      <c r="Q62" s="19" t="str">
        <f aca="false">IF($K62="","",IF(INDEX(Raw!$I$2:$I$1001,MATCH($K62,Raw!$S$2:$S$1001,0))&lt;&gt;0,"",INDEX(Raw!$J$2:$J$1001,MATCH($K62,Raw!$S$2:$S$1001,0))))</f>
        <v/>
      </c>
      <c r="R62" s="16" t="str">
        <f aca="false">IF($K62="","",IF(INDEX(Raw!$I$2:$I$1001,MATCH($K62,Raw!$S$2:$S$1001,0))&lt;&gt;0,"",INDEX(Raw!$O$2:$O$1001,MATCH($K62,Raw!$S$2:$S$1001,0))))</f>
        <v/>
      </c>
      <c r="S62" s="21" t="str">
        <f aca="false">IF($B62="","",IF($C62=0,"",IF(INDEX(Setup!$D$37:$D$49,$C62-36)="","",INDEX(Setup!$D$37:$D$49,$C62-36))))</f>
        <v/>
      </c>
      <c r="T62" s="21" t="str">
        <f aca="false">IF($B62="","",IF($C62=0,"",IF(INDEX(Setup!$C$37:$C$49,$C62-36)="","",INDEX(Setup!$C$37:$C$49,$C62-36))))</f>
        <v/>
      </c>
      <c r="U62" s="21" t="str">
        <f aca="false">IF($B62="","",IF($C62=0,"",IF(INDEX(Setup!$F$37:$F$49,$C62-36)="","",INDEX(Setup!$F$37:$F$49,$C62-36))))</f>
        <v/>
      </c>
      <c r="V62" s="21" t="str">
        <f aca="false">IF($B62="","",IF($C62=0,"",IF(INDEX(Setup!$E$37:$E$49,$C62-36)="","",INDEX(Setup!$E$37:$E$49,$C62-36))))</f>
        <v/>
      </c>
      <c r="W62" s="16" t="str">
        <f aca="false">IF($O62="","",IF(OR(Fits!$C$5&lt;&gt;"Yes",$D62="Blank",$L62&lt;=Fits!$B$6),$O62,($L62*$O62-Fits!$B$6*Fits!$B$7)/($L62-Fits!$B$6)))</f>
        <v/>
      </c>
      <c r="X62" s="16" t="str">
        <f aca="false">IF($W62="","",$W62-Fits!$B$20*($L62-Fits!$B$16))</f>
        <v/>
      </c>
      <c r="Y62" s="22" t="str">
        <f aca="false">IF($W62="","",IF(OR(Fits!$B$38="Row",$BI62=""),$A62,$BI62))</f>
        <v/>
      </c>
      <c r="Z62" s="16" t="str">
        <f aca="false">IF($X62="","",$X62-Fits!$B$39*($Y62-Fits!$B$40))</f>
        <v/>
      </c>
      <c r="AA62" s="23" t="str">
        <f aca="false">IF(OR($Z62="",Fits!$B$55&lt;2),"",Fits!$B$56*$Z62+Fits!$B$57)</f>
        <v/>
      </c>
      <c r="AB62" s="16" t="str">
        <f aca="false">IF($R62="","",IF(OR(Fits!$C$9&lt;&gt;"Yes",$D62="Blank",$P62&lt;=Fits!$B$10),$R62,($P62*$R62-Fits!$B$10*Fits!$B$11)/($P62-Fits!$B$10)))</f>
        <v/>
      </c>
      <c r="AC62" s="16" t="str">
        <f aca="false">IF($AB62="","",$AB62-Fits!$B$28*($P62-Fits!$B$24))</f>
        <v/>
      </c>
      <c r="AD62" s="22" t="str">
        <f aca="false">IF($AB62="","",IF(OR(Fits!$B$50="Row",$BI62=""),$A62,$BI62))</f>
        <v/>
      </c>
      <c r="AE62" s="16" t="str">
        <f aca="false">IF($AC62="","",$AC62-Fits!$B$51*($AD62-Fits!$B$52))</f>
        <v/>
      </c>
      <c r="AF62" s="23" t="str">
        <f aca="false">IF(OR($AE62="",Fits!$B$62&lt;2),"",Fits!$B$63*$AE62+Fits!$B$64)</f>
        <v/>
      </c>
      <c r="AG62" s="21" t="str">
        <f aca="false">IF(OR($L62="",Fits!$B$69&lt;3),"",($L62-Fits!$B$71)/Fits!$B$70)</f>
        <v/>
      </c>
      <c r="AH62" s="21" t="str">
        <f aca="false">IF(OR($P62="",Fits!$B$75&lt;3),"",($P62-Fits!$B$77)/Fits!$B$76)</f>
        <v/>
      </c>
      <c r="AI62" s="23" t="str">
        <f aca="false">IF(OR($AG62="",$G62="",$G62=0),"",$AG62/($G62*1000)*100)</f>
        <v/>
      </c>
      <c r="AJ62" s="23" t="str">
        <f aca="false">IF(OR($AH62="",$G62="",$G62=0),"",$AH62/($G62*1000)*100)</f>
        <v/>
      </c>
      <c r="AK62" s="23" t="str">
        <f aca="false">IF(OR($AG62="",$AH62="",$AG62&lt;=0),"",($AH62/Setup!$B$52)/($AG62/Setup!$B$53))</f>
        <v/>
      </c>
      <c r="AL62" s="23" t="str">
        <f aca="false">IF(OR($AG62="",$AH62="",$AG62&lt;=0),"",$AH62/$AG62)</f>
        <v/>
      </c>
      <c r="AM62" s="9" t="str">
        <f aca="false">IF($D62="Linearity",IF($L62="","",$L62),"")</f>
        <v/>
      </c>
      <c r="AN62" s="9" t="str">
        <f aca="false">IF($D62="Linearity",IF($W62="","",$W62),"")</f>
        <v/>
      </c>
      <c r="AO62" s="9" t="str">
        <f aca="false">IF($D62="Linearity",IF($P62="","",$P62),"")</f>
        <v/>
      </c>
      <c r="AP62" s="9" t="str">
        <f aca="false">IF($D62="Linearity",IF($AB62="","",$AB62),"")</f>
        <v/>
      </c>
      <c r="AQ62" s="9" t="str">
        <f aca="false">IF($D62="Drift",IF($A62&lt;IF(Setup!$B$14="",0,Setup!$B$14),"",$A62),"")</f>
        <v/>
      </c>
      <c r="AR62" s="9" t="str">
        <f aca="false">IF($D62="Drift",IF($A62&lt;IF(Setup!$B$14="",0,Setup!$B$14),"",IF($BI62="","",$BI62)),"")</f>
        <v/>
      </c>
      <c r="AS62" s="9" t="str">
        <f aca="false">IF($D62="Drift",IF($A62&lt;IF(Setup!$B$14="",0,Setup!$B$14),"",IF(OR($X62="",$BX62=1),"",$X62)),"")</f>
        <v/>
      </c>
      <c r="AT62" s="9" t="str">
        <f aca="false">IF($D62="Drift",IF($A62&lt;IF(Setup!$B$14="",0,Setup!$B$14),"",IF(OR($AC62="",$BY62=1),"",$AC62)),"")</f>
        <v/>
      </c>
      <c r="AU62" s="9" t="str">
        <f aca="false">IF($D62="Anchor",IF(OR($Z62="",$S62=""),"",$Z62),"")</f>
        <v/>
      </c>
      <c r="AV62" s="9" t="str">
        <f aca="false">IF($D62="Anchor",IF(OR($Z62="",$S62=""),"",$S62),"")</f>
        <v/>
      </c>
      <c r="AW62" s="9" t="str">
        <f aca="false">IF($D62="Anchor",IF(OR($AE62="",$T62=""),"",$AE62),"")</f>
        <v/>
      </c>
      <c r="AX62" s="9" t="str">
        <f aca="false">IF($D62="Anchor",IF(OR($AE62="",$T62=""),"",$T62),"")</f>
        <v/>
      </c>
      <c r="AY62" s="9" t="str">
        <f aca="false">IF(OR($D62="Blank",$D62="Exclude",$D62="Sample",$D62="",$G62="",$U62="",$L62=""),"",$G62*1000*$U62/100)</f>
        <v/>
      </c>
      <c r="AZ62" s="9" t="str">
        <f aca="false">IF($AY62="","",$L62)</f>
        <v/>
      </c>
      <c r="BA62" s="9" t="str">
        <f aca="false">IF(OR($D62="Blank",$D62="Exclude",$D62="Sample",$D62="",$G62="",$V62="",$P62=""),"",$G62*1000*$V62/100)</f>
        <v/>
      </c>
      <c r="BB62" s="9" t="str">
        <f aca="false">IF($BA62="","",$P62)</f>
        <v/>
      </c>
      <c r="BC62" s="9" t="str">
        <f aca="false">IF(AND($D62="Blank",$L62&lt;&gt;""),$O62,"")</f>
        <v/>
      </c>
      <c r="BD62" s="9" t="str">
        <f aca="false">IF($BC62="","",$L62)</f>
        <v/>
      </c>
      <c r="BE62" s="9" t="str">
        <f aca="false">IF(AND($D62="Blank",$P62&lt;&gt;""),$R62,"")</f>
        <v/>
      </c>
      <c r="BF62" s="9" t="str">
        <f aca="false">IF($BE62="","",$P62)</f>
        <v/>
      </c>
      <c r="BG62" s="9" t="str">
        <f aca="false">IF(AND($D62="Drift",$BX62&lt;&gt;1),IF($AA62="","",$AA62),"")</f>
        <v/>
      </c>
      <c r="BH62" s="9" t="str">
        <f aca="false">IF(AND($D62="Drift",$BY62&lt;&gt;1),IF($AF62="","",$AF62),"")</f>
        <v/>
      </c>
      <c r="BI62" s="20" t="str">
        <f aca="false">IF($B62="","",IFERROR(INDEX(Raw!$G$2:$G$1001,MATCH($A62&amp;"|N|"&amp;SUMPRODUCT(MAX((Raw!$A$2:$A$1001=$A62)*(Raw!$R$2:$R$1001="N")*(Raw!$I$2:$I$1001=1)*Raw!$D$2:$D$1001)),Raw!$S$2:$S$1001,0)),""))</f>
        <v/>
      </c>
      <c r="BJ62" s="21" t="str">
        <f aca="false">IF(OR($BI62="",Fits!$B$85&lt;=0),"",($BI62-Fits!$B$83)/Fits!$B$85)</f>
        <v/>
      </c>
      <c r="BK62" s="9" t="str">
        <f aca="false">IF($AS62="","",IF($A62&gt;=Fits!$B$86,"",$A62))</f>
        <v/>
      </c>
      <c r="BL62" s="9" t="str">
        <f aca="false">IF($BK62="","",$X62)</f>
        <v/>
      </c>
      <c r="BM62" s="9" t="str">
        <f aca="false">IF($AS62="","",IF($A62&lt;Fits!$B$86,"",$A62))</f>
        <v/>
      </c>
      <c r="BN62" s="9" t="str">
        <f aca="false">IF($BM62="","",$X62)</f>
        <v/>
      </c>
      <c r="BO62" s="9" t="str">
        <f aca="false">IF(AND($D62="Drift",$BX62&lt;&gt;1),IF($O62="","",$O62),"")</f>
        <v/>
      </c>
      <c r="BP62" s="9" t="str">
        <f aca="false">IF(AND($D62="Drift",$BX62&lt;&gt;1),IF($W62="","",$W62),"")</f>
        <v/>
      </c>
      <c r="BQ62" s="9" t="str">
        <f aca="false">IF(AND($D62="Drift",$BX62&lt;&gt;1),IF($X62="","",$X62),"")</f>
        <v/>
      </c>
      <c r="BR62" s="9" t="str">
        <f aca="false">IF(AND($D62="Drift",$BX62&lt;&gt;1),IF($Z62="","",$Z62),"")</f>
        <v/>
      </c>
      <c r="BS62" s="9" t="str">
        <f aca="false">IF(OR($B62="",$H62=""),"",SUMPRODUCT(MIN((Raw!$A$2:$A$1001=$A62)*(Raw!$R$2:$R$1001="N")*(Raw!$I$2:$I$1001=0)*(Raw!$D$2:$D$1001&lt;$H62)*Raw!$D$2:$D$1001+(1-(Raw!$A$2:$A$1001=$A62)*(Raw!$R$2:$R$1001="N")*(Raw!$I$2:$I$1001=0)*(Raw!$D$2:$D$1001&lt;$H62))*9999)))</f>
        <v/>
      </c>
      <c r="BT62" s="16" t="str">
        <f aca="false">IF(OR($BS62="",$BS62=9999,$BS62=0),"",IFERROR(INDEX(Raw!$N$2:$N$1001,MATCH($A62&amp;"|N|"&amp;$BS62,Raw!$S$2:$S$1001,0)),""))</f>
        <v/>
      </c>
      <c r="BU62" s="9" t="str">
        <f aca="false">IF($B62="","",SUMPRODUCT(MIN((Raw!$A$2:$A$1001=$A62)*(Raw!$R$2:$R$1001="C")*(Raw!$I$2:$I$1001=1)*Raw!$D$2:$D$1001+(1-(Raw!$A$2:$A$1001=$A62)*(Raw!$R$2:$R$1001="C")*(Raw!$I$2:$I$1001=1))*9999)))</f>
        <v/>
      </c>
      <c r="BV62" s="9" t="str">
        <f aca="false">IF(OR($BU62="",$BU62=9999),"",SUMPRODUCT(MIN((Raw!$A$2:$A$1001=$A62)*(Raw!$R$2:$R$1001="C")*(Raw!$I$2:$I$1001=0)*(Raw!$D$2:$D$1001&gt;$BU62)*Raw!$D$2:$D$1001+(1-(Raw!$A$2:$A$1001=$A62)*(Raw!$R$2:$R$1001="C")*(Raw!$I$2:$I$1001=0)*(Raw!$D$2:$D$1001&gt;$BU62))*9999)))</f>
        <v/>
      </c>
      <c r="BW62" s="16" t="str">
        <f aca="false">IF(OR($BV62="",$BV62=9999,$BV62=0),"",IFERROR(INDEX(Raw!$O$2:$O$1001,MATCH($A62&amp;"|C|"&amp;$BV62,Raw!$S$2:$S$1001,0)),""))</f>
        <v/>
      </c>
      <c r="BX62" s="9" t="str">
        <f aca="false">IF($B62="","",IF(ISNUMBER(SEARCH(","&amp;$A62&amp;",",","&amp;SUBSTITUTE(Setup!$B$16," ","")&amp;",")),1,0))</f>
        <v/>
      </c>
      <c r="BY62" s="9" t="str">
        <f aca="false">IF($B62="","",IF(ISNUMBER(SEARCH(","&amp;$A62&amp;",",","&amp;SUBSTITUTE(Setup!$B$17," ","")&amp;",")),1,0))</f>
        <v/>
      </c>
      <c r="BZ62" s="22" t="str">
        <f aca="false">IF($AS62="","",IF(Fits!$B$38="Row",$AQ62,IF($AR62="","",$AR62)))</f>
        <v/>
      </c>
      <c r="CA62" s="22" t="str">
        <f aca="false">IF($AT62="","",IF(Fits!$B$50="Row",$AQ62,IF($AR62="","",$AR62)))</f>
        <v/>
      </c>
      <c r="CB62" s="20" t="str">
        <f aca="false">IF(OR($D62&lt;&gt;"Drift",$X62="",$A62&lt;IF(Setup!$B$14="",0,Setup!$B$14),Fits!$B$107&lt;3,Fits!$B$110="",Fits!$B$109=0,IF(Fits!$B$38="Row",$AQ62,$AR62)=""),"",IF($BX62=1,IF(OR(Fits!$B$111="",Fits!$B$111=0),"",($X62-(IF(Fits!$B$38="Row",Fits!$B$32,Fits!$B$35)*IF(Fits!$B$38="Row",$AQ62,$AR62)+Fits!$B$110))/(Fits!$B$111*SQRT(1+(1/Fits!$B$107+(IF(Fits!$B$38="Row",$AQ62,$AR62)-Fits!$B$108)^2/Fits!$B$109)))),IF(OR(Fits!$B$107&lt;4,(1/Fits!$B$107+(IF(Fits!$B$38="Row",$AQ62,$AR62)-Fits!$B$108)^2/Fits!$B$109)&gt;=1),"",IF((Fits!$B$116-($X62-(IF(Fits!$B$38="Row",Fits!$B$32,Fits!$B$35)*IF(Fits!$B$38="Row",$AQ62,$AR62)+Fits!$B$110))^2/(1-(1/Fits!$B$107+(IF(Fits!$B$38="Row",$AQ62,$AR62)-Fits!$B$108)^2/Fits!$B$109)))&lt;=0,"",($X62-(IF(Fits!$B$38="Row",Fits!$B$32,Fits!$B$35)*IF(Fits!$B$38="Row",$AQ62,$AR62)+Fits!$B$110))/(SQRT((Fits!$B$116-($X62-(IF(Fits!$B$38="Row",Fits!$B$32,Fits!$B$35)*IF(Fits!$B$38="Row",$AQ62,$AR62)+Fits!$B$110))^2/(1-(1/Fits!$B$107+(IF(Fits!$B$38="Row",$AQ62,$AR62)-Fits!$B$108)^2/Fits!$B$109)))/(Fits!$B$107-3))*SQRT(1-(1/Fits!$B$107+(IF(Fits!$B$38="Row",$AQ62,$AR62)-Fits!$B$108)^2/Fits!$B$109)))))))</f>
        <v/>
      </c>
      <c r="CC62" s="20" t="str">
        <f aca="false">IF(OR($D62&lt;&gt;"Drift",$AC62="",$A62&lt;IF(Setup!$B$14="",0,Setup!$B$14),Fits!$B$120&lt;3,Fits!$B$123="",Fits!$B$122=0,IF(Fits!$B$50="Row",$AQ62,$AR62)=""),"",IF($BY62=1,IF(OR(Fits!$B$124="",Fits!$B$124=0),"",($AC62-(IF(Fits!$B$50="Row",Fits!$B$44,Fits!$B$47)*IF(Fits!$B$50="Row",$AQ62,$AR62)+Fits!$B$123))/(Fits!$B$124*SQRT(1+(1/Fits!$B$120+(IF(Fits!$B$50="Row",$AQ62,$AR62)-Fits!$B$121)^2/Fits!$B$122)))),IF(OR(Fits!$B$120&lt;4,(1/Fits!$B$120+(IF(Fits!$B$50="Row",$AQ62,$AR62)-Fits!$B$121)^2/Fits!$B$122)&gt;=1),"",IF((Fits!$B$129-($AC62-(IF(Fits!$B$50="Row",Fits!$B$44,Fits!$B$47)*IF(Fits!$B$50="Row",$AQ62,$AR62)+Fits!$B$123))^2/(1-(1/Fits!$B$120+(IF(Fits!$B$50="Row",$AQ62,$AR62)-Fits!$B$121)^2/Fits!$B$122)))&lt;=0,"",($AC62-(IF(Fits!$B$50="Row",Fits!$B$44,Fits!$B$47)*IF(Fits!$B$50="Row",$AQ62,$AR62)+Fits!$B$123))/(SQRT((Fits!$B$129-($AC62-(IF(Fits!$B$50="Row",Fits!$B$44,Fits!$B$47)*IF(Fits!$B$50="Row",$AQ62,$AR62)+Fits!$B$123))^2/(1-(1/Fits!$B$120+(IF(Fits!$B$50="Row",$AQ62,$AR62)-Fits!$B$121)^2/Fits!$B$122)))/(Fits!$B$120-3))*SQRT(1-(1/Fits!$B$120+(IF(Fits!$B$50="Row",$AQ62,$AR62)-Fits!$B$121)^2/Fits!$B$122)))))))</f>
        <v/>
      </c>
      <c r="CD62" s="9" t="str">
        <f aca="false">IF($AU62="","",1)</f>
        <v/>
      </c>
      <c r="CE62" s="24" t="str">
        <f aca="false">IF($AU62="","",$AU62-Fits!$B$133)</f>
        <v/>
      </c>
      <c r="CF62" s="24" t="str">
        <f aca="false">IF($AU62="","",($AV62-(Fits!$B$56*$AU62+Fits!$B$57))-Fits!$B$56*($AU62-Fits!$B$133))</f>
        <v/>
      </c>
      <c r="CG62" s="25" t="str">
        <f aca="false">IF($AU62="","",$AU62^2)</f>
        <v/>
      </c>
      <c r="CH62" s="9" t="str">
        <f aca="false">IF($AW62="","",1)</f>
        <v/>
      </c>
      <c r="CI62" s="24" t="str">
        <f aca="false">IF($AW62="","",$AW62-Fits!$B$153)</f>
        <v/>
      </c>
      <c r="CJ62" s="24" t="str">
        <f aca="false">IF($AW62="","",($AX62-(Fits!$B$63*$AW62+Fits!$B$64))-Fits!$B$63*($AW62-Fits!$B$153))</f>
        <v/>
      </c>
      <c r="CK62" s="25" t="str">
        <f aca="false">IF($AW62="","",$AW62^2)</f>
        <v/>
      </c>
      <c r="CL62" s="26" t="str">
        <f aca="false">IF(OR($Z62="",Fits!$B$55&lt;3,Fits!$B$133="",Fits!$B$134="",Fits!$B$134=0,Fits!$B$136=""),"",SQRT((Fits!$B$136*Fits!$B$56)^2+SUMPRODUCT((Fits!$J$163:$J$175*(Fits!$B$163:$B$175/Fits!$B$55+Fits!$H$163:$H$175*($Z62-Fits!$B$133)/Fits!$B$134))^2)+SUMPRODUCT((Fits!$G$163:$G$175*(($Z62-Fits!$B$133)*Fits!$I$163:$I$175/Fits!$B$134-Fits!$B$163:$B$175*Fits!$B$56/Fits!$B$55))^2)))</f>
        <v/>
      </c>
      <c r="CM62" s="26" t="str">
        <f aca="false">IF($CL62="","",Setup!$B$32*$CL62)</f>
        <v/>
      </c>
      <c r="CN62" s="26" t="str">
        <f aca="false">IF(OR($AE62="",Fits!$B$62&lt;3,Fits!$B$153="",Fits!$B$154="",Fits!$B$154=0,Fits!$B$156=""),"",SQRT((Fits!$B$156*Fits!$B$63)^2+SUMPRODUCT((Fits!$J$183:$J$195*(Fits!$B$183:$B$195/Fits!$B$62+Fits!$H$183:$H$195*($AE62-Fits!$B$153)/Fits!$B$154))^2)+SUMPRODUCT((Fits!$G$183:$G$195*(($AE62-Fits!$B$153)*Fits!$I$183:$I$195/Fits!$B$154-Fits!$B$183:$B$195*Fits!$B$63/Fits!$B$62))^2)))</f>
        <v/>
      </c>
      <c r="CO62" s="26" t="str">
        <f aca="false">IF($CN62="","",Setup!$B$32*$CN62)</f>
        <v/>
      </c>
      <c r="CP62" s="9" t="n">
        <f aca="false">IF(OR(NOT(ISNUMBER($BJ62)),$EK62=1),$CP61,IF($BJ62&lt;=Setup!$B$26,$CP61+1,0))</f>
        <v>26</v>
      </c>
      <c r="CQ62" s="9" t="str">
        <f aca="false">IF($BT62="","",$A62)</f>
        <v/>
      </c>
      <c r="CR62" s="9" t="str">
        <f aca="false">IF($BW62="","",$A62)</f>
        <v/>
      </c>
      <c r="CS62" s="9" t="str">
        <f aca="false">IF($B62="","",IF(Setup!$A$37="",0,IF(ISNUMBER(SEARCH(Setup!$A$37,$B62)),37,0)))</f>
        <v/>
      </c>
      <c r="CT62" s="9" t="str">
        <f aca="false">IF($B62="","",IF(Setup!$A$38="",0,IF(ISNUMBER(SEARCH(Setup!$A$38,$B62)),38,0)))</f>
        <v/>
      </c>
      <c r="CU62" s="9" t="str">
        <f aca="false">IF($B62="","",IF(Setup!$A$39="",0,IF(ISNUMBER(SEARCH(Setup!$A$39,$B62)),39,0)))</f>
        <v/>
      </c>
      <c r="CV62" s="9" t="str">
        <f aca="false">IF($B62="","",IF(Setup!$A$40="",0,IF(ISNUMBER(SEARCH(Setup!$A$40,$B62)),40,0)))</f>
        <v/>
      </c>
      <c r="CW62" s="9" t="str">
        <f aca="false">IF($B62="","",IF(Setup!$A$41="",0,IF(ISNUMBER(SEARCH(Setup!$A$41,$B62)),41,0)))</f>
        <v/>
      </c>
      <c r="CX62" s="9" t="str">
        <f aca="false">IF($B62="","",IF(Setup!$A$42="",0,IF(ISNUMBER(SEARCH(Setup!$A$42,$B62)),42,0)))</f>
        <v/>
      </c>
      <c r="CY62" s="9" t="str">
        <f aca="false">IF($B62="","",IF(Setup!$A$43="",0,IF(ISNUMBER(SEARCH(Setup!$A$43,$B62)),43,0)))</f>
        <v/>
      </c>
      <c r="CZ62" s="9" t="str">
        <f aca="false">IF($B62="","",IF(Setup!$A$44="",0,IF(ISNUMBER(SEARCH(Setup!$A$44,$B62)),44,0)))</f>
        <v/>
      </c>
      <c r="DA62" s="9" t="str">
        <f aca="false">IF($B62="","",IF(Setup!$A$45="",0,IF(ISNUMBER(SEARCH(Setup!$A$45,$B62)),45,0)))</f>
        <v/>
      </c>
      <c r="DB62" s="9" t="str">
        <f aca="false">IF($B62="","",IF(Setup!$A$46="",0,IF(ISNUMBER(SEARCH(Setup!$A$46,$B62)),46,0)))</f>
        <v/>
      </c>
      <c r="DC62" s="9" t="str">
        <f aca="false">IF($B62="","",IF(Setup!$A$47="",0,IF(ISNUMBER(SEARCH(Setup!$A$47,$B62)),47,0)))</f>
        <v/>
      </c>
      <c r="DD62" s="9" t="str">
        <f aca="false">IF($B62="","",IF(Setup!$A$48="",0,IF(ISNUMBER(SEARCH(Setup!$A$48,$B62)),48,0)))</f>
        <v/>
      </c>
      <c r="DE62" s="9" t="str">
        <f aca="false">IF($B62="","",IF(Setup!$A$49="",0,IF(ISNUMBER(SEARCH(Setup!$A$49,$B62)),49,0)))</f>
        <v/>
      </c>
      <c r="DF62" s="9" t="e">
        <f aca="false">IF($B62="",NA(),$A62)</f>
        <v>#N/A</v>
      </c>
      <c r="DG62" s="9" t="e">
        <f aca="false">IF($BI62="",NA(),$BI62)</f>
        <v>#N/A</v>
      </c>
      <c r="DH62" s="9" t="e">
        <f aca="false">IF($N62="",NA(),$N62)</f>
        <v>#N/A</v>
      </c>
      <c r="DI62" s="9" t="e">
        <f aca="false">IF(AND($D62="Drift",$N62&lt;&gt;""),$N62,NA())</f>
        <v>#N/A</v>
      </c>
      <c r="DJ62" s="9" t="str">
        <f aca="false">IF(AND($D62="Drift",$N62&lt;&gt;""),$N62,"")</f>
        <v/>
      </c>
      <c r="DK62" s="9" t="str">
        <f aca="false">IF($DJ62="","",$A62)</f>
        <v/>
      </c>
      <c r="DL62" s="9" t="e">
        <f aca="false">IF($AN62="",NA(),$AM62)</f>
        <v>#N/A</v>
      </c>
      <c r="DM62" s="9" t="e">
        <f aca="false">IF($AN62="",NA(),$AN62)</f>
        <v>#N/A</v>
      </c>
      <c r="DN62" s="9" t="e">
        <f aca="false">IF(AND($D62="Sample",$L62&lt;&gt;""),$L62,NA())</f>
        <v>#N/A</v>
      </c>
      <c r="DO62" s="9" t="e">
        <f aca="false">IF(AND($D62="Sample",$L62&lt;&gt;"",Fits!$B$98&lt;&gt;""),Fits!$B$98,NA())</f>
        <v>#N/A</v>
      </c>
      <c r="DP62" s="9" t="e">
        <f aca="false">IF($AS62="",NA(),$AS62)</f>
        <v>#N/A</v>
      </c>
      <c r="DQ62" s="9" t="e">
        <f aca="false">IF(AND($D62="Drift",$AS62="",$X62&lt;&gt;""),$X62,NA())</f>
        <v>#N/A</v>
      </c>
      <c r="DR62" s="9" t="e">
        <f aca="false">IF(AND($D62="Drift",$Z62&lt;&gt;""),$Z62,NA())</f>
        <v>#N/A</v>
      </c>
      <c r="DS62" s="9" t="e">
        <f aca="false">IF(AND(OR($D62="Sample",$D62="Check"),$AA62&lt;&gt;""),$AA62,NA())</f>
        <v>#N/A</v>
      </c>
      <c r="DT62" s="9" t="e">
        <f aca="false">IF(OR($B62="",Fits!$B$138=""),NA(),Fits!$B$138)</f>
        <v>#N/A</v>
      </c>
      <c r="DU62" s="9" t="e">
        <f aca="false">IF(OR($B62="",Fits!$B$139=""),NA(),Fits!$B$139)</f>
        <v>#N/A</v>
      </c>
      <c r="DV62" s="9" t="e">
        <f aca="false">IF($BT62="",NA(),$BT62)</f>
        <v>#N/A</v>
      </c>
      <c r="DW62" s="9" t="e">
        <f aca="false">IF($AP62="",NA(),$AO62)</f>
        <v>#N/A</v>
      </c>
      <c r="DX62" s="9" t="e">
        <f aca="false">IF($AP62="",NA(),$AP62)</f>
        <v>#N/A</v>
      </c>
      <c r="DY62" s="9" t="e">
        <f aca="false">IF(AND($D62="Sample",$P62&lt;&gt;""),$P62,NA())</f>
        <v>#N/A</v>
      </c>
      <c r="DZ62" s="9" t="e">
        <f aca="false">IF(AND($D62="Sample",$P62&lt;&gt;"",Fits!$B$105&lt;&gt;""),Fits!$B$105,NA())</f>
        <v>#N/A</v>
      </c>
      <c r="EA62" s="9" t="e">
        <f aca="false">IF($AT62="",NA(),$AT62)</f>
        <v>#N/A</v>
      </c>
      <c r="EB62" s="9" t="e">
        <f aca="false">IF(AND($D62="Drift",$AT62="",$AC62&lt;&gt;""),$AC62,NA())</f>
        <v>#N/A</v>
      </c>
      <c r="EC62" s="9" t="e">
        <f aca="false">IF(AND($D62="Drift",$AE62&lt;&gt;""),$AE62,NA())</f>
        <v>#N/A</v>
      </c>
      <c r="ED62" s="9" t="e">
        <f aca="false">IF(AND(OR($D62="Sample",$D62="Check"),$AF62&lt;&gt;""),$AF62,NA())</f>
        <v>#N/A</v>
      </c>
      <c r="EE62" s="9" t="e">
        <f aca="false">IF(OR($B62="",Fits!$B$158=""),NA(),Fits!$B$158)</f>
        <v>#N/A</v>
      </c>
      <c r="EF62" s="9" t="e">
        <f aca="false">IF(OR($B62="",Fits!$B$159=""),NA(),Fits!$B$159)</f>
        <v>#N/A</v>
      </c>
      <c r="EG62" s="9" t="e">
        <f aca="false">IF($BW62="",NA(),$BW62)</f>
        <v>#N/A</v>
      </c>
      <c r="EH62" s="9" t="e">
        <f aca="false">IF(AND($EN62=1,ISNUMBER($N62)),$N62,NA())</f>
        <v>#N/A</v>
      </c>
      <c r="EI62" s="9" t="str">
        <f aca="false">IF($B62="","",$A62)</f>
        <v/>
      </c>
      <c r="EJ62" s="9" t="n">
        <f aca="false">IF(OR(AND(ISNUMBER($L62),Fits!$B$97&gt;0,$L62&gt;Fits!$B$97),AND(ISNUMBER($P62),Fits!$B$104&gt;0,$P62&gt;Fits!$B$104)),1,0)</f>
        <v>0</v>
      </c>
      <c r="EK62" s="9" t="n">
        <f aca="false">IF(OR($EJ61=1,$EJ60=1),1,0)</f>
        <v>0</v>
      </c>
      <c r="EL62" s="22" t="n">
        <f aca="false">IF(AND($EK62=0,ISNUMBER($N62)),$N62,$EL61)</f>
        <v>25.7</v>
      </c>
      <c r="EM62" s="9" t="str">
        <f aca="false">IF(AND($EK62=1,ISNUMBER($N62),ISNUMBER($EL62)),$N62-$EL62,"")</f>
        <v/>
      </c>
      <c r="EN62" s="9" t="n">
        <f aca="false">IF(Setup!$B$28="",0,IF(ISNUMBER($EM62),IF($EM62&gt;Setup!$B$28,1,0),0))</f>
        <v>0</v>
      </c>
      <c r="EO62" s="9" t="str">
        <f aca="false">IF($EN62=1,COUNTIF($EN$6:$EN62,1),"")</f>
        <v/>
      </c>
      <c r="EP62" s="9" t="n">
        <f aca="false">IF(AND($EJ61=1,OR($D62="Sample",$D62="Check")),1,0)</f>
        <v>0</v>
      </c>
      <c r="EQ62" s="9" t="str">
        <f aca="false">IF(ISNUMBER($BI62),IF(COUNT($BI$6:$BI62)&lt;=5,$BI62,""),"")</f>
        <v/>
      </c>
      <c r="ER62" s="9" t="n">
        <f aca="false">IF(OR(NOT(ISNUMBER($BJ62)),$EK62=1),$ER61,IF($BJ62&lt;=Setup!$B$26,IF($CP61=0,$A62,$ER61),""))</f>
        <v>27</v>
      </c>
    </row>
    <row r="63" customFormat="false" ht="15" hidden="false" customHeight="false" outlineLevel="0" collapsed="false">
      <c r="A63" s="8" t="n">
        <v>58</v>
      </c>
      <c r="B63" s="8" t="str">
        <f aca="false">IFERROR(INDEX(Raw!$B$2:$B$1001,MATCH($A63,Raw!$A$2:$A$1001,0)),"")</f>
        <v/>
      </c>
      <c r="C63" s="9" t="str">
        <f aca="false">IF($B63="","",MAX($CS63:$DE63))</f>
        <v/>
      </c>
      <c r="D63" s="8" t="str">
        <f aca="false">IF($B63="","",IF($C63=0,"Sample",INDEX(Setup!$B$37:$B$49,$C63-36)))</f>
        <v/>
      </c>
      <c r="E63" s="16" t="str">
        <f aca="false">IF($B63="","",IFERROR(IF(INDEX(Raw!$E$2:$E$1001,MATCH($A63,Raw!$A$2:$A$1001,0))=0,"",INDEX(Raw!$E$2:$E$1001,MATCH($A63,Raw!$A$2:$A$1001,0))),""))</f>
        <v/>
      </c>
      <c r="F63" s="18"/>
      <c r="G63" s="16" t="str">
        <f aca="false">IF($B63="","",IF($F63&lt;&gt;"",$F63,IF($E63="","",$E63)))</f>
        <v/>
      </c>
      <c r="H63" s="9" t="str">
        <f aca="false">IF($B63="","",SUMPRODUCT(MAX((Raw!$A$2:$A$1001=$A63)*(Raw!$R$2:$R$1001="N")*Raw!$D$2:$D$1001)))</f>
        <v/>
      </c>
      <c r="I63" s="9" t="str">
        <f aca="false">IF(OR($H63="",$H63=0),"",$A63&amp;"|N|"&amp;$H63)</f>
        <v/>
      </c>
      <c r="J63" s="9" t="str">
        <f aca="false">IF($B63="","",SUMPRODUCT(MIN((Raw!$A$2:$A$1001=$A63)*(Raw!$R$2:$R$1001="C")*Raw!$D$2:$D$1001+(1-(Raw!$A$2:$A$1001=$A63)*(Raw!$R$2:$R$1001="C"))*9999)))</f>
        <v/>
      </c>
      <c r="K63" s="9" t="str">
        <f aca="false">IF(OR($J63="",$J63=0,$J63=9999),"",$A63&amp;"|C|"&amp;$J63)</f>
        <v/>
      </c>
      <c r="L63" s="16" t="str">
        <f aca="false">IF($I63="","",IF(INDEX(Raw!$I$2:$I$1001,MATCH($I63,Raw!$S$2:$S$1001,0))&lt;&gt;0,"",INDEX(Raw!$H$2:$H$1001,MATCH($I63,Raw!$S$2:$S$1001,0))))</f>
        <v/>
      </c>
      <c r="M63" s="19" t="str">
        <f aca="false">IF($I63="","",IF(INDEX(Raw!$I$2:$I$1001,MATCH($I63,Raw!$S$2:$S$1001,0))&lt;&gt;0,"",INDEX(Raw!$F$2:$F$1001,MATCH($I63,Raw!$S$2:$S$1001,0))))</f>
        <v/>
      </c>
      <c r="N63" s="20" t="str">
        <f aca="false">IF($I63="","",IF(INDEX(Raw!$I$2:$I$1001,MATCH($I63,Raw!$S$2:$S$1001,0))&lt;&gt;0,"",INDEX(Raw!$G$2:$G$1001,MATCH($I63,Raw!$S$2:$S$1001,0))))</f>
        <v/>
      </c>
      <c r="O63" s="16" t="str">
        <f aca="false">IF($I63="","",IF(INDEX(Raw!$I$2:$I$1001,MATCH($I63,Raw!$S$2:$S$1001,0))&lt;&gt;0,"",INDEX(Raw!$N$2:$N$1001,MATCH($I63,Raw!$S$2:$S$1001,0))))</f>
        <v/>
      </c>
      <c r="P63" s="16" t="str">
        <f aca="false">IF($K63="","",IF(INDEX(Raw!$I$2:$I$1001,MATCH($K63,Raw!$S$2:$S$1001,0))&lt;&gt;0,"",INDEX(Raw!$K$2:$K$1001,MATCH($K63,Raw!$S$2:$S$1001,0))))</f>
        <v/>
      </c>
      <c r="Q63" s="19" t="str">
        <f aca="false">IF($K63="","",IF(INDEX(Raw!$I$2:$I$1001,MATCH($K63,Raw!$S$2:$S$1001,0))&lt;&gt;0,"",INDEX(Raw!$J$2:$J$1001,MATCH($K63,Raw!$S$2:$S$1001,0))))</f>
        <v/>
      </c>
      <c r="R63" s="16" t="str">
        <f aca="false">IF($K63="","",IF(INDEX(Raw!$I$2:$I$1001,MATCH($K63,Raw!$S$2:$S$1001,0))&lt;&gt;0,"",INDEX(Raw!$O$2:$O$1001,MATCH($K63,Raw!$S$2:$S$1001,0))))</f>
        <v/>
      </c>
      <c r="S63" s="21" t="str">
        <f aca="false">IF($B63="","",IF($C63=0,"",IF(INDEX(Setup!$D$37:$D$49,$C63-36)="","",INDEX(Setup!$D$37:$D$49,$C63-36))))</f>
        <v/>
      </c>
      <c r="T63" s="21" t="str">
        <f aca="false">IF($B63="","",IF($C63=0,"",IF(INDEX(Setup!$C$37:$C$49,$C63-36)="","",INDEX(Setup!$C$37:$C$49,$C63-36))))</f>
        <v/>
      </c>
      <c r="U63" s="21" t="str">
        <f aca="false">IF($B63="","",IF($C63=0,"",IF(INDEX(Setup!$F$37:$F$49,$C63-36)="","",INDEX(Setup!$F$37:$F$49,$C63-36))))</f>
        <v/>
      </c>
      <c r="V63" s="21" t="str">
        <f aca="false">IF($B63="","",IF($C63=0,"",IF(INDEX(Setup!$E$37:$E$49,$C63-36)="","",INDEX(Setup!$E$37:$E$49,$C63-36))))</f>
        <v/>
      </c>
      <c r="W63" s="16" t="str">
        <f aca="false">IF($O63="","",IF(OR(Fits!$C$5&lt;&gt;"Yes",$D63="Blank",$L63&lt;=Fits!$B$6),$O63,($L63*$O63-Fits!$B$6*Fits!$B$7)/($L63-Fits!$B$6)))</f>
        <v/>
      </c>
      <c r="X63" s="16" t="str">
        <f aca="false">IF($W63="","",$W63-Fits!$B$20*($L63-Fits!$B$16))</f>
        <v/>
      </c>
      <c r="Y63" s="22" t="str">
        <f aca="false">IF($W63="","",IF(OR(Fits!$B$38="Row",$BI63=""),$A63,$BI63))</f>
        <v/>
      </c>
      <c r="Z63" s="16" t="str">
        <f aca="false">IF($X63="","",$X63-Fits!$B$39*($Y63-Fits!$B$40))</f>
        <v/>
      </c>
      <c r="AA63" s="23" t="str">
        <f aca="false">IF(OR($Z63="",Fits!$B$55&lt;2),"",Fits!$B$56*$Z63+Fits!$B$57)</f>
        <v/>
      </c>
      <c r="AB63" s="16" t="str">
        <f aca="false">IF($R63="","",IF(OR(Fits!$C$9&lt;&gt;"Yes",$D63="Blank",$P63&lt;=Fits!$B$10),$R63,($P63*$R63-Fits!$B$10*Fits!$B$11)/($P63-Fits!$B$10)))</f>
        <v/>
      </c>
      <c r="AC63" s="16" t="str">
        <f aca="false">IF($AB63="","",$AB63-Fits!$B$28*($P63-Fits!$B$24))</f>
        <v/>
      </c>
      <c r="AD63" s="22" t="str">
        <f aca="false">IF($AB63="","",IF(OR(Fits!$B$50="Row",$BI63=""),$A63,$BI63))</f>
        <v/>
      </c>
      <c r="AE63" s="16" t="str">
        <f aca="false">IF($AC63="","",$AC63-Fits!$B$51*($AD63-Fits!$B$52))</f>
        <v/>
      </c>
      <c r="AF63" s="23" t="str">
        <f aca="false">IF(OR($AE63="",Fits!$B$62&lt;2),"",Fits!$B$63*$AE63+Fits!$B$64)</f>
        <v/>
      </c>
      <c r="AG63" s="21" t="str">
        <f aca="false">IF(OR($L63="",Fits!$B$69&lt;3),"",($L63-Fits!$B$71)/Fits!$B$70)</f>
        <v/>
      </c>
      <c r="AH63" s="21" t="str">
        <f aca="false">IF(OR($P63="",Fits!$B$75&lt;3),"",($P63-Fits!$B$77)/Fits!$B$76)</f>
        <v/>
      </c>
      <c r="AI63" s="23" t="str">
        <f aca="false">IF(OR($AG63="",$G63="",$G63=0),"",$AG63/($G63*1000)*100)</f>
        <v/>
      </c>
      <c r="AJ63" s="23" t="str">
        <f aca="false">IF(OR($AH63="",$G63="",$G63=0),"",$AH63/($G63*1000)*100)</f>
        <v/>
      </c>
      <c r="AK63" s="23" t="str">
        <f aca="false">IF(OR($AG63="",$AH63="",$AG63&lt;=0),"",($AH63/Setup!$B$52)/($AG63/Setup!$B$53))</f>
        <v/>
      </c>
      <c r="AL63" s="23" t="str">
        <f aca="false">IF(OR($AG63="",$AH63="",$AG63&lt;=0),"",$AH63/$AG63)</f>
        <v/>
      </c>
      <c r="AM63" s="9" t="str">
        <f aca="false">IF($D63="Linearity",IF($L63="","",$L63),"")</f>
        <v/>
      </c>
      <c r="AN63" s="9" t="str">
        <f aca="false">IF($D63="Linearity",IF($W63="","",$W63),"")</f>
        <v/>
      </c>
      <c r="AO63" s="9" t="str">
        <f aca="false">IF($D63="Linearity",IF($P63="","",$P63),"")</f>
        <v/>
      </c>
      <c r="AP63" s="9" t="str">
        <f aca="false">IF($D63="Linearity",IF($AB63="","",$AB63),"")</f>
        <v/>
      </c>
      <c r="AQ63" s="9" t="str">
        <f aca="false">IF($D63="Drift",IF($A63&lt;IF(Setup!$B$14="",0,Setup!$B$14),"",$A63),"")</f>
        <v/>
      </c>
      <c r="AR63" s="9" t="str">
        <f aca="false">IF($D63="Drift",IF($A63&lt;IF(Setup!$B$14="",0,Setup!$B$14),"",IF($BI63="","",$BI63)),"")</f>
        <v/>
      </c>
      <c r="AS63" s="9" t="str">
        <f aca="false">IF($D63="Drift",IF($A63&lt;IF(Setup!$B$14="",0,Setup!$B$14),"",IF(OR($X63="",$BX63=1),"",$X63)),"")</f>
        <v/>
      </c>
      <c r="AT63" s="9" t="str">
        <f aca="false">IF($D63="Drift",IF($A63&lt;IF(Setup!$B$14="",0,Setup!$B$14),"",IF(OR($AC63="",$BY63=1),"",$AC63)),"")</f>
        <v/>
      </c>
      <c r="AU63" s="9" t="str">
        <f aca="false">IF($D63="Anchor",IF(OR($Z63="",$S63=""),"",$Z63),"")</f>
        <v/>
      </c>
      <c r="AV63" s="9" t="str">
        <f aca="false">IF($D63="Anchor",IF(OR($Z63="",$S63=""),"",$S63),"")</f>
        <v/>
      </c>
      <c r="AW63" s="9" t="str">
        <f aca="false">IF($D63="Anchor",IF(OR($AE63="",$T63=""),"",$AE63),"")</f>
        <v/>
      </c>
      <c r="AX63" s="9" t="str">
        <f aca="false">IF($D63="Anchor",IF(OR($AE63="",$T63=""),"",$T63),"")</f>
        <v/>
      </c>
      <c r="AY63" s="9" t="str">
        <f aca="false">IF(OR($D63="Blank",$D63="Exclude",$D63="Sample",$D63="",$G63="",$U63="",$L63=""),"",$G63*1000*$U63/100)</f>
        <v/>
      </c>
      <c r="AZ63" s="9" t="str">
        <f aca="false">IF($AY63="","",$L63)</f>
        <v/>
      </c>
      <c r="BA63" s="9" t="str">
        <f aca="false">IF(OR($D63="Blank",$D63="Exclude",$D63="Sample",$D63="",$G63="",$V63="",$P63=""),"",$G63*1000*$V63/100)</f>
        <v/>
      </c>
      <c r="BB63" s="9" t="str">
        <f aca="false">IF($BA63="","",$P63)</f>
        <v/>
      </c>
      <c r="BC63" s="9" t="str">
        <f aca="false">IF(AND($D63="Blank",$L63&lt;&gt;""),$O63,"")</f>
        <v/>
      </c>
      <c r="BD63" s="9" t="str">
        <f aca="false">IF($BC63="","",$L63)</f>
        <v/>
      </c>
      <c r="BE63" s="9" t="str">
        <f aca="false">IF(AND($D63="Blank",$P63&lt;&gt;""),$R63,"")</f>
        <v/>
      </c>
      <c r="BF63" s="9" t="str">
        <f aca="false">IF($BE63="","",$P63)</f>
        <v/>
      </c>
      <c r="BG63" s="9" t="str">
        <f aca="false">IF(AND($D63="Drift",$BX63&lt;&gt;1),IF($AA63="","",$AA63),"")</f>
        <v/>
      </c>
      <c r="BH63" s="9" t="str">
        <f aca="false">IF(AND($D63="Drift",$BY63&lt;&gt;1),IF($AF63="","",$AF63),"")</f>
        <v/>
      </c>
      <c r="BI63" s="20" t="str">
        <f aca="false">IF($B63="","",IFERROR(INDEX(Raw!$G$2:$G$1001,MATCH($A63&amp;"|N|"&amp;SUMPRODUCT(MAX((Raw!$A$2:$A$1001=$A63)*(Raw!$R$2:$R$1001="N")*(Raw!$I$2:$I$1001=1)*Raw!$D$2:$D$1001)),Raw!$S$2:$S$1001,0)),""))</f>
        <v/>
      </c>
      <c r="BJ63" s="21" t="str">
        <f aca="false">IF(OR($BI63="",Fits!$B$85&lt;=0),"",($BI63-Fits!$B$83)/Fits!$B$85)</f>
        <v/>
      </c>
      <c r="BK63" s="9" t="str">
        <f aca="false">IF($AS63="","",IF($A63&gt;=Fits!$B$86,"",$A63))</f>
        <v/>
      </c>
      <c r="BL63" s="9" t="str">
        <f aca="false">IF($BK63="","",$X63)</f>
        <v/>
      </c>
      <c r="BM63" s="9" t="str">
        <f aca="false">IF($AS63="","",IF($A63&lt;Fits!$B$86,"",$A63))</f>
        <v/>
      </c>
      <c r="BN63" s="9" t="str">
        <f aca="false">IF($BM63="","",$X63)</f>
        <v/>
      </c>
      <c r="BO63" s="9" t="str">
        <f aca="false">IF(AND($D63="Drift",$BX63&lt;&gt;1),IF($O63="","",$O63),"")</f>
        <v/>
      </c>
      <c r="BP63" s="9" t="str">
        <f aca="false">IF(AND($D63="Drift",$BX63&lt;&gt;1),IF($W63="","",$W63),"")</f>
        <v/>
      </c>
      <c r="BQ63" s="9" t="str">
        <f aca="false">IF(AND($D63="Drift",$BX63&lt;&gt;1),IF($X63="","",$X63),"")</f>
        <v/>
      </c>
      <c r="BR63" s="9" t="str">
        <f aca="false">IF(AND($D63="Drift",$BX63&lt;&gt;1),IF($Z63="","",$Z63),"")</f>
        <v/>
      </c>
      <c r="BS63" s="9" t="str">
        <f aca="false">IF(OR($B63="",$H63=""),"",SUMPRODUCT(MIN((Raw!$A$2:$A$1001=$A63)*(Raw!$R$2:$R$1001="N")*(Raw!$I$2:$I$1001=0)*(Raw!$D$2:$D$1001&lt;$H63)*Raw!$D$2:$D$1001+(1-(Raw!$A$2:$A$1001=$A63)*(Raw!$R$2:$R$1001="N")*(Raw!$I$2:$I$1001=0)*(Raw!$D$2:$D$1001&lt;$H63))*9999)))</f>
        <v/>
      </c>
      <c r="BT63" s="16" t="str">
        <f aca="false">IF(OR($BS63="",$BS63=9999,$BS63=0),"",IFERROR(INDEX(Raw!$N$2:$N$1001,MATCH($A63&amp;"|N|"&amp;$BS63,Raw!$S$2:$S$1001,0)),""))</f>
        <v/>
      </c>
      <c r="BU63" s="9" t="str">
        <f aca="false">IF($B63="","",SUMPRODUCT(MIN((Raw!$A$2:$A$1001=$A63)*(Raw!$R$2:$R$1001="C")*(Raw!$I$2:$I$1001=1)*Raw!$D$2:$D$1001+(1-(Raw!$A$2:$A$1001=$A63)*(Raw!$R$2:$R$1001="C")*(Raw!$I$2:$I$1001=1))*9999)))</f>
        <v/>
      </c>
      <c r="BV63" s="9" t="str">
        <f aca="false">IF(OR($BU63="",$BU63=9999),"",SUMPRODUCT(MIN((Raw!$A$2:$A$1001=$A63)*(Raw!$R$2:$R$1001="C")*(Raw!$I$2:$I$1001=0)*(Raw!$D$2:$D$1001&gt;$BU63)*Raw!$D$2:$D$1001+(1-(Raw!$A$2:$A$1001=$A63)*(Raw!$R$2:$R$1001="C")*(Raw!$I$2:$I$1001=0)*(Raw!$D$2:$D$1001&gt;$BU63))*9999)))</f>
        <v/>
      </c>
      <c r="BW63" s="16" t="str">
        <f aca="false">IF(OR($BV63="",$BV63=9999,$BV63=0),"",IFERROR(INDEX(Raw!$O$2:$O$1001,MATCH($A63&amp;"|C|"&amp;$BV63,Raw!$S$2:$S$1001,0)),""))</f>
        <v/>
      </c>
      <c r="BX63" s="9" t="str">
        <f aca="false">IF($B63="","",IF(ISNUMBER(SEARCH(","&amp;$A63&amp;",",","&amp;SUBSTITUTE(Setup!$B$16," ","")&amp;",")),1,0))</f>
        <v/>
      </c>
      <c r="BY63" s="9" t="str">
        <f aca="false">IF($B63="","",IF(ISNUMBER(SEARCH(","&amp;$A63&amp;",",","&amp;SUBSTITUTE(Setup!$B$17," ","")&amp;",")),1,0))</f>
        <v/>
      </c>
      <c r="BZ63" s="22" t="str">
        <f aca="false">IF($AS63="","",IF(Fits!$B$38="Row",$AQ63,IF($AR63="","",$AR63)))</f>
        <v/>
      </c>
      <c r="CA63" s="22" t="str">
        <f aca="false">IF($AT63="","",IF(Fits!$B$50="Row",$AQ63,IF($AR63="","",$AR63)))</f>
        <v/>
      </c>
      <c r="CB63" s="20" t="str">
        <f aca="false">IF(OR($D63&lt;&gt;"Drift",$X63="",$A63&lt;IF(Setup!$B$14="",0,Setup!$B$14),Fits!$B$107&lt;3,Fits!$B$110="",Fits!$B$109=0,IF(Fits!$B$38="Row",$AQ63,$AR63)=""),"",IF($BX63=1,IF(OR(Fits!$B$111="",Fits!$B$111=0),"",($X63-(IF(Fits!$B$38="Row",Fits!$B$32,Fits!$B$35)*IF(Fits!$B$38="Row",$AQ63,$AR63)+Fits!$B$110))/(Fits!$B$111*SQRT(1+(1/Fits!$B$107+(IF(Fits!$B$38="Row",$AQ63,$AR63)-Fits!$B$108)^2/Fits!$B$109)))),IF(OR(Fits!$B$107&lt;4,(1/Fits!$B$107+(IF(Fits!$B$38="Row",$AQ63,$AR63)-Fits!$B$108)^2/Fits!$B$109)&gt;=1),"",IF((Fits!$B$116-($X63-(IF(Fits!$B$38="Row",Fits!$B$32,Fits!$B$35)*IF(Fits!$B$38="Row",$AQ63,$AR63)+Fits!$B$110))^2/(1-(1/Fits!$B$107+(IF(Fits!$B$38="Row",$AQ63,$AR63)-Fits!$B$108)^2/Fits!$B$109)))&lt;=0,"",($X63-(IF(Fits!$B$38="Row",Fits!$B$32,Fits!$B$35)*IF(Fits!$B$38="Row",$AQ63,$AR63)+Fits!$B$110))/(SQRT((Fits!$B$116-($X63-(IF(Fits!$B$38="Row",Fits!$B$32,Fits!$B$35)*IF(Fits!$B$38="Row",$AQ63,$AR63)+Fits!$B$110))^2/(1-(1/Fits!$B$107+(IF(Fits!$B$38="Row",$AQ63,$AR63)-Fits!$B$108)^2/Fits!$B$109)))/(Fits!$B$107-3))*SQRT(1-(1/Fits!$B$107+(IF(Fits!$B$38="Row",$AQ63,$AR63)-Fits!$B$108)^2/Fits!$B$109)))))))</f>
        <v/>
      </c>
      <c r="CC63" s="20" t="str">
        <f aca="false">IF(OR($D63&lt;&gt;"Drift",$AC63="",$A63&lt;IF(Setup!$B$14="",0,Setup!$B$14),Fits!$B$120&lt;3,Fits!$B$123="",Fits!$B$122=0,IF(Fits!$B$50="Row",$AQ63,$AR63)=""),"",IF($BY63=1,IF(OR(Fits!$B$124="",Fits!$B$124=0),"",($AC63-(IF(Fits!$B$50="Row",Fits!$B$44,Fits!$B$47)*IF(Fits!$B$50="Row",$AQ63,$AR63)+Fits!$B$123))/(Fits!$B$124*SQRT(1+(1/Fits!$B$120+(IF(Fits!$B$50="Row",$AQ63,$AR63)-Fits!$B$121)^2/Fits!$B$122)))),IF(OR(Fits!$B$120&lt;4,(1/Fits!$B$120+(IF(Fits!$B$50="Row",$AQ63,$AR63)-Fits!$B$121)^2/Fits!$B$122)&gt;=1),"",IF((Fits!$B$129-($AC63-(IF(Fits!$B$50="Row",Fits!$B$44,Fits!$B$47)*IF(Fits!$B$50="Row",$AQ63,$AR63)+Fits!$B$123))^2/(1-(1/Fits!$B$120+(IF(Fits!$B$50="Row",$AQ63,$AR63)-Fits!$B$121)^2/Fits!$B$122)))&lt;=0,"",($AC63-(IF(Fits!$B$50="Row",Fits!$B$44,Fits!$B$47)*IF(Fits!$B$50="Row",$AQ63,$AR63)+Fits!$B$123))/(SQRT((Fits!$B$129-($AC63-(IF(Fits!$B$50="Row",Fits!$B$44,Fits!$B$47)*IF(Fits!$B$50="Row",$AQ63,$AR63)+Fits!$B$123))^2/(1-(1/Fits!$B$120+(IF(Fits!$B$50="Row",$AQ63,$AR63)-Fits!$B$121)^2/Fits!$B$122)))/(Fits!$B$120-3))*SQRT(1-(1/Fits!$B$120+(IF(Fits!$B$50="Row",$AQ63,$AR63)-Fits!$B$121)^2/Fits!$B$122)))))))</f>
        <v/>
      </c>
      <c r="CD63" s="9" t="str">
        <f aca="false">IF($AU63="","",1)</f>
        <v/>
      </c>
      <c r="CE63" s="24" t="str">
        <f aca="false">IF($AU63="","",$AU63-Fits!$B$133)</f>
        <v/>
      </c>
      <c r="CF63" s="24" t="str">
        <f aca="false">IF($AU63="","",($AV63-(Fits!$B$56*$AU63+Fits!$B$57))-Fits!$B$56*($AU63-Fits!$B$133))</f>
        <v/>
      </c>
      <c r="CG63" s="25" t="str">
        <f aca="false">IF($AU63="","",$AU63^2)</f>
        <v/>
      </c>
      <c r="CH63" s="9" t="str">
        <f aca="false">IF($AW63="","",1)</f>
        <v/>
      </c>
      <c r="CI63" s="24" t="str">
        <f aca="false">IF($AW63="","",$AW63-Fits!$B$153)</f>
        <v/>
      </c>
      <c r="CJ63" s="24" t="str">
        <f aca="false">IF($AW63="","",($AX63-(Fits!$B$63*$AW63+Fits!$B$64))-Fits!$B$63*($AW63-Fits!$B$153))</f>
        <v/>
      </c>
      <c r="CK63" s="25" t="str">
        <f aca="false">IF($AW63="","",$AW63^2)</f>
        <v/>
      </c>
      <c r="CL63" s="26" t="str">
        <f aca="false">IF(OR($Z63="",Fits!$B$55&lt;3,Fits!$B$133="",Fits!$B$134="",Fits!$B$134=0,Fits!$B$136=""),"",SQRT((Fits!$B$136*Fits!$B$56)^2+SUMPRODUCT((Fits!$J$163:$J$175*(Fits!$B$163:$B$175/Fits!$B$55+Fits!$H$163:$H$175*($Z63-Fits!$B$133)/Fits!$B$134))^2)+SUMPRODUCT((Fits!$G$163:$G$175*(($Z63-Fits!$B$133)*Fits!$I$163:$I$175/Fits!$B$134-Fits!$B$163:$B$175*Fits!$B$56/Fits!$B$55))^2)))</f>
        <v/>
      </c>
      <c r="CM63" s="26" t="str">
        <f aca="false">IF($CL63="","",Setup!$B$32*$CL63)</f>
        <v/>
      </c>
      <c r="CN63" s="26" t="str">
        <f aca="false">IF(OR($AE63="",Fits!$B$62&lt;3,Fits!$B$153="",Fits!$B$154="",Fits!$B$154=0,Fits!$B$156=""),"",SQRT((Fits!$B$156*Fits!$B$63)^2+SUMPRODUCT((Fits!$J$183:$J$195*(Fits!$B$183:$B$195/Fits!$B$62+Fits!$H$183:$H$195*($AE63-Fits!$B$153)/Fits!$B$154))^2)+SUMPRODUCT((Fits!$G$183:$G$195*(($AE63-Fits!$B$153)*Fits!$I$183:$I$195/Fits!$B$154-Fits!$B$183:$B$195*Fits!$B$63/Fits!$B$62))^2)))</f>
        <v/>
      </c>
      <c r="CO63" s="26" t="str">
        <f aca="false">IF($CN63="","",Setup!$B$32*$CN63)</f>
        <v/>
      </c>
      <c r="CP63" s="9" t="n">
        <f aca="false">IF(OR(NOT(ISNUMBER($BJ63)),$EK63=1),$CP62,IF($BJ63&lt;=Setup!$B$26,$CP62+1,0))</f>
        <v>26</v>
      </c>
      <c r="CQ63" s="9" t="str">
        <f aca="false">IF($BT63="","",$A63)</f>
        <v/>
      </c>
      <c r="CR63" s="9" t="str">
        <f aca="false">IF($BW63="","",$A63)</f>
        <v/>
      </c>
      <c r="CS63" s="9" t="str">
        <f aca="false">IF($B63="","",IF(Setup!$A$37="",0,IF(ISNUMBER(SEARCH(Setup!$A$37,$B63)),37,0)))</f>
        <v/>
      </c>
      <c r="CT63" s="9" t="str">
        <f aca="false">IF($B63="","",IF(Setup!$A$38="",0,IF(ISNUMBER(SEARCH(Setup!$A$38,$B63)),38,0)))</f>
        <v/>
      </c>
      <c r="CU63" s="9" t="str">
        <f aca="false">IF($B63="","",IF(Setup!$A$39="",0,IF(ISNUMBER(SEARCH(Setup!$A$39,$B63)),39,0)))</f>
        <v/>
      </c>
      <c r="CV63" s="9" t="str">
        <f aca="false">IF($B63="","",IF(Setup!$A$40="",0,IF(ISNUMBER(SEARCH(Setup!$A$40,$B63)),40,0)))</f>
        <v/>
      </c>
      <c r="CW63" s="9" t="str">
        <f aca="false">IF($B63="","",IF(Setup!$A$41="",0,IF(ISNUMBER(SEARCH(Setup!$A$41,$B63)),41,0)))</f>
        <v/>
      </c>
      <c r="CX63" s="9" t="str">
        <f aca="false">IF($B63="","",IF(Setup!$A$42="",0,IF(ISNUMBER(SEARCH(Setup!$A$42,$B63)),42,0)))</f>
        <v/>
      </c>
      <c r="CY63" s="9" t="str">
        <f aca="false">IF($B63="","",IF(Setup!$A$43="",0,IF(ISNUMBER(SEARCH(Setup!$A$43,$B63)),43,0)))</f>
        <v/>
      </c>
      <c r="CZ63" s="9" t="str">
        <f aca="false">IF($B63="","",IF(Setup!$A$44="",0,IF(ISNUMBER(SEARCH(Setup!$A$44,$B63)),44,0)))</f>
        <v/>
      </c>
      <c r="DA63" s="9" t="str">
        <f aca="false">IF($B63="","",IF(Setup!$A$45="",0,IF(ISNUMBER(SEARCH(Setup!$A$45,$B63)),45,0)))</f>
        <v/>
      </c>
      <c r="DB63" s="9" t="str">
        <f aca="false">IF($B63="","",IF(Setup!$A$46="",0,IF(ISNUMBER(SEARCH(Setup!$A$46,$B63)),46,0)))</f>
        <v/>
      </c>
      <c r="DC63" s="9" t="str">
        <f aca="false">IF($B63="","",IF(Setup!$A$47="",0,IF(ISNUMBER(SEARCH(Setup!$A$47,$B63)),47,0)))</f>
        <v/>
      </c>
      <c r="DD63" s="9" t="str">
        <f aca="false">IF($B63="","",IF(Setup!$A$48="",0,IF(ISNUMBER(SEARCH(Setup!$A$48,$B63)),48,0)))</f>
        <v/>
      </c>
      <c r="DE63" s="9" t="str">
        <f aca="false">IF($B63="","",IF(Setup!$A$49="",0,IF(ISNUMBER(SEARCH(Setup!$A$49,$B63)),49,0)))</f>
        <v/>
      </c>
      <c r="DF63" s="9" t="e">
        <f aca="false">IF($B63="",NA(),$A63)</f>
        <v>#N/A</v>
      </c>
      <c r="DG63" s="9" t="e">
        <f aca="false">IF($BI63="",NA(),$BI63)</f>
        <v>#N/A</v>
      </c>
      <c r="DH63" s="9" t="e">
        <f aca="false">IF($N63="",NA(),$N63)</f>
        <v>#N/A</v>
      </c>
      <c r="DI63" s="9" t="e">
        <f aca="false">IF(AND($D63="Drift",$N63&lt;&gt;""),$N63,NA())</f>
        <v>#N/A</v>
      </c>
      <c r="DJ63" s="9" t="str">
        <f aca="false">IF(AND($D63="Drift",$N63&lt;&gt;""),$N63,"")</f>
        <v/>
      </c>
      <c r="DK63" s="9" t="str">
        <f aca="false">IF($DJ63="","",$A63)</f>
        <v/>
      </c>
      <c r="DL63" s="9" t="e">
        <f aca="false">IF($AN63="",NA(),$AM63)</f>
        <v>#N/A</v>
      </c>
      <c r="DM63" s="9" t="e">
        <f aca="false">IF($AN63="",NA(),$AN63)</f>
        <v>#N/A</v>
      </c>
      <c r="DN63" s="9" t="e">
        <f aca="false">IF(AND($D63="Sample",$L63&lt;&gt;""),$L63,NA())</f>
        <v>#N/A</v>
      </c>
      <c r="DO63" s="9" t="e">
        <f aca="false">IF(AND($D63="Sample",$L63&lt;&gt;"",Fits!$B$98&lt;&gt;""),Fits!$B$98,NA())</f>
        <v>#N/A</v>
      </c>
      <c r="DP63" s="9" t="e">
        <f aca="false">IF($AS63="",NA(),$AS63)</f>
        <v>#N/A</v>
      </c>
      <c r="DQ63" s="9" t="e">
        <f aca="false">IF(AND($D63="Drift",$AS63="",$X63&lt;&gt;""),$X63,NA())</f>
        <v>#N/A</v>
      </c>
      <c r="DR63" s="9" t="e">
        <f aca="false">IF(AND($D63="Drift",$Z63&lt;&gt;""),$Z63,NA())</f>
        <v>#N/A</v>
      </c>
      <c r="DS63" s="9" t="e">
        <f aca="false">IF(AND(OR($D63="Sample",$D63="Check"),$AA63&lt;&gt;""),$AA63,NA())</f>
        <v>#N/A</v>
      </c>
      <c r="DT63" s="9" t="e">
        <f aca="false">IF(OR($B63="",Fits!$B$138=""),NA(),Fits!$B$138)</f>
        <v>#N/A</v>
      </c>
      <c r="DU63" s="9" t="e">
        <f aca="false">IF(OR($B63="",Fits!$B$139=""),NA(),Fits!$B$139)</f>
        <v>#N/A</v>
      </c>
      <c r="DV63" s="9" t="e">
        <f aca="false">IF($BT63="",NA(),$BT63)</f>
        <v>#N/A</v>
      </c>
      <c r="DW63" s="9" t="e">
        <f aca="false">IF($AP63="",NA(),$AO63)</f>
        <v>#N/A</v>
      </c>
      <c r="DX63" s="9" t="e">
        <f aca="false">IF($AP63="",NA(),$AP63)</f>
        <v>#N/A</v>
      </c>
      <c r="DY63" s="9" t="e">
        <f aca="false">IF(AND($D63="Sample",$P63&lt;&gt;""),$P63,NA())</f>
        <v>#N/A</v>
      </c>
      <c r="DZ63" s="9" t="e">
        <f aca="false">IF(AND($D63="Sample",$P63&lt;&gt;"",Fits!$B$105&lt;&gt;""),Fits!$B$105,NA())</f>
        <v>#N/A</v>
      </c>
      <c r="EA63" s="9" t="e">
        <f aca="false">IF($AT63="",NA(),$AT63)</f>
        <v>#N/A</v>
      </c>
      <c r="EB63" s="9" t="e">
        <f aca="false">IF(AND($D63="Drift",$AT63="",$AC63&lt;&gt;""),$AC63,NA())</f>
        <v>#N/A</v>
      </c>
      <c r="EC63" s="9" t="e">
        <f aca="false">IF(AND($D63="Drift",$AE63&lt;&gt;""),$AE63,NA())</f>
        <v>#N/A</v>
      </c>
      <c r="ED63" s="9" t="e">
        <f aca="false">IF(AND(OR($D63="Sample",$D63="Check"),$AF63&lt;&gt;""),$AF63,NA())</f>
        <v>#N/A</v>
      </c>
      <c r="EE63" s="9" t="e">
        <f aca="false">IF(OR($B63="",Fits!$B$158=""),NA(),Fits!$B$158)</f>
        <v>#N/A</v>
      </c>
      <c r="EF63" s="9" t="e">
        <f aca="false">IF(OR($B63="",Fits!$B$159=""),NA(),Fits!$B$159)</f>
        <v>#N/A</v>
      </c>
      <c r="EG63" s="9" t="e">
        <f aca="false">IF($BW63="",NA(),$BW63)</f>
        <v>#N/A</v>
      </c>
      <c r="EH63" s="9" t="e">
        <f aca="false">IF(AND($EN63=1,ISNUMBER($N63)),$N63,NA())</f>
        <v>#N/A</v>
      </c>
      <c r="EI63" s="9" t="str">
        <f aca="false">IF($B63="","",$A63)</f>
        <v/>
      </c>
      <c r="EJ63" s="9" t="n">
        <f aca="false">IF(OR(AND(ISNUMBER($L63),Fits!$B$97&gt;0,$L63&gt;Fits!$B$97),AND(ISNUMBER($P63),Fits!$B$104&gt;0,$P63&gt;Fits!$B$104)),1,0)</f>
        <v>0</v>
      </c>
      <c r="EK63" s="9" t="n">
        <f aca="false">IF(OR($EJ62=1,$EJ61=1),1,0)</f>
        <v>0</v>
      </c>
      <c r="EL63" s="22" t="n">
        <f aca="false">IF(AND($EK63=0,ISNUMBER($N63)),$N63,$EL62)</f>
        <v>25.7</v>
      </c>
      <c r="EM63" s="9" t="str">
        <f aca="false">IF(AND($EK63=1,ISNUMBER($N63),ISNUMBER($EL63)),$N63-$EL63,"")</f>
        <v/>
      </c>
      <c r="EN63" s="9" t="n">
        <f aca="false">IF(Setup!$B$28="",0,IF(ISNUMBER($EM63),IF($EM63&gt;Setup!$B$28,1,0),0))</f>
        <v>0</v>
      </c>
      <c r="EO63" s="9" t="str">
        <f aca="false">IF($EN63=1,COUNTIF($EN$6:$EN63,1),"")</f>
        <v/>
      </c>
      <c r="EP63" s="9" t="n">
        <f aca="false">IF(AND($EJ62=1,OR($D63="Sample",$D63="Check")),1,0)</f>
        <v>0</v>
      </c>
      <c r="EQ63" s="9" t="str">
        <f aca="false">IF(ISNUMBER($BI63),IF(COUNT($BI$6:$BI63)&lt;=5,$BI63,""),"")</f>
        <v/>
      </c>
      <c r="ER63" s="9" t="n">
        <f aca="false">IF(OR(NOT(ISNUMBER($BJ63)),$EK63=1),$ER62,IF($BJ63&lt;=Setup!$B$26,IF($CP62=0,$A63,$ER62),""))</f>
        <v>27</v>
      </c>
    </row>
    <row r="64" customFormat="false" ht="15" hidden="false" customHeight="false" outlineLevel="0" collapsed="false">
      <c r="A64" s="8" t="n">
        <v>59</v>
      </c>
      <c r="B64" s="8" t="str">
        <f aca="false">IFERROR(INDEX(Raw!$B$2:$B$1001,MATCH($A64,Raw!$A$2:$A$1001,0)),"")</f>
        <v/>
      </c>
      <c r="C64" s="9" t="str">
        <f aca="false">IF($B64="","",MAX($CS64:$DE64))</f>
        <v/>
      </c>
      <c r="D64" s="8" t="str">
        <f aca="false">IF($B64="","",IF($C64=0,"Sample",INDEX(Setup!$B$37:$B$49,$C64-36)))</f>
        <v/>
      </c>
      <c r="E64" s="16" t="str">
        <f aca="false">IF($B64="","",IFERROR(IF(INDEX(Raw!$E$2:$E$1001,MATCH($A64,Raw!$A$2:$A$1001,0))=0,"",INDEX(Raw!$E$2:$E$1001,MATCH($A64,Raw!$A$2:$A$1001,0))),""))</f>
        <v/>
      </c>
      <c r="F64" s="18"/>
      <c r="G64" s="16" t="str">
        <f aca="false">IF($B64="","",IF($F64&lt;&gt;"",$F64,IF($E64="","",$E64)))</f>
        <v/>
      </c>
      <c r="H64" s="9" t="str">
        <f aca="false">IF($B64="","",SUMPRODUCT(MAX((Raw!$A$2:$A$1001=$A64)*(Raw!$R$2:$R$1001="N")*Raw!$D$2:$D$1001)))</f>
        <v/>
      </c>
      <c r="I64" s="9" t="str">
        <f aca="false">IF(OR($H64="",$H64=0),"",$A64&amp;"|N|"&amp;$H64)</f>
        <v/>
      </c>
      <c r="J64" s="9" t="str">
        <f aca="false">IF($B64="","",SUMPRODUCT(MIN((Raw!$A$2:$A$1001=$A64)*(Raw!$R$2:$R$1001="C")*Raw!$D$2:$D$1001+(1-(Raw!$A$2:$A$1001=$A64)*(Raw!$R$2:$R$1001="C"))*9999)))</f>
        <v/>
      </c>
      <c r="K64" s="9" t="str">
        <f aca="false">IF(OR($J64="",$J64=0,$J64=9999),"",$A64&amp;"|C|"&amp;$J64)</f>
        <v/>
      </c>
      <c r="L64" s="16" t="str">
        <f aca="false">IF($I64="","",IF(INDEX(Raw!$I$2:$I$1001,MATCH($I64,Raw!$S$2:$S$1001,0))&lt;&gt;0,"",INDEX(Raw!$H$2:$H$1001,MATCH($I64,Raw!$S$2:$S$1001,0))))</f>
        <v/>
      </c>
      <c r="M64" s="19" t="str">
        <f aca="false">IF($I64="","",IF(INDEX(Raw!$I$2:$I$1001,MATCH($I64,Raw!$S$2:$S$1001,0))&lt;&gt;0,"",INDEX(Raw!$F$2:$F$1001,MATCH($I64,Raw!$S$2:$S$1001,0))))</f>
        <v/>
      </c>
      <c r="N64" s="20" t="str">
        <f aca="false">IF($I64="","",IF(INDEX(Raw!$I$2:$I$1001,MATCH($I64,Raw!$S$2:$S$1001,0))&lt;&gt;0,"",INDEX(Raw!$G$2:$G$1001,MATCH($I64,Raw!$S$2:$S$1001,0))))</f>
        <v/>
      </c>
      <c r="O64" s="16" t="str">
        <f aca="false">IF($I64="","",IF(INDEX(Raw!$I$2:$I$1001,MATCH($I64,Raw!$S$2:$S$1001,0))&lt;&gt;0,"",INDEX(Raw!$N$2:$N$1001,MATCH($I64,Raw!$S$2:$S$1001,0))))</f>
        <v/>
      </c>
      <c r="P64" s="16" t="str">
        <f aca="false">IF($K64="","",IF(INDEX(Raw!$I$2:$I$1001,MATCH($K64,Raw!$S$2:$S$1001,0))&lt;&gt;0,"",INDEX(Raw!$K$2:$K$1001,MATCH($K64,Raw!$S$2:$S$1001,0))))</f>
        <v/>
      </c>
      <c r="Q64" s="19" t="str">
        <f aca="false">IF($K64="","",IF(INDEX(Raw!$I$2:$I$1001,MATCH($K64,Raw!$S$2:$S$1001,0))&lt;&gt;0,"",INDEX(Raw!$J$2:$J$1001,MATCH($K64,Raw!$S$2:$S$1001,0))))</f>
        <v/>
      </c>
      <c r="R64" s="16" t="str">
        <f aca="false">IF($K64="","",IF(INDEX(Raw!$I$2:$I$1001,MATCH($K64,Raw!$S$2:$S$1001,0))&lt;&gt;0,"",INDEX(Raw!$O$2:$O$1001,MATCH($K64,Raw!$S$2:$S$1001,0))))</f>
        <v/>
      </c>
      <c r="S64" s="21" t="str">
        <f aca="false">IF($B64="","",IF($C64=0,"",IF(INDEX(Setup!$D$37:$D$49,$C64-36)="","",INDEX(Setup!$D$37:$D$49,$C64-36))))</f>
        <v/>
      </c>
      <c r="T64" s="21" t="str">
        <f aca="false">IF($B64="","",IF($C64=0,"",IF(INDEX(Setup!$C$37:$C$49,$C64-36)="","",INDEX(Setup!$C$37:$C$49,$C64-36))))</f>
        <v/>
      </c>
      <c r="U64" s="21" t="str">
        <f aca="false">IF($B64="","",IF($C64=0,"",IF(INDEX(Setup!$F$37:$F$49,$C64-36)="","",INDEX(Setup!$F$37:$F$49,$C64-36))))</f>
        <v/>
      </c>
      <c r="V64" s="21" t="str">
        <f aca="false">IF($B64="","",IF($C64=0,"",IF(INDEX(Setup!$E$37:$E$49,$C64-36)="","",INDEX(Setup!$E$37:$E$49,$C64-36))))</f>
        <v/>
      </c>
      <c r="W64" s="16" t="str">
        <f aca="false">IF($O64="","",IF(OR(Fits!$C$5&lt;&gt;"Yes",$D64="Blank",$L64&lt;=Fits!$B$6),$O64,($L64*$O64-Fits!$B$6*Fits!$B$7)/($L64-Fits!$B$6)))</f>
        <v/>
      </c>
      <c r="X64" s="16" t="str">
        <f aca="false">IF($W64="","",$W64-Fits!$B$20*($L64-Fits!$B$16))</f>
        <v/>
      </c>
      <c r="Y64" s="22" t="str">
        <f aca="false">IF($W64="","",IF(OR(Fits!$B$38="Row",$BI64=""),$A64,$BI64))</f>
        <v/>
      </c>
      <c r="Z64" s="16" t="str">
        <f aca="false">IF($X64="","",$X64-Fits!$B$39*($Y64-Fits!$B$40))</f>
        <v/>
      </c>
      <c r="AA64" s="23" t="str">
        <f aca="false">IF(OR($Z64="",Fits!$B$55&lt;2),"",Fits!$B$56*$Z64+Fits!$B$57)</f>
        <v/>
      </c>
      <c r="AB64" s="16" t="str">
        <f aca="false">IF($R64="","",IF(OR(Fits!$C$9&lt;&gt;"Yes",$D64="Blank",$P64&lt;=Fits!$B$10),$R64,($P64*$R64-Fits!$B$10*Fits!$B$11)/($P64-Fits!$B$10)))</f>
        <v/>
      </c>
      <c r="AC64" s="16" t="str">
        <f aca="false">IF($AB64="","",$AB64-Fits!$B$28*($P64-Fits!$B$24))</f>
        <v/>
      </c>
      <c r="AD64" s="22" t="str">
        <f aca="false">IF($AB64="","",IF(OR(Fits!$B$50="Row",$BI64=""),$A64,$BI64))</f>
        <v/>
      </c>
      <c r="AE64" s="16" t="str">
        <f aca="false">IF($AC64="","",$AC64-Fits!$B$51*($AD64-Fits!$B$52))</f>
        <v/>
      </c>
      <c r="AF64" s="23" t="str">
        <f aca="false">IF(OR($AE64="",Fits!$B$62&lt;2),"",Fits!$B$63*$AE64+Fits!$B$64)</f>
        <v/>
      </c>
      <c r="AG64" s="21" t="str">
        <f aca="false">IF(OR($L64="",Fits!$B$69&lt;3),"",($L64-Fits!$B$71)/Fits!$B$70)</f>
        <v/>
      </c>
      <c r="AH64" s="21" t="str">
        <f aca="false">IF(OR($P64="",Fits!$B$75&lt;3),"",($P64-Fits!$B$77)/Fits!$B$76)</f>
        <v/>
      </c>
      <c r="AI64" s="23" t="str">
        <f aca="false">IF(OR($AG64="",$G64="",$G64=0),"",$AG64/($G64*1000)*100)</f>
        <v/>
      </c>
      <c r="AJ64" s="23" t="str">
        <f aca="false">IF(OR($AH64="",$G64="",$G64=0),"",$AH64/($G64*1000)*100)</f>
        <v/>
      </c>
      <c r="AK64" s="23" t="str">
        <f aca="false">IF(OR($AG64="",$AH64="",$AG64&lt;=0),"",($AH64/Setup!$B$52)/($AG64/Setup!$B$53))</f>
        <v/>
      </c>
      <c r="AL64" s="23" t="str">
        <f aca="false">IF(OR($AG64="",$AH64="",$AG64&lt;=0),"",$AH64/$AG64)</f>
        <v/>
      </c>
      <c r="AM64" s="9" t="str">
        <f aca="false">IF($D64="Linearity",IF($L64="","",$L64),"")</f>
        <v/>
      </c>
      <c r="AN64" s="9" t="str">
        <f aca="false">IF($D64="Linearity",IF($W64="","",$W64),"")</f>
        <v/>
      </c>
      <c r="AO64" s="9" t="str">
        <f aca="false">IF($D64="Linearity",IF($P64="","",$P64),"")</f>
        <v/>
      </c>
      <c r="AP64" s="9" t="str">
        <f aca="false">IF($D64="Linearity",IF($AB64="","",$AB64),"")</f>
        <v/>
      </c>
      <c r="AQ64" s="9" t="str">
        <f aca="false">IF($D64="Drift",IF($A64&lt;IF(Setup!$B$14="",0,Setup!$B$14),"",$A64),"")</f>
        <v/>
      </c>
      <c r="AR64" s="9" t="str">
        <f aca="false">IF($D64="Drift",IF($A64&lt;IF(Setup!$B$14="",0,Setup!$B$14),"",IF($BI64="","",$BI64)),"")</f>
        <v/>
      </c>
      <c r="AS64" s="9" t="str">
        <f aca="false">IF($D64="Drift",IF($A64&lt;IF(Setup!$B$14="",0,Setup!$B$14),"",IF(OR($X64="",$BX64=1),"",$X64)),"")</f>
        <v/>
      </c>
      <c r="AT64" s="9" t="str">
        <f aca="false">IF($D64="Drift",IF($A64&lt;IF(Setup!$B$14="",0,Setup!$B$14),"",IF(OR($AC64="",$BY64=1),"",$AC64)),"")</f>
        <v/>
      </c>
      <c r="AU64" s="9" t="str">
        <f aca="false">IF($D64="Anchor",IF(OR($Z64="",$S64=""),"",$Z64),"")</f>
        <v/>
      </c>
      <c r="AV64" s="9" t="str">
        <f aca="false">IF($D64="Anchor",IF(OR($Z64="",$S64=""),"",$S64),"")</f>
        <v/>
      </c>
      <c r="AW64" s="9" t="str">
        <f aca="false">IF($D64="Anchor",IF(OR($AE64="",$T64=""),"",$AE64),"")</f>
        <v/>
      </c>
      <c r="AX64" s="9" t="str">
        <f aca="false">IF($D64="Anchor",IF(OR($AE64="",$T64=""),"",$T64),"")</f>
        <v/>
      </c>
      <c r="AY64" s="9" t="str">
        <f aca="false">IF(OR($D64="Blank",$D64="Exclude",$D64="Sample",$D64="",$G64="",$U64="",$L64=""),"",$G64*1000*$U64/100)</f>
        <v/>
      </c>
      <c r="AZ64" s="9" t="str">
        <f aca="false">IF($AY64="","",$L64)</f>
        <v/>
      </c>
      <c r="BA64" s="9" t="str">
        <f aca="false">IF(OR($D64="Blank",$D64="Exclude",$D64="Sample",$D64="",$G64="",$V64="",$P64=""),"",$G64*1000*$V64/100)</f>
        <v/>
      </c>
      <c r="BB64" s="9" t="str">
        <f aca="false">IF($BA64="","",$P64)</f>
        <v/>
      </c>
      <c r="BC64" s="9" t="str">
        <f aca="false">IF(AND($D64="Blank",$L64&lt;&gt;""),$O64,"")</f>
        <v/>
      </c>
      <c r="BD64" s="9" t="str">
        <f aca="false">IF($BC64="","",$L64)</f>
        <v/>
      </c>
      <c r="BE64" s="9" t="str">
        <f aca="false">IF(AND($D64="Blank",$P64&lt;&gt;""),$R64,"")</f>
        <v/>
      </c>
      <c r="BF64" s="9" t="str">
        <f aca="false">IF($BE64="","",$P64)</f>
        <v/>
      </c>
      <c r="BG64" s="9" t="str">
        <f aca="false">IF(AND($D64="Drift",$BX64&lt;&gt;1),IF($AA64="","",$AA64),"")</f>
        <v/>
      </c>
      <c r="BH64" s="9" t="str">
        <f aca="false">IF(AND($D64="Drift",$BY64&lt;&gt;1),IF($AF64="","",$AF64),"")</f>
        <v/>
      </c>
      <c r="BI64" s="20" t="str">
        <f aca="false">IF($B64="","",IFERROR(INDEX(Raw!$G$2:$G$1001,MATCH($A64&amp;"|N|"&amp;SUMPRODUCT(MAX((Raw!$A$2:$A$1001=$A64)*(Raw!$R$2:$R$1001="N")*(Raw!$I$2:$I$1001=1)*Raw!$D$2:$D$1001)),Raw!$S$2:$S$1001,0)),""))</f>
        <v/>
      </c>
      <c r="BJ64" s="21" t="str">
        <f aca="false">IF(OR($BI64="",Fits!$B$85&lt;=0),"",($BI64-Fits!$B$83)/Fits!$B$85)</f>
        <v/>
      </c>
      <c r="BK64" s="9" t="str">
        <f aca="false">IF($AS64="","",IF($A64&gt;=Fits!$B$86,"",$A64))</f>
        <v/>
      </c>
      <c r="BL64" s="9" t="str">
        <f aca="false">IF($BK64="","",$X64)</f>
        <v/>
      </c>
      <c r="BM64" s="9" t="str">
        <f aca="false">IF($AS64="","",IF($A64&lt;Fits!$B$86,"",$A64))</f>
        <v/>
      </c>
      <c r="BN64" s="9" t="str">
        <f aca="false">IF($BM64="","",$X64)</f>
        <v/>
      </c>
      <c r="BO64" s="9" t="str">
        <f aca="false">IF(AND($D64="Drift",$BX64&lt;&gt;1),IF($O64="","",$O64),"")</f>
        <v/>
      </c>
      <c r="BP64" s="9" t="str">
        <f aca="false">IF(AND($D64="Drift",$BX64&lt;&gt;1),IF($W64="","",$W64),"")</f>
        <v/>
      </c>
      <c r="BQ64" s="9" t="str">
        <f aca="false">IF(AND($D64="Drift",$BX64&lt;&gt;1),IF($X64="","",$X64),"")</f>
        <v/>
      </c>
      <c r="BR64" s="9" t="str">
        <f aca="false">IF(AND($D64="Drift",$BX64&lt;&gt;1),IF($Z64="","",$Z64),"")</f>
        <v/>
      </c>
      <c r="BS64" s="9" t="str">
        <f aca="false">IF(OR($B64="",$H64=""),"",SUMPRODUCT(MIN((Raw!$A$2:$A$1001=$A64)*(Raw!$R$2:$R$1001="N")*(Raw!$I$2:$I$1001=0)*(Raw!$D$2:$D$1001&lt;$H64)*Raw!$D$2:$D$1001+(1-(Raw!$A$2:$A$1001=$A64)*(Raw!$R$2:$R$1001="N")*(Raw!$I$2:$I$1001=0)*(Raw!$D$2:$D$1001&lt;$H64))*9999)))</f>
        <v/>
      </c>
      <c r="BT64" s="16" t="str">
        <f aca="false">IF(OR($BS64="",$BS64=9999,$BS64=0),"",IFERROR(INDEX(Raw!$N$2:$N$1001,MATCH($A64&amp;"|N|"&amp;$BS64,Raw!$S$2:$S$1001,0)),""))</f>
        <v/>
      </c>
      <c r="BU64" s="9" t="str">
        <f aca="false">IF($B64="","",SUMPRODUCT(MIN((Raw!$A$2:$A$1001=$A64)*(Raw!$R$2:$R$1001="C")*(Raw!$I$2:$I$1001=1)*Raw!$D$2:$D$1001+(1-(Raw!$A$2:$A$1001=$A64)*(Raw!$R$2:$R$1001="C")*(Raw!$I$2:$I$1001=1))*9999)))</f>
        <v/>
      </c>
      <c r="BV64" s="9" t="str">
        <f aca="false">IF(OR($BU64="",$BU64=9999),"",SUMPRODUCT(MIN((Raw!$A$2:$A$1001=$A64)*(Raw!$R$2:$R$1001="C")*(Raw!$I$2:$I$1001=0)*(Raw!$D$2:$D$1001&gt;$BU64)*Raw!$D$2:$D$1001+(1-(Raw!$A$2:$A$1001=$A64)*(Raw!$R$2:$R$1001="C")*(Raw!$I$2:$I$1001=0)*(Raw!$D$2:$D$1001&gt;$BU64))*9999)))</f>
        <v/>
      </c>
      <c r="BW64" s="16" t="str">
        <f aca="false">IF(OR($BV64="",$BV64=9999,$BV64=0),"",IFERROR(INDEX(Raw!$O$2:$O$1001,MATCH($A64&amp;"|C|"&amp;$BV64,Raw!$S$2:$S$1001,0)),""))</f>
        <v/>
      </c>
      <c r="BX64" s="9" t="str">
        <f aca="false">IF($B64="","",IF(ISNUMBER(SEARCH(","&amp;$A64&amp;",",","&amp;SUBSTITUTE(Setup!$B$16," ","")&amp;",")),1,0))</f>
        <v/>
      </c>
      <c r="BY64" s="9" t="str">
        <f aca="false">IF($B64="","",IF(ISNUMBER(SEARCH(","&amp;$A64&amp;",",","&amp;SUBSTITUTE(Setup!$B$17," ","")&amp;",")),1,0))</f>
        <v/>
      </c>
      <c r="BZ64" s="22" t="str">
        <f aca="false">IF($AS64="","",IF(Fits!$B$38="Row",$AQ64,IF($AR64="","",$AR64)))</f>
        <v/>
      </c>
      <c r="CA64" s="22" t="str">
        <f aca="false">IF($AT64="","",IF(Fits!$B$50="Row",$AQ64,IF($AR64="","",$AR64)))</f>
        <v/>
      </c>
      <c r="CB64" s="20" t="str">
        <f aca="false">IF(OR($D64&lt;&gt;"Drift",$X64="",$A64&lt;IF(Setup!$B$14="",0,Setup!$B$14),Fits!$B$107&lt;3,Fits!$B$110="",Fits!$B$109=0,IF(Fits!$B$38="Row",$AQ64,$AR64)=""),"",IF($BX64=1,IF(OR(Fits!$B$111="",Fits!$B$111=0),"",($X64-(IF(Fits!$B$38="Row",Fits!$B$32,Fits!$B$35)*IF(Fits!$B$38="Row",$AQ64,$AR64)+Fits!$B$110))/(Fits!$B$111*SQRT(1+(1/Fits!$B$107+(IF(Fits!$B$38="Row",$AQ64,$AR64)-Fits!$B$108)^2/Fits!$B$109)))),IF(OR(Fits!$B$107&lt;4,(1/Fits!$B$107+(IF(Fits!$B$38="Row",$AQ64,$AR64)-Fits!$B$108)^2/Fits!$B$109)&gt;=1),"",IF((Fits!$B$116-($X64-(IF(Fits!$B$38="Row",Fits!$B$32,Fits!$B$35)*IF(Fits!$B$38="Row",$AQ64,$AR64)+Fits!$B$110))^2/(1-(1/Fits!$B$107+(IF(Fits!$B$38="Row",$AQ64,$AR64)-Fits!$B$108)^2/Fits!$B$109)))&lt;=0,"",($X64-(IF(Fits!$B$38="Row",Fits!$B$32,Fits!$B$35)*IF(Fits!$B$38="Row",$AQ64,$AR64)+Fits!$B$110))/(SQRT((Fits!$B$116-($X64-(IF(Fits!$B$38="Row",Fits!$B$32,Fits!$B$35)*IF(Fits!$B$38="Row",$AQ64,$AR64)+Fits!$B$110))^2/(1-(1/Fits!$B$107+(IF(Fits!$B$38="Row",$AQ64,$AR64)-Fits!$B$108)^2/Fits!$B$109)))/(Fits!$B$107-3))*SQRT(1-(1/Fits!$B$107+(IF(Fits!$B$38="Row",$AQ64,$AR64)-Fits!$B$108)^2/Fits!$B$109)))))))</f>
        <v/>
      </c>
      <c r="CC64" s="20" t="str">
        <f aca="false">IF(OR($D64&lt;&gt;"Drift",$AC64="",$A64&lt;IF(Setup!$B$14="",0,Setup!$B$14),Fits!$B$120&lt;3,Fits!$B$123="",Fits!$B$122=0,IF(Fits!$B$50="Row",$AQ64,$AR64)=""),"",IF($BY64=1,IF(OR(Fits!$B$124="",Fits!$B$124=0),"",($AC64-(IF(Fits!$B$50="Row",Fits!$B$44,Fits!$B$47)*IF(Fits!$B$50="Row",$AQ64,$AR64)+Fits!$B$123))/(Fits!$B$124*SQRT(1+(1/Fits!$B$120+(IF(Fits!$B$50="Row",$AQ64,$AR64)-Fits!$B$121)^2/Fits!$B$122)))),IF(OR(Fits!$B$120&lt;4,(1/Fits!$B$120+(IF(Fits!$B$50="Row",$AQ64,$AR64)-Fits!$B$121)^2/Fits!$B$122)&gt;=1),"",IF((Fits!$B$129-($AC64-(IF(Fits!$B$50="Row",Fits!$B$44,Fits!$B$47)*IF(Fits!$B$50="Row",$AQ64,$AR64)+Fits!$B$123))^2/(1-(1/Fits!$B$120+(IF(Fits!$B$50="Row",$AQ64,$AR64)-Fits!$B$121)^2/Fits!$B$122)))&lt;=0,"",($AC64-(IF(Fits!$B$50="Row",Fits!$B$44,Fits!$B$47)*IF(Fits!$B$50="Row",$AQ64,$AR64)+Fits!$B$123))/(SQRT((Fits!$B$129-($AC64-(IF(Fits!$B$50="Row",Fits!$B$44,Fits!$B$47)*IF(Fits!$B$50="Row",$AQ64,$AR64)+Fits!$B$123))^2/(1-(1/Fits!$B$120+(IF(Fits!$B$50="Row",$AQ64,$AR64)-Fits!$B$121)^2/Fits!$B$122)))/(Fits!$B$120-3))*SQRT(1-(1/Fits!$B$120+(IF(Fits!$B$50="Row",$AQ64,$AR64)-Fits!$B$121)^2/Fits!$B$122)))))))</f>
        <v/>
      </c>
      <c r="CD64" s="9" t="str">
        <f aca="false">IF($AU64="","",1)</f>
        <v/>
      </c>
      <c r="CE64" s="24" t="str">
        <f aca="false">IF($AU64="","",$AU64-Fits!$B$133)</f>
        <v/>
      </c>
      <c r="CF64" s="24" t="str">
        <f aca="false">IF($AU64="","",($AV64-(Fits!$B$56*$AU64+Fits!$B$57))-Fits!$B$56*($AU64-Fits!$B$133))</f>
        <v/>
      </c>
      <c r="CG64" s="25" t="str">
        <f aca="false">IF($AU64="","",$AU64^2)</f>
        <v/>
      </c>
      <c r="CH64" s="9" t="str">
        <f aca="false">IF($AW64="","",1)</f>
        <v/>
      </c>
      <c r="CI64" s="24" t="str">
        <f aca="false">IF($AW64="","",$AW64-Fits!$B$153)</f>
        <v/>
      </c>
      <c r="CJ64" s="24" t="str">
        <f aca="false">IF($AW64="","",($AX64-(Fits!$B$63*$AW64+Fits!$B$64))-Fits!$B$63*($AW64-Fits!$B$153))</f>
        <v/>
      </c>
      <c r="CK64" s="25" t="str">
        <f aca="false">IF($AW64="","",$AW64^2)</f>
        <v/>
      </c>
      <c r="CL64" s="26" t="str">
        <f aca="false">IF(OR($Z64="",Fits!$B$55&lt;3,Fits!$B$133="",Fits!$B$134="",Fits!$B$134=0,Fits!$B$136=""),"",SQRT((Fits!$B$136*Fits!$B$56)^2+SUMPRODUCT((Fits!$J$163:$J$175*(Fits!$B$163:$B$175/Fits!$B$55+Fits!$H$163:$H$175*($Z64-Fits!$B$133)/Fits!$B$134))^2)+SUMPRODUCT((Fits!$G$163:$G$175*(($Z64-Fits!$B$133)*Fits!$I$163:$I$175/Fits!$B$134-Fits!$B$163:$B$175*Fits!$B$56/Fits!$B$55))^2)))</f>
        <v/>
      </c>
      <c r="CM64" s="26" t="str">
        <f aca="false">IF($CL64="","",Setup!$B$32*$CL64)</f>
        <v/>
      </c>
      <c r="CN64" s="26" t="str">
        <f aca="false">IF(OR($AE64="",Fits!$B$62&lt;3,Fits!$B$153="",Fits!$B$154="",Fits!$B$154=0,Fits!$B$156=""),"",SQRT((Fits!$B$156*Fits!$B$63)^2+SUMPRODUCT((Fits!$J$183:$J$195*(Fits!$B$183:$B$195/Fits!$B$62+Fits!$H$183:$H$195*($AE64-Fits!$B$153)/Fits!$B$154))^2)+SUMPRODUCT((Fits!$G$183:$G$195*(($AE64-Fits!$B$153)*Fits!$I$183:$I$195/Fits!$B$154-Fits!$B$183:$B$195*Fits!$B$63/Fits!$B$62))^2)))</f>
        <v/>
      </c>
      <c r="CO64" s="26" t="str">
        <f aca="false">IF($CN64="","",Setup!$B$32*$CN64)</f>
        <v/>
      </c>
      <c r="CP64" s="9" t="n">
        <f aca="false">IF(OR(NOT(ISNUMBER($BJ64)),$EK64=1),$CP63,IF($BJ64&lt;=Setup!$B$26,$CP63+1,0))</f>
        <v>26</v>
      </c>
      <c r="CQ64" s="9" t="str">
        <f aca="false">IF($BT64="","",$A64)</f>
        <v/>
      </c>
      <c r="CR64" s="9" t="str">
        <f aca="false">IF($BW64="","",$A64)</f>
        <v/>
      </c>
      <c r="CS64" s="9" t="str">
        <f aca="false">IF($B64="","",IF(Setup!$A$37="",0,IF(ISNUMBER(SEARCH(Setup!$A$37,$B64)),37,0)))</f>
        <v/>
      </c>
      <c r="CT64" s="9" t="str">
        <f aca="false">IF($B64="","",IF(Setup!$A$38="",0,IF(ISNUMBER(SEARCH(Setup!$A$38,$B64)),38,0)))</f>
        <v/>
      </c>
      <c r="CU64" s="9" t="str">
        <f aca="false">IF($B64="","",IF(Setup!$A$39="",0,IF(ISNUMBER(SEARCH(Setup!$A$39,$B64)),39,0)))</f>
        <v/>
      </c>
      <c r="CV64" s="9" t="str">
        <f aca="false">IF($B64="","",IF(Setup!$A$40="",0,IF(ISNUMBER(SEARCH(Setup!$A$40,$B64)),40,0)))</f>
        <v/>
      </c>
      <c r="CW64" s="9" t="str">
        <f aca="false">IF($B64="","",IF(Setup!$A$41="",0,IF(ISNUMBER(SEARCH(Setup!$A$41,$B64)),41,0)))</f>
        <v/>
      </c>
      <c r="CX64" s="9" t="str">
        <f aca="false">IF($B64="","",IF(Setup!$A$42="",0,IF(ISNUMBER(SEARCH(Setup!$A$42,$B64)),42,0)))</f>
        <v/>
      </c>
      <c r="CY64" s="9" t="str">
        <f aca="false">IF($B64="","",IF(Setup!$A$43="",0,IF(ISNUMBER(SEARCH(Setup!$A$43,$B64)),43,0)))</f>
        <v/>
      </c>
      <c r="CZ64" s="9" t="str">
        <f aca="false">IF($B64="","",IF(Setup!$A$44="",0,IF(ISNUMBER(SEARCH(Setup!$A$44,$B64)),44,0)))</f>
        <v/>
      </c>
      <c r="DA64" s="9" t="str">
        <f aca="false">IF($B64="","",IF(Setup!$A$45="",0,IF(ISNUMBER(SEARCH(Setup!$A$45,$B64)),45,0)))</f>
        <v/>
      </c>
      <c r="DB64" s="9" t="str">
        <f aca="false">IF($B64="","",IF(Setup!$A$46="",0,IF(ISNUMBER(SEARCH(Setup!$A$46,$B64)),46,0)))</f>
        <v/>
      </c>
      <c r="DC64" s="9" t="str">
        <f aca="false">IF($B64="","",IF(Setup!$A$47="",0,IF(ISNUMBER(SEARCH(Setup!$A$47,$B64)),47,0)))</f>
        <v/>
      </c>
      <c r="DD64" s="9" t="str">
        <f aca="false">IF($B64="","",IF(Setup!$A$48="",0,IF(ISNUMBER(SEARCH(Setup!$A$48,$B64)),48,0)))</f>
        <v/>
      </c>
      <c r="DE64" s="9" t="str">
        <f aca="false">IF($B64="","",IF(Setup!$A$49="",0,IF(ISNUMBER(SEARCH(Setup!$A$49,$B64)),49,0)))</f>
        <v/>
      </c>
      <c r="DF64" s="9" t="e">
        <f aca="false">IF($B64="",NA(),$A64)</f>
        <v>#N/A</v>
      </c>
      <c r="DG64" s="9" t="e">
        <f aca="false">IF($BI64="",NA(),$BI64)</f>
        <v>#N/A</v>
      </c>
      <c r="DH64" s="9" t="e">
        <f aca="false">IF($N64="",NA(),$N64)</f>
        <v>#N/A</v>
      </c>
      <c r="DI64" s="9" t="e">
        <f aca="false">IF(AND($D64="Drift",$N64&lt;&gt;""),$N64,NA())</f>
        <v>#N/A</v>
      </c>
      <c r="DJ64" s="9" t="str">
        <f aca="false">IF(AND($D64="Drift",$N64&lt;&gt;""),$N64,"")</f>
        <v/>
      </c>
      <c r="DK64" s="9" t="str">
        <f aca="false">IF($DJ64="","",$A64)</f>
        <v/>
      </c>
      <c r="DL64" s="9" t="e">
        <f aca="false">IF($AN64="",NA(),$AM64)</f>
        <v>#N/A</v>
      </c>
      <c r="DM64" s="9" t="e">
        <f aca="false">IF($AN64="",NA(),$AN64)</f>
        <v>#N/A</v>
      </c>
      <c r="DN64" s="9" t="e">
        <f aca="false">IF(AND($D64="Sample",$L64&lt;&gt;""),$L64,NA())</f>
        <v>#N/A</v>
      </c>
      <c r="DO64" s="9" t="e">
        <f aca="false">IF(AND($D64="Sample",$L64&lt;&gt;"",Fits!$B$98&lt;&gt;""),Fits!$B$98,NA())</f>
        <v>#N/A</v>
      </c>
      <c r="DP64" s="9" t="e">
        <f aca="false">IF($AS64="",NA(),$AS64)</f>
        <v>#N/A</v>
      </c>
      <c r="DQ64" s="9" t="e">
        <f aca="false">IF(AND($D64="Drift",$AS64="",$X64&lt;&gt;""),$X64,NA())</f>
        <v>#N/A</v>
      </c>
      <c r="DR64" s="9" t="e">
        <f aca="false">IF(AND($D64="Drift",$Z64&lt;&gt;""),$Z64,NA())</f>
        <v>#N/A</v>
      </c>
      <c r="DS64" s="9" t="e">
        <f aca="false">IF(AND(OR($D64="Sample",$D64="Check"),$AA64&lt;&gt;""),$AA64,NA())</f>
        <v>#N/A</v>
      </c>
      <c r="DT64" s="9" t="e">
        <f aca="false">IF(OR($B64="",Fits!$B$138=""),NA(),Fits!$B$138)</f>
        <v>#N/A</v>
      </c>
      <c r="DU64" s="9" t="e">
        <f aca="false">IF(OR($B64="",Fits!$B$139=""),NA(),Fits!$B$139)</f>
        <v>#N/A</v>
      </c>
      <c r="DV64" s="9" t="e">
        <f aca="false">IF($BT64="",NA(),$BT64)</f>
        <v>#N/A</v>
      </c>
      <c r="DW64" s="9" t="e">
        <f aca="false">IF($AP64="",NA(),$AO64)</f>
        <v>#N/A</v>
      </c>
      <c r="DX64" s="9" t="e">
        <f aca="false">IF($AP64="",NA(),$AP64)</f>
        <v>#N/A</v>
      </c>
      <c r="DY64" s="9" t="e">
        <f aca="false">IF(AND($D64="Sample",$P64&lt;&gt;""),$P64,NA())</f>
        <v>#N/A</v>
      </c>
      <c r="DZ64" s="9" t="e">
        <f aca="false">IF(AND($D64="Sample",$P64&lt;&gt;"",Fits!$B$105&lt;&gt;""),Fits!$B$105,NA())</f>
        <v>#N/A</v>
      </c>
      <c r="EA64" s="9" t="e">
        <f aca="false">IF($AT64="",NA(),$AT64)</f>
        <v>#N/A</v>
      </c>
      <c r="EB64" s="9" t="e">
        <f aca="false">IF(AND($D64="Drift",$AT64="",$AC64&lt;&gt;""),$AC64,NA())</f>
        <v>#N/A</v>
      </c>
      <c r="EC64" s="9" t="e">
        <f aca="false">IF(AND($D64="Drift",$AE64&lt;&gt;""),$AE64,NA())</f>
        <v>#N/A</v>
      </c>
      <c r="ED64" s="9" t="e">
        <f aca="false">IF(AND(OR($D64="Sample",$D64="Check"),$AF64&lt;&gt;""),$AF64,NA())</f>
        <v>#N/A</v>
      </c>
      <c r="EE64" s="9" t="e">
        <f aca="false">IF(OR($B64="",Fits!$B$158=""),NA(),Fits!$B$158)</f>
        <v>#N/A</v>
      </c>
      <c r="EF64" s="9" t="e">
        <f aca="false">IF(OR($B64="",Fits!$B$159=""),NA(),Fits!$B$159)</f>
        <v>#N/A</v>
      </c>
      <c r="EG64" s="9" t="e">
        <f aca="false">IF($BW64="",NA(),$BW64)</f>
        <v>#N/A</v>
      </c>
      <c r="EH64" s="9" t="e">
        <f aca="false">IF(AND($EN64=1,ISNUMBER($N64)),$N64,NA())</f>
        <v>#N/A</v>
      </c>
      <c r="EI64" s="9" t="str">
        <f aca="false">IF($B64="","",$A64)</f>
        <v/>
      </c>
      <c r="EJ64" s="9" t="n">
        <f aca="false">IF(OR(AND(ISNUMBER($L64),Fits!$B$97&gt;0,$L64&gt;Fits!$B$97),AND(ISNUMBER($P64),Fits!$B$104&gt;0,$P64&gt;Fits!$B$104)),1,0)</f>
        <v>0</v>
      </c>
      <c r="EK64" s="9" t="n">
        <f aca="false">IF(OR($EJ63=1,$EJ62=1),1,0)</f>
        <v>0</v>
      </c>
      <c r="EL64" s="22" t="n">
        <f aca="false">IF(AND($EK64=0,ISNUMBER($N64)),$N64,$EL63)</f>
        <v>25.7</v>
      </c>
      <c r="EM64" s="9" t="str">
        <f aca="false">IF(AND($EK64=1,ISNUMBER($N64),ISNUMBER($EL64)),$N64-$EL64,"")</f>
        <v/>
      </c>
      <c r="EN64" s="9" t="n">
        <f aca="false">IF(Setup!$B$28="",0,IF(ISNUMBER($EM64),IF($EM64&gt;Setup!$B$28,1,0),0))</f>
        <v>0</v>
      </c>
      <c r="EO64" s="9" t="str">
        <f aca="false">IF($EN64=1,COUNTIF($EN$6:$EN64,1),"")</f>
        <v/>
      </c>
      <c r="EP64" s="9" t="n">
        <f aca="false">IF(AND($EJ63=1,OR($D64="Sample",$D64="Check")),1,0)</f>
        <v>0</v>
      </c>
      <c r="EQ64" s="9" t="str">
        <f aca="false">IF(ISNUMBER($BI64),IF(COUNT($BI$6:$BI64)&lt;=5,$BI64,""),"")</f>
        <v/>
      </c>
      <c r="ER64" s="9" t="n">
        <f aca="false">IF(OR(NOT(ISNUMBER($BJ64)),$EK64=1),$ER63,IF($BJ64&lt;=Setup!$B$26,IF($CP63=0,$A64,$ER63),""))</f>
        <v>27</v>
      </c>
    </row>
    <row r="65" customFormat="false" ht="15" hidden="false" customHeight="false" outlineLevel="0" collapsed="false">
      <c r="A65" s="8" t="n">
        <v>60</v>
      </c>
      <c r="B65" s="8" t="str">
        <f aca="false">IFERROR(INDEX(Raw!$B$2:$B$1001,MATCH($A65,Raw!$A$2:$A$1001,0)),"")</f>
        <v/>
      </c>
      <c r="C65" s="9" t="str">
        <f aca="false">IF($B65="","",MAX($CS65:$DE65))</f>
        <v/>
      </c>
      <c r="D65" s="8" t="str">
        <f aca="false">IF($B65="","",IF($C65=0,"Sample",INDEX(Setup!$B$37:$B$49,$C65-36)))</f>
        <v/>
      </c>
      <c r="E65" s="16" t="str">
        <f aca="false">IF($B65="","",IFERROR(IF(INDEX(Raw!$E$2:$E$1001,MATCH($A65,Raw!$A$2:$A$1001,0))=0,"",INDEX(Raw!$E$2:$E$1001,MATCH($A65,Raw!$A$2:$A$1001,0))),""))</f>
        <v/>
      </c>
      <c r="F65" s="18"/>
      <c r="G65" s="16" t="str">
        <f aca="false">IF($B65="","",IF($F65&lt;&gt;"",$F65,IF($E65="","",$E65)))</f>
        <v/>
      </c>
      <c r="H65" s="9" t="str">
        <f aca="false">IF($B65="","",SUMPRODUCT(MAX((Raw!$A$2:$A$1001=$A65)*(Raw!$R$2:$R$1001="N")*Raw!$D$2:$D$1001)))</f>
        <v/>
      </c>
      <c r="I65" s="9" t="str">
        <f aca="false">IF(OR($H65="",$H65=0),"",$A65&amp;"|N|"&amp;$H65)</f>
        <v/>
      </c>
      <c r="J65" s="9" t="str">
        <f aca="false">IF($B65="","",SUMPRODUCT(MIN((Raw!$A$2:$A$1001=$A65)*(Raw!$R$2:$R$1001="C")*Raw!$D$2:$D$1001+(1-(Raw!$A$2:$A$1001=$A65)*(Raw!$R$2:$R$1001="C"))*9999)))</f>
        <v/>
      </c>
      <c r="K65" s="9" t="str">
        <f aca="false">IF(OR($J65="",$J65=0,$J65=9999),"",$A65&amp;"|C|"&amp;$J65)</f>
        <v/>
      </c>
      <c r="L65" s="16" t="str">
        <f aca="false">IF($I65="","",IF(INDEX(Raw!$I$2:$I$1001,MATCH($I65,Raw!$S$2:$S$1001,0))&lt;&gt;0,"",INDEX(Raw!$H$2:$H$1001,MATCH($I65,Raw!$S$2:$S$1001,0))))</f>
        <v/>
      </c>
      <c r="M65" s="19" t="str">
        <f aca="false">IF($I65="","",IF(INDEX(Raw!$I$2:$I$1001,MATCH($I65,Raw!$S$2:$S$1001,0))&lt;&gt;0,"",INDEX(Raw!$F$2:$F$1001,MATCH($I65,Raw!$S$2:$S$1001,0))))</f>
        <v/>
      </c>
      <c r="N65" s="20" t="str">
        <f aca="false">IF($I65="","",IF(INDEX(Raw!$I$2:$I$1001,MATCH($I65,Raw!$S$2:$S$1001,0))&lt;&gt;0,"",INDEX(Raw!$G$2:$G$1001,MATCH($I65,Raw!$S$2:$S$1001,0))))</f>
        <v/>
      </c>
      <c r="O65" s="16" t="str">
        <f aca="false">IF($I65="","",IF(INDEX(Raw!$I$2:$I$1001,MATCH($I65,Raw!$S$2:$S$1001,0))&lt;&gt;0,"",INDEX(Raw!$N$2:$N$1001,MATCH($I65,Raw!$S$2:$S$1001,0))))</f>
        <v/>
      </c>
      <c r="P65" s="16" t="str">
        <f aca="false">IF($K65="","",IF(INDEX(Raw!$I$2:$I$1001,MATCH($K65,Raw!$S$2:$S$1001,0))&lt;&gt;0,"",INDEX(Raw!$K$2:$K$1001,MATCH($K65,Raw!$S$2:$S$1001,0))))</f>
        <v/>
      </c>
      <c r="Q65" s="19" t="str">
        <f aca="false">IF($K65="","",IF(INDEX(Raw!$I$2:$I$1001,MATCH($K65,Raw!$S$2:$S$1001,0))&lt;&gt;0,"",INDEX(Raw!$J$2:$J$1001,MATCH($K65,Raw!$S$2:$S$1001,0))))</f>
        <v/>
      </c>
      <c r="R65" s="16" t="str">
        <f aca="false">IF($K65="","",IF(INDEX(Raw!$I$2:$I$1001,MATCH($K65,Raw!$S$2:$S$1001,0))&lt;&gt;0,"",INDEX(Raw!$O$2:$O$1001,MATCH($K65,Raw!$S$2:$S$1001,0))))</f>
        <v/>
      </c>
      <c r="S65" s="21" t="str">
        <f aca="false">IF($B65="","",IF($C65=0,"",IF(INDEX(Setup!$D$37:$D$49,$C65-36)="","",INDEX(Setup!$D$37:$D$49,$C65-36))))</f>
        <v/>
      </c>
      <c r="T65" s="21" t="str">
        <f aca="false">IF($B65="","",IF($C65=0,"",IF(INDEX(Setup!$C$37:$C$49,$C65-36)="","",INDEX(Setup!$C$37:$C$49,$C65-36))))</f>
        <v/>
      </c>
      <c r="U65" s="21" t="str">
        <f aca="false">IF($B65="","",IF($C65=0,"",IF(INDEX(Setup!$F$37:$F$49,$C65-36)="","",INDEX(Setup!$F$37:$F$49,$C65-36))))</f>
        <v/>
      </c>
      <c r="V65" s="21" t="str">
        <f aca="false">IF($B65="","",IF($C65=0,"",IF(INDEX(Setup!$E$37:$E$49,$C65-36)="","",INDEX(Setup!$E$37:$E$49,$C65-36))))</f>
        <v/>
      </c>
      <c r="W65" s="16" t="str">
        <f aca="false">IF($O65="","",IF(OR(Fits!$C$5&lt;&gt;"Yes",$D65="Blank",$L65&lt;=Fits!$B$6),$O65,($L65*$O65-Fits!$B$6*Fits!$B$7)/($L65-Fits!$B$6)))</f>
        <v/>
      </c>
      <c r="X65" s="16" t="str">
        <f aca="false">IF($W65="","",$W65-Fits!$B$20*($L65-Fits!$B$16))</f>
        <v/>
      </c>
      <c r="Y65" s="22" t="str">
        <f aca="false">IF($W65="","",IF(OR(Fits!$B$38="Row",$BI65=""),$A65,$BI65))</f>
        <v/>
      </c>
      <c r="Z65" s="16" t="str">
        <f aca="false">IF($X65="","",$X65-Fits!$B$39*($Y65-Fits!$B$40))</f>
        <v/>
      </c>
      <c r="AA65" s="23" t="str">
        <f aca="false">IF(OR($Z65="",Fits!$B$55&lt;2),"",Fits!$B$56*$Z65+Fits!$B$57)</f>
        <v/>
      </c>
      <c r="AB65" s="16" t="str">
        <f aca="false">IF($R65="","",IF(OR(Fits!$C$9&lt;&gt;"Yes",$D65="Blank",$P65&lt;=Fits!$B$10),$R65,($P65*$R65-Fits!$B$10*Fits!$B$11)/($P65-Fits!$B$10)))</f>
        <v/>
      </c>
      <c r="AC65" s="16" t="str">
        <f aca="false">IF($AB65="","",$AB65-Fits!$B$28*($P65-Fits!$B$24))</f>
        <v/>
      </c>
      <c r="AD65" s="22" t="str">
        <f aca="false">IF($AB65="","",IF(OR(Fits!$B$50="Row",$BI65=""),$A65,$BI65))</f>
        <v/>
      </c>
      <c r="AE65" s="16" t="str">
        <f aca="false">IF($AC65="","",$AC65-Fits!$B$51*($AD65-Fits!$B$52))</f>
        <v/>
      </c>
      <c r="AF65" s="23" t="str">
        <f aca="false">IF(OR($AE65="",Fits!$B$62&lt;2),"",Fits!$B$63*$AE65+Fits!$B$64)</f>
        <v/>
      </c>
      <c r="AG65" s="21" t="str">
        <f aca="false">IF(OR($L65="",Fits!$B$69&lt;3),"",($L65-Fits!$B$71)/Fits!$B$70)</f>
        <v/>
      </c>
      <c r="AH65" s="21" t="str">
        <f aca="false">IF(OR($P65="",Fits!$B$75&lt;3),"",($P65-Fits!$B$77)/Fits!$B$76)</f>
        <v/>
      </c>
      <c r="AI65" s="23" t="str">
        <f aca="false">IF(OR($AG65="",$G65="",$G65=0),"",$AG65/($G65*1000)*100)</f>
        <v/>
      </c>
      <c r="AJ65" s="23" t="str">
        <f aca="false">IF(OR($AH65="",$G65="",$G65=0),"",$AH65/($G65*1000)*100)</f>
        <v/>
      </c>
      <c r="AK65" s="23" t="str">
        <f aca="false">IF(OR($AG65="",$AH65="",$AG65&lt;=0),"",($AH65/Setup!$B$52)/($AG65/Setup!$B$53))</f>
        <v/>
      </c>
      <c r="AL65" s="23" t="str">
        <f aca="false">IF(OR($AG65="",$AH65="",$AG65&lt;=0),"",$AH65/$AG65)</f>
        <v/>
      </c>
      <c r="AM65" s="9" t="str">
        <f aca="false">IF($D65="Linearity",IF($L65="","",$L65),"")</f>
        <v/>
      </c>
      <c r="AN65" s="9" t="str">
        <f aca="false">IF($D65="Linearity",IF($W65="","",$W65),"")</f>
        <v/>
      </c>
      <c r="AO65" s="9" t="str">
        <f aca="false">IF($D65="Linearity",IF($P65="","",$P65),"")</f>
        <v/>
      </c>
      <c r="AP65" s="9" t="str">
        <f aca="false">IF($D65="Linearity",IF($AB65="","",$AB65),"")</f>
        <v/>
      </c>
      <c r="AQ65" s="9" t="str">
        <f aca="false">IF($D65="Drift",IF($A65&lt;IF(Setup!$B$14="",0,Setup!$B$14),"",$A65),"")</f>
        <v/>
      </c>
      <c r="AR65" s="9" t="str">
        <f aca="false">IF($D65="Drift",IF($A65&lt;IF(Setup!$B$14="",0,Setup!$B$14),"",IF($BI65="","",$BI65)),"")</f>
        <v/>
      </c>
      <c r="AS65" s="9" t="str">
        <f aca="false">IF($D65="Drift",IF($A65&lt;IF(Setup!$B$14="",0,Setup!$B$14),"",IF(OR($X65="",$BX65=1),"",$X65)),"")</f>
        <v/>
      </c>
      <c r="AT65" s="9" t="str">
        <f aca="false">IF($D65="Drift",IF($A65&lt;IF(Setup!$B$14="",0,Setup!$B$14),"",IF(OR($AC65="",$BY65=1),"",$AC65)),"")</f>
        <v/>
      </c>
      <c r="AU65" s="9" t="str">
        <f aca="false">IF($D65="Anchor",IF(OR($Z65="",$S65=""),"",$Z65),"")</f>
        <v/>
      </c>
      <c r="AV65" s="9" t="str">
        <f aca="false">IF($D65="Anchor",IF(OR($Z65="",$S65=""),"",$S65),"")</f>
        <v/>
      </c>
      <c r="AW65" s="9" t="str">
        <f aca="false">IF($D65="Anchor",IF(OR($AE65="",$T65=""),"",$AE65),"")</f>
        <v/>
      </c>
      <c r="AX65" s="9" t="str">
        <f aca="false">IF($D65="Anchor",IF(OR($AE65="",$T65=""),"",$T65),"")</f>
        <v/>
      </c>
      <c r="AY65" s="9" t="str">
        <f aca="false">IF(OR($D65="Blank",$D65="Exclude",$D65="Sample",$D65="",$G65="",$U65="",$L65=""),"",$G65*1000*$U65/100)</f>
        <v/>
      </c>
      <c r="AZ65" s="9" t="str">
        <f aca="false">IF($AY65="","",$L65)</f>
        <v/>
      </c>
      <c r="BA65" s="9" t="str">
        <f aca="false">IF(OR($D65="Blank",$D65="Exclude",$D65="Sample",$D65="",$G65="",$V65="",$P65=""),"",$G65*1000*$V65/100)</f>
        <v/>
      </c>
      <c r="BB65" s="9" t="str">
        <f aca="false">IF($BA65="","",$P65)</f>
        <v/>
      </c>
      <c r="BC65" s="9" t="str">
        <f aca="false">IF(AND($D65="Blank",$L65&lt;&gt;""),$O65,"")</f>
        <v/>
      </c>
      <c r="BD65" s="9" t="str">
        <f aca="false">IF($BC65="","",$L65)</f>
        <v/>
      </c>
      <c r="BE65" s="9" t="str">
        <f aca="false">IF(AND($D65="Blank",$P65&lt;&gt;""),$R65,"")</f>
        <v/>
      </c>
      <c r="BF65" s="9" t="str">
        <f aca="false">IF($BE65="","",$P65)</f>
        <v/>
      </c>
      <c r="BG65" s="9" t="str">
        <f aca="false">IF(AND($D65="Drift",$BX65&lt;&gt;1),IF($AA65="","",$AA65),"")</f>
        <v/>
      </c>
      <c r="BH65" s="9" t="str">
        <f aca="false">IF(AND($D65="Drift",$BY65&lt;&gt;1),IF($AF65="","",$AF65),"")</f>
        <v/>
      </c>
      <c r="BI65" s="20" t="str">
        <f aca="false">IF($B65="","",IFERROR(INDEX(Raw!$G$2:$G$1001,MATCH($A65&amp;"|N|"&amp;SUMPRODUCT(MAX((Raw!$A$2:$A$1001=$A65)*(Raw!$R$2:$R$1001="N")*(Raw!$I$2:$I$1001=1)*Raw!$D$2:$D$1001)),Raw!$S$2:$S$1001,0)),""))</f>
        <v/>
      </c>
      <c r="BJ65" s="21" t="str">
        <f aca="false">IF(OR($BI65="",Fits!$B$85&lt;=0),"",($BI65-Fits!$B$83)/Fits!$B$85)</f>
        <v/>
      </c>
      <c r="BK65" s="9" t="str">
        <f aca="false">IF($AS65="","",IF($A65&gt;=Fits!$B$86,"",$A65))</f>
        <v/>
      </c>
      <c r="BL65" s="9" t="str">
        <f aca="false">IF($BK65="","",$X65)</f>
        <v/>
      </c>
      <c r="BM65" s="9" t="str">
        <f aca="false">IF($AS65="","",IF($A65&lt;Fits!$B$86,"",$A65))</f>
        <v/>
      </c>
      <c r="BN65" s="9" t="str">
        <f aca="false">IF($BM65="","",$X65)</f>
        <v/>
      </c>
      <c r="BO65" s="9" t="str">
        <f aca="false">IF(AND($D65="Drift",$BX65&lt;&gt;1),IF($O65="","",$O65),"")</f>
        <v/>
      </c>
      <c r="BP65" s="9" t="str">
        <f aca="false">IF(AND($D65="Drift",$BX65&lt;&gt;1),IF($W65="","",$W65),"")</f>
        <v/>
      </c>
      <c r="BQ65" s="9" t="str">
        <f aca="false">IF(AND($D65="Drift",$BX65&lt;&gt;1),IF($X65="","",$X65),"")</f>
        <v/>
      </c>
      <c r="BR65" s="9" t="str">
        <f aca="false">IF(AND($D65="Drift",$BX65&lt;&gt;1),IF($Z65="","",$Z65),"")</f>
        <v/>
      </c>
      <c r="BS65" s="9" t="str">
        <f aca="false">IF(OR($B65="",$H65=""),"",SUMPRODUCT(MIN((Raw!$A$2:$A$1001=$A65)*(Raw!$R$2:$R$1001="N")*(Raw!$I$2:$I$1001=0)*(Raw!$D$2:$D$1001&lt;$H65)*Raw!$D$2:$D$1001+(1-(Raw!$A$2:$A$1001=$A65)*(Raw!$R$2:$R$1001="N")*(Raw!$I$2:$I$1001=0)*(Raw!$D$2:$D$1001&lt;$H65))*9999)))</f>
        <v/>
      </c>
      <c r="BT65" s="16" t="str">
        <f aca="false">IF(OR($BS65="",$BS65=9999,$BS65=0),"",IFERROR(INDEX(Raw!$N$2:$N$1001,MATCH($A65&amp;"|N|"&amp;$BS65,Raw!$S$2:$S$1001,0)),""))</f>
        <v/>
      </c>
      <c r="BU65" s="9" t="str">
        <f aca="false">IF($B65="","",SUMPRODUCT(MIN((Raw!$A$2:$A$1001=$A65)*(Raw!$R$2:$R$1001="C")*(Raw!$I$2:$I$1001=1)*Raw!$D$2:$D$1001+(1-(Raw!$A$2:$A$1001=$A65)*(Raw!$R$2:$R$1001="C")*(Raw!$I$2:$I$1001=1))*9999)))</f>
        <v/>
      </c>
      <c r="BV65" s="9" t="str">
        <f aca="false">IF(OR($BU65="",$BU65=9999),"",SUMPRODUCT(MIN((Raw!$A$2:$A$1001=$A65)*(Raw!$R$2:$R$1001="C")*(Raw!$I$2:$I$1001=0)*(Raw!$D$2:$D$1001&gt;$BU65)*Raw!$D$2:$D$1001+(1-(Raw!$A$2:$A$1001=$A65)*(Raw!$R$2:$R$1001="C")*(Raw!$I$2:$I$1001=0)*(Raw!$D$2:$D$1001&gt;$BU65))*9999)))</f>
        <v/>
      </c>
      <c r="BW65" s="16" t="str">
        <f aca="false">IF(OR($BV65="",$BV65=9999,$BV65=0),"",IFERROR(INDEX(Raw!$O$2:$O$1001,MATCH($A65&amp;"|C|"&amp;$BV65,Raw!$S$2:$S$1001,0)),""))</f>
        <v/>
      </c>
      <c r="BX65" s="9" t="str">
        <f aca="false">IF($B65="","",IF(ISNUMBER(SEARCH(","&amp;$A65&amp;",",","&amp;SUBSTITUTE(Setup!$B$16," ","")&amp;",")),1,0))</f>
        <v/>
      </c>
      <c r="BY65" s="9" t="str">
        <f aca="false">IF($B65="","",IF(ISNUMBER(SEARCH(","&amp;$A65&amp;",",","&amp;SUBSTITUTE(Setup!$B$17," ","")&amp;",")),1,0))</f>
        <v/>
      </c>
      <c r="BZ65" s="22" t="str">
        <f aca="false">IF($AS65="","",IF(Fits!$B$38="Row",$AQ65,IF($AR65="","",$AR65)))</f>
        <v/>
      </c>
      <c r="CA65" s="22" t="str">
        <f aca="false">IF($AT65="","",IF(Fits!$B$50="Row",$AQ65,IF($AR65="","",$AR65)))</f>
        <v/>
      </c>
      <c r="CB65" s="20" t="str">
        <f aca="false">IF(OR($D65&lt;&gt;"Drift",$X65="",$A65&lt;IF(Setup!$B$14="",0,Setup!$B$14),Fits!$B$107&lt;3,Fits!$B$110="",Fits!$B$109=0,IF(Fits!$B$38="Row",$AQ65,$AR65)=""),"",IF($BX65=1,IF(OR(Fits!$B$111="",Fits!$B$111=0),"",($X65-(IF(Fits!$B$38="Row",Fits!$B$32,Fits!$B$35)*IF(Fits!$B$38="Row",$AQ65,$AR65)+Fits!$B$110))/(Fits!$B$111*SQRT(1+(1/Fits!$B$107+(IF(Fits!$B$38="Row",$AQ65,$AR65)-Fits!$B$108)^2/Fits!$B$109)))),IF(OR(Fits!$B$107&lt;4,(1/Fits!$B$107+(IF(Fits!$B$38="Row",$AQ65,$AR65)-Fits!$B$108)^2/Fits!$B$109)&gt;=1),"",IF((Fits!$B$116-($X65-(IF(Fits!$B$38="Row",Fits!$B$32,Fits!$B$35)*IF(Fits!$B$38="Row",$AQ65,$AR65)+Fits!$B$110))^2/(1-(1/Fits!$B$107+(IF(Fits!$B$38="Row",$AQ65,$AR65)-Fits!$B$108)^2/Fits!$B$109)))&lt;=0,"",($X65-(IF(Fits!$B$38="Row",Fits!$B$32,Fits!$B$35)*IF(Fits!$B$38="Row",$AQ65,$AR65)+Fits!$B$110))/(SQRT((Fits!$B$116-($X65-(IF(Fits!$B$38="Row",Fits!$B$32,Fits!$B$35)*IF(Fits!$B$38="Row",$AQ65,$AR65)+Fits!$B$110))^2/(1-(1/Fits!$B$107+(IF(Fits!$B$38="Row",$AQ65,$AR65)-Fits!$B$108)^2/Fits!$B$109)))/(Fits!$B$107-3))*SQRT(1-(1/Fits!$B$107+(IF(Fits!$B$38="Row",$AQ65,$AR65)-Fits!$B$108)^2/Fits!$B$109)))))))</f>
        <v/>
      </c>
      <c r="CC65" s="20" t="str">
        <f aca="false">IF(OR($D65&lt;&gt;"Drift",$AC65="",$A65&lt;IF(Setup!$B$14="",0,Setup!$B$14),Fits!$B$120&lt;3,Fits!$B$123="",Fits!$B$122=0,IF(Fits!$B$50="Row",$AQ65,$AR65)=""),"",IF($BY65=1,IF(OR(Fits!$B$124="",Fits!$B$124=0),"",($AC65-(IF(Fits!$B$50="Row",Fits!$B$44,Fits!$B$47)*IF(Fits!$B$50="Row",$AQ65,$AR65)+Fits!$B$123))/(Fits!$B$124*SQRT(1+(1/Fits!$B$120+(IF(Fits!$B$50="Row",$AQ65,$AR65)-Fits!$B$121)^2/Fits!$B$122)))),IF(OR(Fits!$B$120&lt;4,(1/Fits!$B$120+(IF(Fits!$B$50="Row",$AQ65,$AR65)-Fits!$B$121)^2/Fits!$B$122)&gt;=1),"",IF((Fits!$B$129-($AC65-(IF(Fits!$B$50="Row",Fits!$B$44,Fits!$B$47)*IF(Fits!$B$50="Row",$AQ65,$AR65)+Fits!$B$123))^2/(1-(1/Fits!$B$120+(IF(Fits!$B$50="Row",$AQ65,$AR65)-Fits!$B$121)^2/Fits!$B$122)))&lt;=0,"",($AC65-(IF(Fits!$B$50="Row",Fits!$B$44,Fits!$B$47)*IF(Fits!$B$50="Row",$AQ65,$AR65)+Fits!$B$123))/(SQRT((Fits!$B$129-($AC65-(IF(Fits!$B$50="Row",Fits!$B$44,Fits!$B$47)*IF(Fits!$B$50="Row",$AQ65,$AR65)+Fits!$B$123))^2/(1-(1/Fits!$B$120+(IF(Fits!$B$50="Row",$AQ65,$AR65)-Fits!$B$121)^2/Fits!$B$122)))/(Fits!$B$120-3))*SQRT(1-(1/Fits!$B$120+(IF(Fits!$B$50="Row",$AQ65,$AR65)-Fits!$B$121)^2/Fits!$B$122)))))))</f>
        <v/>
      </c>
      <c r="CD65" s="9" t="str">
        <f aca="false">IF($AU65="","",1)</f>
        <v/>
      </c>
      <c r="CE65" s="24" t="str">
        <f aca="false">IF($AU65="","",$AU65-Fits!$B$133)</f>
        <v/>
      </c>
      <c r="CF65" s="24" t="str">
        <f aca="false">IF($AU65="","",($AV65-(Fits!$B$56*$AU65+Fits!$B$57))-Fits!$B$56*($AU65-Fits!$B$133))</f>
        <v/>
      </c>
      <c r="CG65" s="25" t="str">
        <f aca="false">IF($AU65="","",$AU65^2)</f>
        <v/>
      </c>
      <c r="CH65" s="9" t="str">
        <f aca="false">IF($AW65="","",1)</f>
        <v/>
      </c>
      <c r="CI65" s="24" t="str">
        <f aca="false">IF($AW65="","",$AW65-Fits!$B$153)</f>
        <v/>
      </c>
      <c r="CJ65" s="24" t="str">
        <f aca="false">IF($AW65="","",($AX65-(Fits!$B$63*$AW65+Fits!$B$64))-Fits!$B$63*($AW65-Fits!$B$153))</f>
        <v/>
      </c>
      <c r="CK65" s="25" t="str">
        <f aca="false">IF($AW65="","",$AW65^2)</f>
        <v/>
      </c>
      <c r="CL65" s="26" t="str">
        <f aca="false">IF(OR($Z65="",Fits!$B$55&lt;3,Fits!$B$133="",Fits!$B$134="",Fits!$B$134=0,Fits!$B$136=""),"",SQRT((Fits!$B$136*Fits!$B$56)^2+SUMPRODUCT((Fits!$J$163:$J$175*(Fits!$B$163:$B$175/Fits!$B$55+Fits!$H$163:$H$175*($Z65-Fits!$B$133)/Fits!$B$134))^2)+SUMPRODUCT((Fits!$G$163:$G$175*(($Z65-Fits!$B$133)*Fits!$I$163:$I$175/Fits!$B$134-Fits!$B$163:$B$175*Fits!$B$56/Fits!$B$55))^2)))</f>
        <v/>
      </c>
      <c r="CM65" s="26" t="str">
        <f aca="false">IF($CL65="","",Setup!$B$32*$CL65)</f>
        <v/>
      </c>
      <c r="CN65" s="26" t="str">
        <f aca="false">IF(OR($AE65="",Fits!$B$62&lt;3,Fits!$B$153="",Fits!$B$154="",Fits!$B$154=0,Fits!$B$156=""),"",SQRT((Fits!$B$156*Fits!$B$63)^2+SUMPRODUCT((Fits!$J$183:$J$195*(Fits!$B$183:$B$195/Fits!$B$62+Fits!$H$183:$H$195*($AE65-Fits!$B$153)/Fits!$B$154))^2)+SUMPRODUCT((Fits!$G$183:$G$195*(($AE65-Fits!$B$153)*Fits!$I$183:$I$195/Fits!$B$154-Fits!$B$183:$B$195*Fits!$B$63/Fits!$B$62))^2)))</f>
        <v/>
      </c>
      <c r="CO65" s="26" t="str">
        <f aca="false">IF($CN65="","",Setup!$B$32*$CN65)</f>
        <v/>
      </c>
      <c r="CP65" s="9" t="n">
        <f aca="false">IF(OR(NOT(ISNUMBER($BJ65)),$EK65=1),$CP64,IF($BJ65&lt;=Setup!$B$26,$CP64+1,0))</f>
        <v>26</v>
      </c>
      <c r="CQ65" s="9" t="str">
        <f aca="false">IF($BT65="","",$A65)</f>
        <v/>
      </c>
      <c r="CR65" s="9" t="str">
        <f aca="false">IF($BW65="","",$A65)</f>
        <v/>
      </c>
      <c r="CS65" s="9" t="str">
        <f aca="false">IF($B65="","",IF(Setup!$A$37="",0,IF(ISNUMBER(SEARCH(Setup!$A$37,$B65)),37,0)))</f>
        <v/>
      </c>
      <c r="CT65" s="9" t="str">
        <f aca="false">IF($B65="","",IF(Setup!$A$38="",0,IF(ISNUMBER(SEARCH(Setup!$A$38,$B65)),38,0)))</f>
        <v/>
      </c>
      <c r="CU65" s="9" t="str">
        <f aca="false">IF($B65="","",IF(Setup!$A$39="",0,IF(ISNUMBER(SEARCH(Setup!$A$39,$B65)),39,0)))</f>
        <v/>
      </c>
      <c r="CV65" s="9" t="str">
        <f aca="false">IF($B65="","",IF(Setup!$A$40="",0,IF(ISNUMBER(SEARCH(Setup!$A$40,$B65)),40,0)))</f>
        <v/>
      </c>
      <c r="CW65" s="9" t="str">
        <f aca="false">IF($B65="","",IF(Setup!$A$41="",0,IF(ISNUMBER(SEARCH(Setup!$A$41,$B65)),41,0)))</f>
        <v/>
      </c>
      <c r="CX65" s="9" t="str">
        <f aca="false">IF($B65="","",IF(Setup!$A$42="",0,IF(ISNUMBER(SEARCH(Setup!$A$42,$B65)),42,0)))</f>
        <v/>
      </c>
      <c r="CY65" s="9" t="str">
        <f aca="false">IF($B65="","",IF(Setup!$A$43="",0,IF(ISNUMBER(SEARCH(Setup!$A$43,$B65)),43,0)))</f>
        <v/>
      </c>
      <c r="CZ65" s="9" t="str">
        <f aca="false">IF($B65="","",IF(Setup!$A$44="",0,IF(ISNUMBER(SEARCH(Setup!$A$44,$B65)),44,0)))</f>
        <v/>
      </c>
      <c r="DA65" s="9" t="str">
        <f aca="false">IF($B65="","",IF(Setup!$A$45="",0,IF(ISNUMBER(SEARCH(Setup!$A$45,$B65)),45,0)))</f>
        <v/>
      </c>
      <c r="DB65" s="9" t="str">
        <f aca="false">IF($B65="","",IF(Setup!$A$46="",0,IF(ISNUMBER(SEARCH(Setup!$A$46,$B65)),46,0)))</f>
        <v/>
      </c>
      <c r="DC65" s="9" t="str">
        <f aca="false">IF($B65="","",IF(Setup!$A$47="",0,IF(ISNUMBER(SEARCH(Setup!$A$47,$B65)),47,0)))</f>
        <v/>
      </c>
      <c r="DD65" s="9" t="str">
        <f aca="false">IF($B65="","",IF(Setup!$A$48="",0,IF(ISNUMBER(SEARCH(Setup!$A$48,$B65)),48,0)))</f>
        <v/>
      </c>
      <c r="DE65" s="9" t="str">
        <f aca="false">IF($B65="","",IF(Setup!$A$49="",0,IF(ISNUMBER(SEARCH(Setup!$A$49,$B65)),49,0)))</f>
        <v/>
      </c>
      <c r="DF65" s="9" t="e">
        <f aca="false">IF($B65="",NA(),$A65)</f>
        <v>#N/A</v>
      </c>
      <c r="DG65" s="9" t="e">
        <f aca="false">IF($BI65="",NA(),$BI65)</f>
        <v>#N/A</v>
      </c>
      <c r="DH65" s="9" t="e">
        <f aca="false">IF($N65="",NA(),$N65)</f>
        <v>#N/A</v>
      </c>
      <c r="DI65" s="9" t="e">
        <f aca="false">IF(AND($D65="Drift",$N65&lt;&gt;""),$N65,NA())</f>
        <v>#N/A</v>
      </c>
      <c r="DJ65" s="9" t="str">
        <f aca="false">IF(AND($D65="Drift",$N65&lt;&gt;""),$N65,"")</f>
        <v/>
      </c>
      <c r="DK65" s="9" t="str">
        <f aca="false">IF($DJ65="","",$A65)</f>
        <v/>
      </c>
      <c r="DL65" s="9" t="e">
        <f aca="false">IF($AN65="",NA(),$AM65)</f>
        <v>#N/A</v>
      </c>
      <c r="DM65" s="9" t="e">
        <f aca="false">IF($AN65="",NA(),$AN65)</f>
        <v>#N/A</v>
      </c>
      <c r="DN65" s="9" t="e">
        <f aca="false">IF(AND($D65="Sample",$L65&lt;&gt;""),$L65,NA())</f>
        <v>#N/A</v>
      </c>
      <c r="DO65" s="9" t="e">
        <f aca="false">IF(AND($D65="Sample",$L65&lt;&gt;"",Fits!$B$98&lt;&gt;""),Fits!$B$98,NA())</f>
        <v>#N/A</v>
      </c>
      <c r="DP65" s="9" t="e">
        <f aca="false">IF($AS65="",NA(),$AS65)</f>
        <v>#N/A</v>
      </c>
      <c r="DQ65" s="9" t="e">
        <f aca="false">IF(AND($D65="Drift",$AS65="",$X65&lt;&gt;""),$X65,NA())</f>
        <v>#N/A</v>
      </c>
      <c r="DR65" s="9" t="e">
        <f aca="false">IF(AND($D65="Drift",$Z65&lt;&gt;""),$Z65,NA())</f>
        <v>#N/A</v>
      </c>
      <c r="DS65" s="9" t="e">
        <f aca="false">IF(AND(OR($D65="Sample",$D65="Check"),$AA65&lt;&gt;""),$AA65,NA())</f>
        <v>#N/A</v>
      </c>
      <c r="DT65" s="9" t="e">
        <f aca="false">IF(OR($B65="",Fits!$B$138=""),NA(),Fits!$B$138)</f>
        <v>#N/A</v>
      </c>
      <c r="DU65" s="9" t="e">
        <f aca="false">IF(OR($B65="",Fits!$B$139=""),NA(),Fits!$B$139)</f>
        <v>#N/A</v>
      </c>
      <c r="DV65" s="9" t="e">
        <f aca="false">IF($BT65="",NA(),$BT65)</f>
        <v>#N/A</v>
      </c>
      <c r="DW65" s="9" t="e">
        <f aca="false">IF($AP65="",NA(),$AO65)</f>
        <v>#N/A</v>
      </c>
      <c r="DX65" s="9" t="e">
        <f aca="false">IF($AP65="",NA(),$AP65)</f>
        <v>#N/A</v>
      </c>
      <c r="DY65" s="9" t="e">
        <f aca="false">IF(AND($D65="Sample",$P65&lt;&gt;""),$P65,NA())</f>
        <v>#N/A</v>
      </c>
      <c r="DZ65" s="9" t="e">
        <f aca="false">IF(AND($D65="Sample",$P65&lt;&gt;"",Fits!$B$105&lt;&gt;""),Fits!$B$105,NA())</f>
        <v>#N/A</v>
      </c>
      <c r="EA65" s="9" t="e">
        <f aca="false">IF($AT65="",NA(),$AT65)</f>
        <v>#N/A</v>
      </c>
      <c r="EB65" s="9" t="e">
        <f aca="false">IF(AND($D65="Drift",$AT65="",$AC65&lt;&gt;""),$AC65,NA())</f>
        <v>#N/A</v>
      </c>
      <c r="EC65" s="9" t="e">
        <f aca="false">IF(AND($D65="Drift",$AE65&lt;&gt;""),$AE65,NA())</f>
        <v>#N/A</v>
      </c>
      <c r="ED65" s="9" t="e">
        <f aca="false">IF(AND(OR($D65="Sample",$D65="Check"),$AF65&lt;&gt;""),$AF65,NA())</f>
        <v>#N/A</v>
      </c>
      <c r="EE65" s="9" t="e">
        <f aca="false">IF(OR($B65="",Fits!$B$158=""),NA(),Fits!$B$158)</f>
        <v>#N/A</v>
      </c>
      <c r="EF65" s="9" t="e">
        <f aca="false">IF(OR($B65="",Fits!$B$159=""),NA(),Fits!$B$159)</f>
        <v>#N/A</v>
      </c>
      <c r="EG65" s="9" t="e">
        <f aca="false">IF($BW65="",NA(),$BW65)</f>
        <v>#N/A</v>
      </c>
      <c r="EH65" s="9" t="e">
        <f aca="false">IF(AND($EN65=1,ISNUMBER($N65)),$N65,NA())</f>
        <v>#N/A</v>
      </c>
      <c r="EI65" s="9" t="str">
        <f aca="false">IF($B65="","",$A65)</f>
        <v/>
      </c>
      <c r="EJ65" s="9" t="n">
        <f aca="false">IF(OR(AND(ISNUMBER($L65),Fits!$B$97&gt;0,$L65&gt;Fits!$B$97),AND(ISNUMBER($P65),Fits!$B$104&gt;0,$P65&gt;Fits!$B$104)),1,0)</f>
        <v>0</v>
      </c>
      <c r="EK65" s="9" t="n">
        <f aca="false">IF(OR($EJ64=1,$EJ63=1),1,0)</f>
        <v>0</v>
      </c>
      <c r="EL65" s="22" t="n">
        <f aca="false">IF(AND($EK65=0,ISNUMBER($N65)),$N65,$EL64)</f>
        <v>25.7</v>
      </c>
      <c r="EM65" s="9" t="str">
        <f aca="false">IF(AND($EK65=1,ISNUMBER($N65),ISNUMBER($EL65)),$N65-$EL65,"")</f>
        <v/>
      </c>
      <c r="EN65" s="9" t="n">
        <f aca="false">IF(Setup!$B$28="",0,IF(ISNUMBER($EM65),IF($EM65&gt;Setup!$B$28,1,0),0))</f>
        <v>0</v>
      </c>
      <c r="EO65" s="9" t="str">
        <f aca="false">IF($EN65=1,COUNTIF($EN$6:$EN65,1),"")</f>
        <v/>
      </c>
      <c r="EP65" s="9" t="n">
        <f aca="false">IF(AND($EJ64=1,OR($D65="Sample",$D65="Check")),1,0)</f>
        <v>0</v>
      </c>
      <c r="EQ65" s="9" t="str">
        <f aca="false">IF(ISNUMBER($BI65),IF(COUNT($BI$6:$BI65)&lt;=5,$BI65,""),"")</f>
        <v/>
      </c>
      <c r="ER65" s="9" t="n">
        <f aca="false">IF(OR(NOT(ISNUMBER($BJ65)),$EK65=1),$ER64,IF($BJ65&lt;=Setup!$B$26,IF($CP64=0,$A65,$ER64),""))</f>
        <v>27</v>
      </c>
    </row>
    <row r="66" customFormat="false" ht="15" hidden="false" customHeight="false" outlineLevel="0" collapsed="false">
      <c r="A66" s="8" t="n">
        <v>61</v>
      </c>
      <c r="B66" s="8" t="str">
        <f aca="false">IFERROR(INDEX(Raw!$B$2:$B$1001,MATCH($A66,Raw!$A$2:$A$1001,0)),"")</f>
        <v/>
      </c>
      <c r="C66" s="9" t="str">
        <f aca="false">IF($B66="","",MAX($CS66:$DE66))</f>
        <v/>
      </c>
      <c r="D66" s="8" t="str">
        <f aca="false">IF($B66="","",IF($C66=0,"Sample",INDEX(Setup!$B$37:$B$49,$C66-36)))</f>
        <v/>
      </c>
      <c r="E66" s="16" t="str">
        <f aca="false">IF($B66="","",IFERROR(IF(INDEX(Raw!$E$2:$E$1001,MATCH($A66,Raw!$A$2:$A$1001,0))=0,"",INDEX(Raw!$E$2:$E$1001,MATCH($A66,Raw!$A$2:$A$1001,0))),""))</f>
        <v/>
      </c>
      <c r="F66" s="18"/>
      <c r="G66" s="16" t="str">
        <f aca="false">IF($B66="","",IF($F66&lt;&gt;"",$F66,IF($E66="","",$E66)))</f>
        <v/>
      </c>
      <c r="H66" s="9" t="str">
        <f aca="false">IF($B66="","",SUMPRODUCT(MAX((Raw!$A$2:$A$1001=$A66)*(Raw!$R$2:$R$1001="N")*Raw!$D$2:$D$1001)))</f>
        <v/>
      </c>
      <c r="I66" s="9" t="str">
        <f aca="false">IF(OR($H66="",$H66=0),"",$A66&amp;"|N|"&amp;$H66)</f>
        <v/>
      </c>
      <c r="J66" s="9" t="str">
        <f aca="false">IF($B66="","",SUMPRODUCT(MIN((Raw!$A$2:$A$1001=$A66)*(Raw!$R$2:$R$1001="C")*Raw!$D$2:$D$1001+(1-(Raw!$A$2:$A$1001=$A66)*(Raw!$R$2:$R$1001="C"))*9999)))</f>
        <v/>
      </c>
      <c r="K66" s="9" t="str">
        <f aca="false">IF(OR($J66="",$J66=0,$J66=9999),"",$A66&amp;"|C|"&amp;$J66)</f>
        <v/>
      </c>
      <c r="L66" s="16" t="str">
        <f aca="false">IF($I66="","",IF(INDEX(Raw!$I$2:$I$1001,MATCH($I66,Raw!$S$2:$S$1001,0))&lt;&gt;0,"",INDEX(Raw!$H$2:$H$1001,MATCH($I66,Raw!$S$2:$S$1001,0))))</f>
        <v/>
      </c>
      <c r="M66" s="19" t="str">
        <f aca="false">IF($I66="","",IF(INDEX(Raw!$I$2:$I$1001,MATCH($I66,Raw!$S$2:$S$1001,0))&lt;&gt;0,"",INDEX(Raw!$F$2:$F$1001,MATCH($I66,Raw!$S$2:$S$1001,0))))</f>
        <v/>
      </c>
      <c r="N66" s="20" t="str">
        <f aca="false">IF($I66="","",IF(INDEX(Raw!$I$2:$I$1001,MATCH($I66,Raw!$S$2:$S$1001,0))&lt;&gt;0,"",INDEX(Raw!$G$2:$G$1001,MATCH($I66,Raw!$S$2:$S$1001,0))))</f>
        <v/>
      </c>
      <c r="O66" s="16" t="str">
        <f aca="false">IF($I66="","",IF(INDEX(Raw!$I$2:$I$1001,MATCH($I66,Raw!$S$2:$S$1001,0))&lt;&gt;0,"",INDEX(Raw!$N$2:$N$1001,MATCH($I66,Raw!$S$2:$S$1001,0))))</f>
        <v/>
      </c>
      <c r="P66" s="16" t="str">
        <f aca="false">IF($K66="","",IF(INDEX(Raw!$I$2:$I$1001,MATCH($K66,Raw!$S$2:$S$1001,0))&lt;&gt;0,"",INDEX(Raw!$K$2:$K$1001,MATCH($K66,Raw!$S$2:$S$1001,0))))</f>
        <v/>
      </c>
      <c r="Q66" s="19" t="str">
        <f aca="false">IF($K66="","",IF(INDEX(Raw!$I$2:$I$1001,MATCH($K66,Raw!$S$2:$S$1001,0))&lt;&gt;0,"",INDEX(Raw!$J$2:$J$1001,MATCH($K66,Raw!$S$2:$S$1001,0))))</f>
        <v/>
      </c>
      <c r="R66" s="16" t="str">
        <f aca="false">IF($K66="","",IF(INDEX(Raw!$I$2:$I$1001,MATCH($K66,Raw!$S$2:$S$1001,0))&lt;&gt;0,"",INDEX(Raw!$O$2:$O$1001,MATCH($K66,Raw!$S$2:$S$1001,0))))</f>
        <v/>
      </c>
      <c r="S66" s="21" t="str">
        <f aca="false">IF($B66="","",IF($C66=0,"",IF(INDEX(Setup!$D$37:$D$49,$C66-36)="","",INDEX(Setup!$D$37:$D$49,$C66-36))))</f>
        <v/>
      </c>
      <c r="T66" s="21" t="str">
        <f aca="false">IF($B66="","",IF($C66=0,"",IF(INDEX(Setup!$C$37:$C$49,$C66-36)="","",INDEX(Setup!$C$37:$C$49,$C66-36))))</f>
        <v/>
      </c>
      <c r="U66" s="21" t="str">
        <f aca="false">IF($B66="","",IF($C66=0,"",IF(INDEX(Setup!$F$37:$F$49,$C66-36)="","",INDEX(Setup!$F$37:$F$49,$C66-36))))</f>
        <v/>
      </c>
      <c r="V66" s="21" t="str">
        <f aca="false">IF($B66="","",IF($C66=0,"",IF(INDEX(Setup!$E$37:$E$49,$C66-36)="","",INDEX(Setup!$E$37:$E$49,$C66-36))))</f>
        <v/>
      </c>
      <c r="W66" s="16" t="str">
        <f aca="false">IF($O66="","",IF(OR(Fits!$C$5&lt;&gt;"Yes",$D66="Blank",$L66&lt;=Fits!$B$6),$O66,($L66*$O66-Fits!$B$6*Fits!$B$7)/($L66-Fits!$B$6)))</f>
        <v/>
      </c>
      <c r="X66" s="16" t="str">
        <f aca="false">IF($W66="","",$W66-Fits!$B$20*($L66-Fits!$B$16))</f>
        <v/>
      </c>
      <c r="Y66" s="22" t="str">
        <f aca="false">IF($W66="","",IF(OR(Fits!$B$38="Row",$BI66=""),$A66,$BI66))</f>
        <v/>
      </c>
      <c r="Z66" s="16" t="str">
        <f aca="false">IF($X66="","",$X66-Fits!$B$39*($Y66-Fits!$B$40))</f>
        <v/>
      </c>
      <c r="AA66" s="23" t="str">
        <f aca="false">IF(OR($Z66="",Fits!$B$55&lt;2),"",Fits!$B$56*$Z66+Fits!$B$57)</f>
        <v/>
      </c>
      <c r="AB66" s="16" t="str">
        <f aca="false">IF($R66="","",IF(OR(Fits!$C$9&lt;&gt;"Yes",$D66="Blank",$P66&lt;=Fits!$B$10),$R66,($P66*$R66-Fits!$B$10*Fits!$B$11)/($P66-Fits!$B$10)))</f>
        <v/>
      </c>
      <c r="AC66" s="16" t="str">
        <f aca="false">IF($AB66="","",$AB66-Fits!$B$28*($P66-Fits!$B$24))</f>
        <v/>
      </c>
      <c r="AD66" s="22" t="str">
        <f aca="false">IF($AB66="","",IF(OR(Fits!$B$50="Row",$BI66=""),$A66,$BI66))</f>
        <v/>
      </c>
      <c r="AE66" s="16" t="str">
        <f aca="false">IF($AC66="","",$AC66-Fits!$B$51*($AD66-Fits!$B$52))</f>
        <v/>
      </c>
      <c r="AF66" s="23" t="str">
        <f aca="false">IF(OR($AE66="",Fits!$B$62&lt;2),"",Fits!$B$63*$AE66+Fits!$B$64)</f>
        <v/>
      </c>
      <c r="AG66" s="21" t="str">
        <f aca="false">IF(OR($L66="",Fits!$B$69&lt;3),"",($L66-Fits!$B$71)/Fits!$B$70)</f>
        <v/>
      </c>
      <c r="AH66" s="21" t="str">
        <f aca="false">IF(OR($P66="",Fits!$B$75&lt;3),"",($P66-Fits!$B$77)/Fits!$B$76)</f>
        <v/>
      </c>
      <c r="AI66" s="23" t="str">
        <f aca="false">IF(OR($AG66="",$G66="",$G66=0),"",$AG66/($G66*1000)*100)</f>
        <v/>
      </c>
      <c r="AJ66" s="23" t="str">
        <f aca="false">IF(OR($AH66="",$G66="",$G66=0),"",$AH66/($G66*1000)*100)</f>
        <v/>
      </c>
      <c r="AK66" s="23" t="str">
        <f aca="false">IF(OR($AG66="",$AH66="",$AG66&lt;=0),"",($AH66/Setup!$B$52)/($AG66/Setup!$B$53))</f>
        <v/>
      </c>
      <c r="AL66" s="23" t="str">
        <f aca="false">IF(OR($AG66="",$AH66="",$AG66&lt;=0),"",$AH66/$AG66)</f>
        <v/>
      </c>
      <c r="AM66" s="9" t="str">
        <f aca="false">IF($D66="Linearity",IF($L66="","",$L66),"")</f>
        <v/>
      </c>
      <c r="AN66" s="9" t="str">
        <f aca="false">IF($D66="Linearity",IF($W66="","",$W66),"")</f>
        <v/>
      </c>
      <c r="AO66" s="9" t="str">
        <f aca="false">IF($D66="Linearity",IF($P66="","",$P66),"")</f>
        <v/>
      </c>
      <c r="AP66" s="9" t="str">
        <f aca="false">IF($D66="Linearity",IF($AB66="","",$AB66),"")</f>
        <v/>
      </c>
      <c r="AQ66" s="9" t="str">
        <f aca="false">IF($D66="Drift",IF($A66&lt;IF(Setup!$B$14="",0,Setup!$B$14),"",$A66),"")</f>
        <v/>
      </c>
      <c r="AR66" s="9" t="str">
        <f aca="false">IF($D66="Drift",IF($A66&lt;IF(Setup!$B$14="",0,Setup!$B$14),"",IF($BI66="","",$BI66)),"")</f>
        <v/>
      </c>
      <c r="AS66" s="9" t="str">
        <f aca="false">IF($D66="Drift",IF($A66&lt;IF(Setup!$B$14="",0,Setup!$B$14),"",IF(OR($X66="",$BX66=1),"",$X66)),"")</f>
        <v/>
      </c>
      <c r="AT66" s="9" t="str">
        <f aca="false">IF($D66="Drift",IF($A66&lt;IF(Setup!$B$14="",0,Setup!$B$14),"",IF(OR($AC66="",$BY66=1),"",$AC66)),"")</f>
        <v/>
      </c>
      <c r="AU66" s="9" t="str">
        <f aca="false">IF($D66="Anchor",IF(OR($Z66="",$S66=""),"",$Z66),"")</f>
        <v/>
      </c>
      <c r="AV66" s="9" t="str">
        <f aca="false">IF($D66="Anchor",IF(OR($Z66="",$S66=""),"",$S66),"")</f>
        <v/>
      </c>
      <c r="AW66" s="9" t="str">
        <f aca="false">IF($D66="Anchor",IF(OR($AE66="",$T66=""),"",$AE66),"")</f>
        <v/>
      </c>
      <c r="AX66" s="9" t="str">
        <f aca="false">IF($D66="Anchor",IF(OR($AE66="",$T66=""),"",$T66),"")</f>
        <v/>
      </c>
      <c r="AY66" s="9" t="str">
        <f aca="false">IF(OR($D66="Blank",$D66="Exclude",$D66="Sample",$D66="",$G66="",$U66="",$L66=""),"",$G66*1000*$U66/100)</f>
        <v/>
      </c>
      <c r="AZ66" s="9" t="str">
        <f aca="false">IF($AY66="","",$L66)</f>
        <v/>
      </c>
      <c r="BA66" s="9" t="str">
        <f aca="false">IF(OR($D66="Blank",$D66="Exclude",$D66="Sample",$D66="",$G66="",$V66="",$P66=""),"",$G66*1000*$V66/100)</f>
        <v/>
      </c>
      <c r="BB66" s="9" t="str">
        <f aca="false">IF($BA66="","",$P66)</f>
        <v/>
      </c>
      <c r="BC66" s="9" t="str">
        <f aca="false">IF(AND($D66="Blank",$L66&lt;&gt;""),$O66,"")</f>
        <v/>
      </c>
      <c r="BD66" s="9" t="str">
        <f aca="false">IF($BC66="","",$L66)</f>
        <v/>
      </c>
      <c r="BE66" s="9" t="str">
        <f aca="false">IF(AND($D66="Blank",$P66&lt;&gt;""),$R66,"")</f>
        <v/>
      </c>
      <c r="BF66" s="9" t="str">
        <f aca="false">IF($BE66="","",$P66)</f>
        <v/>
      </c>
      <c r="BG66" s="9" t="str">
        <f aca="false">IF(AND($D66="Drift",$BX66&lt;&gt;1),IF($AA66="","",$AA66),"")</f>
        <v/>
      </c>
      <c r="BH66" s="9" t="str">
        <f aca="false">IF(AND($D66="Drift",$BY66&lt;&gt;1),IF($AF66="","",$AF66),"")</f>
        <v/>
      </c>
      <c r="BI66" s="20" t="str">
        <f aca="false">IF($B66="","",IFERROR(INDEX(Raw!$G$2:$G$1001,MATCH($A66&amp;"|N|"&amp;SUMPRODUCT(MAX((Raw!$A$2:$A$1001=$A66)*(Raw!$R$2:$R$1001="N")*(Raw!$I$2:$I$1001=1)*Raw!$D$2:$D$1001)),Raw!$S$2:$S$1001,0)),""))</f>
        <v/>
      </c>
      <c r="BJ66" s="21" t="str">
        <f aca="false">IF(OR($BI66="",Fits!$B$85&lt;=0),"",($BI66-Fits!$B$83)/Fits!$B$85)</f>
        <v/>
      </c>
      <c r="BK66" s="9" t="str">
        <f aca="false">IF($AS66="","",IF($A66&gt;=Fits!$B$86,"",$A66))</f>
        <v/>
      </c>
      <c r="BL66" s="9" t="str">
        <f aca="false">IF($BK66="","",$X66)</f>
        <v/>
      </c>
      <c r="BM66" s="9" t="str">
        <f aca="false">IF($AS66="","",IF($A66&lt;Fits!$B$86,"",$A66))</f>
        <v/>
      </c>
      <c r="BN66" s="9" t="str">
        <f aca="false">IF($BM66="","",$X66)</f>
        <v/>
      </c>
      <c r="BO66" s="9" t="str">
        <f aca="false">IF(AND($D66="Drift",$BX66&lt;&gt;1),IF($O66="","",$O66),"")</f>
        <v/>
      </c>
      <c r="BP66" s="9" t="str">
        <f aca="false">IF(AND($D66="Drift",$BX66&lt;&gt;1),IF($W66="","",$W66),"")</f>
        <v/>
      </c>
      <c r="BQ66" s="9" t="str">
        <f aca="false">IF(AND($D66="Drift",$BX66&lt;&gt;1),IF($X66="","",$X66),"")</f>
        <v/>
      </c>
      <c r="BR66" s="9" t="str">
        <f aca="false">IF(AND($D66="Drift",$BX66&lt;&gt;1),IF($Z66="","",$Z66),"")</f>
        <v/>
      </c>
      <c r="BS66" s="9" t="str">
        <f aca="false">IF(OR($B66="",$H66=""),"",SUMPRODUCT(MIN((Raw!$A$2:$A$1001=$A66)*(Raw!$R$2:$R$1001="N")*(Raw!$I$2:$I$1001=0)*(Raw!$D$2:$D$1001&lt;$H66)*Raw!$D$2:$D$1001+(1-(Raw!$A$2:$A$1001=$A66)*(Raw!$R$2:$R$1001="N")*(Raw!$I$2:$I$1001=0)*(Raw!$D$2:$D$1001&lt;$H66))*9999)))</f>
        <v/>
      </c>
      <c r="BT66" s="16" t="str">
        <f aca="false">IF(OR($BS66="",$BS66=9999,$BS66=0),"",IFERROR(INDEX(Raw!$N$2:$N$1001,MATCH($A66&amp;"|N|"&amp;$BS66,Raw!$S$2:$S$1001,0)),""))</f>
        <v/>
      </c>
      <c r="BU66" s="9" t="str">
        <f aca="false">IF($B66="","",SUMPRODUCT(MIN((Raw!$A$2:$A$1001=$A66)*(Raw!$R$2:$R$1001="C")*(Raw!$I$2:$I$1001=1)*Raw!$D$2:$D$1001+(1-(Raw!$A$2:$A$1001=$A66)*(Raw!$R$2:$R$1001="C")*(Raw!$I$2:$I$1001=1))*9999)))</f>
        <v/>
      </c>
      <c r="BV66" s="9" t="str">
        <f aca="false">IF(OR($BU66="",$BU66=9999),"",SUMPRODUCT(MIN((Raw!$A$2:$A$1001=$A66)*(Raw!$R$2:$R$1001="C")*(Raw!$I$2:$I$1001=0)*(Raw!$D$2:$D$1001&gt;$BU66)*Raw!$D$2:$D$1001+(1-(Raw!$A$2:$A$1001=$A66)*(Raw!$R$2:$R$1001="C")*(Raw!$I$2:$I$1001=0)*(Raw!$D$2:$D$1001&gt;$BU66))*9999)))</f>
        <v/>
      </c>
      <c r="BW66" s="16" t="str">
        <f aca="false">IF(OR($BV66="",$BV66=9999,$BV66=0),"",IFERROR(INDEX(Raw!$O$2:$O$1001,MATCH($A66&amp;"|C|"&amp;$BV66,Raw!$S$2:$S$1001,0)),""))</f>
        <v/>
      </c>
      <c r="BX66" s="9" t="str">
        <f aca="false">IF($B66="","",IF(ISNUMBER(SEARCH(","&amp;$A66&amp;",",","&amp;SUBSTITUTE(Setup!$B$16," ","")&amp;",")),1,0))</f>
        <v/>
      </c>
      <c r="BY66" s="9" t="str">
        <f aca="false">IF($B66="","",IF(ISNUMBER(SEARCH(","&amp;$A66&amp;",",","&amp;SUBSTITUTE(Setup!$B$17," ","")&amp;",")),1,0))</f>
        <v/>
      </c>
      <c r="BZ66" s="22" t="str">
        <f aca="false">IF($AS66="","",IF(Fits!$B$38="Row",$AQ66,IF($AR66="","",$AR66)))</f>
        <v/>
      </c>
      <c r="CA66" s="22" t="str">
        <f aca="false">IF($AT66="","",IF(Fits!$B$50="Row",$AQ66,IF($AR66="","",$AR66)))</f>
        <v/>
      </c>
      <c r="CB66" s="20" t="str">
        <f aca="false">IF(OR($D66&lt;&gt;"Drift",$X66="",$A66&lt;IF(Setup!$B$14="",0,Setup!$B$14),Fits!$B$107&lt;3,Fits!$B$110="",Fits!$B$109=0,IF(Fits!$B$38="Row",$AQ66,$AR66)=""),"",IF($BX66=1,IF(OR(Fits!$B$111="",Fits!$B$111=0),"",($X66-(IF(Fits!$B$38="Row",Fits!$B$32,Fits!$B$35)*IF(Fits!$B$38="Row",$AQ66,$AR66)+Fits!$B$110))/(Fits!$B$111*SQRT(1+(1/Fits!$B$107+(IF(Fits!$B$38="Row",$AQ66,$AR66)-Fits!$B$108)^2/Fits!$B$109)))),IF(OR(Fits!$B$107&lt;4,(1/Fits!$B$107+(IF(Fits!$B$38="Row",$AQ66,$AR66)-Fits!$B$108)^2/Fits!$B$109)&gt;=1),"",IF((Fits!$B$116-($X66-(IF(Fits!$B$38="Row",Fits!$B$32,Fits!$B$35)*IF(Fits!$B$38="Row",$AQ66,$AR66)+Fits!$B$110))^2/(1-(1/Fits!$B$107+(IF(Fits!$B$38="Row",$AQ66,$AR66)-Fits!$B$108)^2/Fits!$B$109)))&lt;=0,"",($X66-(IF(Fits!$B$38="Row",Fits!$B$32,Fits!$B$35)*IF(Fits!$B$38="Row",$AQ66,$AR66)+Fits!$B$110))/(SQRT((Fits!$B$116-($X66-(IF(Fits!$B$38="Row",Fits!$B$32,Fits!$B$35)*IF(Fits!$B$38="Row",$AQ66,$AR66)+Fits!$B$110))^2/(1-(1/Fits!$B$107+(IF(Fits!$B$38="Row",$AQ66,$AR66)-Fits!$B$108)^2/Fits!$B$109)))/(Fits!$B$107-3))*SQRT(1-(1/Fits!$B$107+(IF(Fits!$B$38="Row",$AQ66,$AR66)-Fits!$B$108)^2/Fits!$B$109)))))))</f>
        <v/>
      </c>
      <c r="CC66" s="20" t="str">
        <f aca="false">IF(OR($D66&lt;&gt;"Drift",$AC66="",$A66&lt;IF(Setup!$B$14="",0,Setup!$B$14),Fits!$B$120&lt;3,Fits!$B$123="",Fits!$B$122=0,IF(Fits!$B$50="Row",$AQ66,$AR66)=""),"",IF($BY66=1,IF(OR(Fits!$B$124="",Fits!$B$124=0),"",($AC66-(IF(Fits!$B$50="Row",Fits!$B$44,Fits!$B$47)*IF(Fits!$B$50="Row",$AQ66,$AR66)+Fits!$B$123))/(Fits!$B$124*SQRT(1+(1/Fits!$B$120+(IF(Fits!$B$50="Row",$AQ66,$AR66)-Fits!$B$121)^2/Fits!$B$122)))),IF(OR(Fits!$B$120&lt;4,(1/Fits!$B$120+(IF(Fits!$B$50="Row",$AQ66,$AR66)-Fits!$B$121)^2/Fits!$B$122)&gt;=1),"",IF((Fits!$B$129-($AC66-(IF(Fits!$B$50="Row",Fits!$B$44,Fits!$B$47)*IF(Fits!$B$50="Row",$AQ66,$AR66)+Fits!$B$123))^2/(1-(1/Fits!$B$120+(IF(Fits!$B$50="Row",$AQ66,$AR66)-Fits!$B$121)^2/Fits!$B$122)))&lt;=0,"",($AC66-(IF(Fits!$B$50="Row",Fits!$B$44,Fits!$B$47)*IF(Fits!$B$50="Row",$AQ66,$AR66)+Fits!$B$123))/(SQRT((Fits!$B$129-($AC66-(IF(Fits!$B$50="Row",Fits!$B$44,Fits!$B$47)*IF(Fits!$B$50="Row",$AQ66,$AR66)+Fits!$B$123))^2/(1-(1/Fits!$B$120+(IF(Fits!$B$50="Row",$AQ66,$AR66)-Fits!$B$121)^2/Fits!$B$122)))/(Fits!$B$120-3))*SQRT(1-(1/Fits!$B$120+(IF(Fits!$B$50="Row",$AQ66,$AR66)-Fits!$B$121)^2/Fits!$B$122)))))))</f>
        <v/>
      </c>
      <c r="CD66" s="9" t="str">
        <f aca="false">IF($AU66="","",1)</f>
        <v/>
      </c>
      <c r="CE66" s="24" t="str">
        <f aca="false">IF($AU66="","",$AU66-Fits!$B$133)</f>
        <v/>
      </c>
      <c r="CF66" s="24" t="str">
        <f aca="false">IF($AU66="","",($AV66-(Fits!$B$56*$AU66+Fits!$B$57))-Fits!$B$56*($AU66-Fits!$B$133))</f>
        <v/>
      </c>
      <c r="CG66" s="25" t="str">
        <f aca="false">IF($AU66="","",$AU66^2)</f>
        <v/>
      </c>
      <c r="CH66" s="9" t="str">
        <f aca="false">IF($AW66="","",1)</f>
        <v/>
      </c>
      <c r="CI66" s="24" t="str">
        <f aca="false">IF($AW66="","",$AW66-Fits!$B$153)</f>
        <v/>
      </c>
      <c r="CJ66" s="24" t="str">
        <f aca="false">IF($AW66="","",($AX66-(Fits!$B$63*$AW66+Fits!$B$64))-Fits!$B$63*($AW66-Fits!$B$153))</f>
        <v/>
      </c>
      <c r="CK66" s="25" t="str">
        <f aca="false">IF($AW66="","",$AW66^2)</f>
        <v/>
      </c>
      <c r="CL66" s="26" t="str">
        <f aca="false">IF(OR($Z66="",Fits!$B$55&lt;3,Fits!$B$133="",Fits!$B$134="",Fits!$B$134=0,Fits!$B$136=""),"",SQRT((Fits!$B$136*Fits!$B$56)^2+SUMPRODUCT((Fits!$J$163:$J$175*(Fits!$B$163:$B$175/Fits!$B$55+Fits!$H$163:$H$175*($Z66-Fits!$B$133)/Fits!$B$134))^2)+SUMPRODUCT((Fits!$G$163:$G$175*(($Z66-Fits!$B$133)*Fits!$I$163:$I$175/Fits!$B$134-Fits!$B$163:$B$175*Fits!$B$56/Fits!$B$55))^2)))</f>
        <v/>
      </c>
      <c r="CM66" s="26" t="str">
        <f aca="false">IF($CL66="","",Setup!$B$32*$CL66)</f>
        <v/>
      </c>
      <c r="CN66" s="26" t="str">
        <f aca="false">IF(OR($AE66="",Fits!$B$62&lt;3,Fits!$B$153="",Fits!$B$154="",Fits!$B$154=0,Fits!$B$156=""),"",SQRT((Fits!$B$156*Fits!$B$63)^2+SUMPRODUCT((Fits!$J$183:$J$195*(Fits!$B$183:$B$195/Fits!$B$62+Fits!$H$183:$H$195*($AE66-Fits!$B$153)/Fits!$B$154))^2)+SUMPRODUCT((Fits!$G$183:$G$195*(($AE66-Fits!$B$153)*Fits!$I$183:$I$195/Fits!$B$154-Fits!$B$183:$B$195*Fits!$B$63/Fits!$B$62))^2)))</f>
        <v/>
      </c>
      <c r="CO66" s="26" t="str">
        <f aca="false">IF($CN66="","",Setup!$B$32*$CN66)</f>
        <v/>
      </c>
      <c r="CP66" s="9" t="n">
        <f aca="false">IF(OR(NOT(ISNUMBER($BJ66)),$EK66=1),$CP65,IF($BJ66&lt;=Setup!$B$26,$CP65+1,0))</f>
        <v>26</v>
      </c>
      <c r="CQ66" s="9" t="str">
        <f aca="false">IF($BT66="","",$A66)</f>
        <v/>
      </c>
      <c r="CR66" s="9" t="str">
        <f aca="false">IF($BW66="","",$A66)</f>
        <v/>
      </c>
      <c r="CS66" s="9" t="str">
        <f aca="false">IF($B66="","",IF(Setup!$A$37="",0,IF(ISNUMBER(SEARCH(Setup!$A$37,$B66)),37,0)))</f>
        <v/>
      </c>
      <c r="CT66" s="9" t="str">
        <f aca="false">IF($B66="","",IF(Setup!$A$38="",0,IF(ISNUMBER(SEARCH(Setup!$A$38,$B66)),38,0)))</f>
        <v/>
      </c>
      <c r="CU66" s="9" t="str">
        <f aca="false">IF($B66="","",IF(Setup!$A$39="",0,IF(ISNUMBER(SEARCH(Setup!$A$39,$B66)),39,0)))</f>
        <v/>
      </c>
      <c r="CV66" s="9" t="str">
        <f aca="false">IF($B66="","",IF(Setup!$A$40="",0,IF(ISNUMBER(SEARCH(Setup!$A$40,$B66)),40,0)))</f>
        <v/>
      </c>
      <c r="CW66" s="9" t="str">
        <f aca="false">IF($B66="","",IF(Setup!$A$41="",0,IF(ISNUMBER(SEARCH(Setup!$A$41,$B66)),41,0)))</f>
        <v/>
      </c>
      <c r="CX66" s="9" t="str">
        <f aca="false">IF($B66="","",IF(Setup!$A$42="",0,IF(ISNUMBER(SEARCH(Setup!$A$42,$B66)),42,0)))</f>
        <v/>
      </c>
      <c r="CY66" s="9" t="str">
        <f aca="false">IF($B66="","",IF(Setup!$A$43="",0,IF(ISNUMBER(SEARCH(Setup!$A$43,$B66)),43,0)))</f>
        <v/>
      </c>
      <c r="CZ66" s="9" t="str">
        <f aca="false">IF($B66="","",IF(Setup!$A$44="",0,IF(ISNUMBER(SEARCH(Setup!$A$44,$B66)),44,0)))</f>
        <v/>
      </c>
      <c r="DA66" s="9" t="str">
        <f aca="false">IF($B66="","",IF(Setup!$A$45="",0,IF(ISNUMBER(SEARCH(Setup!$A$45,$B66)),45,0)))</f>
        <v/>
      </c>
      <c r="DB66" s="9" t="str">
        <f aca="false">IF($B66="","",IF(Setup!$A$46="",0,IF(ISNUMBER(SEARCH(Setup!$A$46,$B66)),46,0)))</f>
        <v/>
      </c>
      <c r="DC66" s="9" t="str">
        <f aca="false">IF($B66="","",IF(Setup!$A$47="",0,IF(ISNUMBER(SEARCH(Setup!$A$47,$B66)),47,0)))</f>
        <v/>
      </c>
      <c r="DD66" s="9" t="str">
        <f aca="false">IF($B66="","",IF(Setup!$A$48="",0,IF(ISNUMBER(SEARCH(Setup!$A$48,$B66)),48,0)))</f>
        <v/>
      </c>
      <c r="DE66" s="9" t="str">
        <f aca="false">IF($B66="","",IF(Setup!$A$49="",0,IF(ISNUMBER(SEARCH(Setup!$A$49,$B66)),49,0)))</f>
        <v/>
      </c>
      <c r="DF66" s="9" t="e">
        <f aca="false">IF($B66="",NA(),$A66)</f>
        <v>#N/A</v>
      </c>
      <c r="DG66" s="9" t="e">
        <f aca="false">IF($BI66="",NA(),$BI66)</f>
        <v>#N/A</v>
      </c>
      <c r="DH66" s="9" t="e">
        <f aca="false">IF($N66="",NA(),$N66)</f>
        <v>#N/A</v>
      </c>
      <c r="DI66" s="9" t="e">
        <f aca="false">IF(AND($D66="Drift",$N66&lt;&gt;""),$N66,NA())</f>
        <v>#N/A</v>
      </c>
      <c r="DJ66" s="9" t="str">
        <f aca="false">IF(AND($D66="Drift",$N66&lt;&gt;""),$N66,"")</f>
        <v/>
      </c>
      <c r="DK66" s="9" t="str">
        <f aca="false">IF($DJ66="","",$A66)</f>
        <v/>
      </c>
      <c r="DL66" s="9" t="e">
        <f aca="false">IF($AN66="",NA(),$AM66)</f>
        <v>#N/A</v>
      </c>
      <c r="DM66" s="9" t="e">
        <f aca="false">IF($AN66="",NA(),$AN66)</f>
        <v>#N/A</v>
      </c>
      <c r="DN66" s="9" t="e">
        <f aca="false">IF(AND($D66="Sample",$L66&lt;&gt;""),$L66,NA())</f>
        <v>#N/A</v>
      </c>
      <c r="DO66" s="9" t="e">
        <f aca="false">IF(AND($D66="Sample",$L66&lt;&gt;"",Fits!$B$98&lt;&gt;""),Fits!$B$98,NA())</f>
        <v>#N/A</v>
      </c>
      <c r="DP66" s="9" t="e">
        <f aca="false">IF($AS66="",NA(),$AS66)</f>
        <v>#N/A</v>
      </c>
      <c r="DQ66" s="9" t="e">
        <f aca="false">IF(AND($D66="Drift",$AS66="",$X66&lt;&gt;""),$X66,NA())</f>
        <v>#N/A</v>
      </c>
      <c r="DR66" s="9" t="e">
        <f aca="false">IF(AND($D66="Drift",$Z66&lt;&gt;""),$Z66,NA())</f>
        <v>#N/A</v>
      </c>
      <c r="DS66" s="9" t="e">
        <f aca="false">IF(AND(OR($D66="Sample",$D66="Check"),$AA66&lt;&gt;""),$AA66,NA())</f>
        <v>#N/A</v>
      </c>
      <c r="DT66" s="9" t="e">
        <f aca="false">IF(OR($B66="",Fits!$B$138=""),NA(),Fits!$B$138)</f>
        <v>#N/A</v>
      </c>
      <c r="DU66" s="9" t="e">
        <f aca="false">IF(OR($B66="",Fits!$B$139=""),NA(),Fits!$B$139)</f>
        <v>#N/A</v>
      </c>
      <c r="DV66" s="9" t="e">
        <f aca="false">IF($BT66="",NA(),$BT66)</f>
        <v>#N/A</v>
      </c>
      <c r="DW66" s="9" t="e">
        <f aca="false">IF($AP66="",NA(),$AO66)</f>
        <v>#N/A</v>
      </c>
      <c r="DX66" s="9" t="e">
        <f aca="false">IF($AP66="",NA(),$AP66)</f>
        <v>#N/A</v>
      </c>
      <c r="DY66" s="9" t="e">
        <f aca="false">IF(AND($D66="Sample",$P66&lt;&gt;""),$P66,NA())</f>
        <v>#N/A</v>
      </c>
      <c r="DZ66" s="9" t="e">
        <f aca="false">IF(AND($D66="Sample",$P66&lt;&gt;"",Fits!$B$105&lt;&gt;""),Fits!$B$105,NA())</f>
        <v>#N/A</v>
      </c>
      <c r="EA66" s="9" t="e">
        <f aca="false">IF($AT66="",NA(),$AT66)</f>
        <v>#N/A</v>
      </c>
      <c r="EB66" s="9" t="e">
        <f aca="false">IF(AND($D66="Drift",$AT66="",$AC66&lt;&gt;""),$AC66,NA())</f>
        <v>#N/A</v>
      </c>
      <c r="EC66" s="9" t="e">
        <f aca="false">IF(AND($D66="Drift",$AE66&lt;&gt;""),$AE66,NA())</f>
        <v>#N/A</v>
      </c>
      <c r="ED66" s="9" t="e">
        <f aca="false">IF(AND(OR($D66="Sample",$D66="Check"),$AF66&lt;&gt;""),$AF66,NA())</f>
        <v>#N/A</v>
      </c>
      <c r="EE66" s="9" t="e">
        <f aca="false">IF(OR($B66="",Fits!$B$158=""),NA(),Fits!$B$158)</f>
        <v>#N/A</v>
      </c>
      <c r="EF66" s="9" t="e">
        <f aca="false">IF(OR($B66="",Fits!$B$159=""),NA(),Fits!$B$159)</f>
        <v>#N/A</v>
      </c>
      <c r="EG66" s="9" t="e">
        <f aca="false">IF($BW66="",NA(),$BW66)</f>
        <v>#N/A</v>
      </c>
      <c r="EH66" s="9" t="e">
        <f aca="false">IF(AND($EN66=1,ISNUMBER($N66)),$N66,NA())</f>
        <v>#N/A</v>
      </c>
      <c r="EI66" s="9" t="str">
        <f aca="false">IF($B66="","",$A66)</f>
        <v/>
      </c>
      <c r="EJ66" s="9" t="n">
        <f aca="false">IF(OR(AND(ISNUMBER($L66),Fits!$B$97&gt;0,$L66&gt;Fits!$B$97),AND(ISNUMBER($P66),Fits!$B$104&gt;0,$P66&gt;Fits!$B$104)),1,0)</f>
        <v>0</v>
      </c>
      <c r="EK66" s="9" t="n">
        <f aca="false">IF(OR($EJ65=1,$EJ64=1),1,0)</f>
        <v>0</v>
      </c>
      <c r="EL66" s="22" t="n">
        <f aca="false">IF(AND($EK66=0,ISNUMBER($N66)),$N66,$EL65)</f>
        <v>25.7</v>
      </c>
      <c r="EM66" s="9" t="str">
        <f aca="false">IF(AND($EK66=1,ISNUMBER($N66),ISNUMBER($EL66)),$N66-$EL66,"")</f>
        <v/>
      </c>
      <c r="EN66" s="9" t="n">
        <f aca="false">IF(Setup!$B$28="",0,IF(ISNUMBER($EM66),IF($EM66&gt;Setup!$B$28,1,0),0))</f>
        <v>0</v>
      </c>
      <c r="EO66" s="9" t="str">
        <f aca="false">IF($EN66=1,COUNTIF($EN$6:$EN66,1),"")</f>
        <v/>
      </c>
      <c r="EP66" s="9" t="n">
        <f aca="false">IF(AND($EJ65=1,OR($D66="Sample",$D66="Check")),1,0)</f>
        <v>0</v>
      </c>
      <c r="EQ66" s="9" t="str">
        <f aca="false">IF(ISNUMBER($BI66),IF(COUNT($BI$6:$BI66)&lt;=5,$BI66,""),"")</f>
        <v/>
      </c>
      <c r="ER66" s="9" t="n">
        <f aca="false">IF(OR(NOT(ISNUMBER($BJ66)),$EK66=1),$ER65,IF($BJ66&lt;=Setup!$B$26,IF($CP65=0,$A66,$ER65),""))</f>
        <v>27</v>
      </c>
    </row>
    <row r="67" customFormat="false" ht="15" hidden="false" customHeight="false" outlineLevel="0" collapsed="false">
      <c r="A67" s="8" t="n">
        <v>62</v>
      </c>
      <c r="B67" s="8" t="str">
        <f aca="false">IFERROR(INDEX(Raw!$B$2:$B$1001,MATCH($A67,Raw!$A$2:$A$1001,0)),"")</f>
        <v/>
      </c>
      <c r="C67" s="9" t="str">
        <f aca="false">IF($B67="","",MAX($CS67:$DE67))</f>
        <v/>
      </c>
      <c r="D67" s="8" t="str">
        <f aca="false">IF($B67="","",IF($C67=0,"Sample",INDEX(Setup!$B$37:$B$49,$C67-36)))</f>
        <v/>
      </c>
      <c r="E67" s="16" t="str">
        <f aca="false">IF($B67="","",IFERROR(IF(INDEX(Raw!$E$2:$E$1001,MATCH($A67,Raw!$A$2:$A$1001,0))=0,"",INDEX(Raw!$E$2:$E$1001,MATCH($A67,Raw!$A$2:$A$1001,0))),""))</f>
        <v/>
      </c>
      <c r="F67" s="18"/>
      <c r="G67" s="16" t="str">
        <f aca="false">IF($B67="","",IF($F67&lt;&gt;"",$F67,IF($E67="","",$E67)))</f>
        <v/>
      </c>
      <c r="H67" s="9" t="str">
        <f aca="false">IF($B67="","",SUMPRODUCT(MAX((Raw!$A$2:$A$1001=$A67)*(Raw!$R$2:$R$1001="N")*Raw!$D$2:$D$1001)))</f>
        <v/>
      </c>
      <c r="I67" s="9" t="str">
        <f aca="false">IF(OR($H67="",$H67=0),"",$A67&amp;"|N|"&amp;$H67)</f>
        <v/>
      </c>
      <c r="J67" s="9" t="str">
        <f aca="false">IF($B67="","",SUMPRODUCT(MIN((Raw!$A$2:$A$1001=$A67)*(Raw!$R$2:$R$1001="C")*Raw!$D$2:$D$1001+(1-(Raw!$A$2:$A$1001=$A67)*(Raw!$R$2:$R$1001="C"))*9999)))</f>
        <v/>
      </c>
      <c r="K67" s="9" t="str">
        <f aca="false">IF(OR($J67="",$J67=0,$J67=9999),"",$A67&amp;"|C|"&amp;$J67)</f>
        <v/>
      </c>
      <c r="L67" s="16" t="str">
        <f aca="false">IF($I67="","",IF(INDEX(Raw!$I$2:$I$1001,MATCH($I67,Raw!$S$2:$S$1001,0))&lt;&gt;0,"",INDEX(Raw!$H$2:$H$1001,MATCH($I67,Raw!$S$2:$S$1001,0))))</f>
        <v/>
      </c>
      <c r="M67" s="19" t="str">
        <f aca="false">IF($I67="","",IF(INDEX(Raw!$I$2:$I$1001,MATCH($I67,Raw!$S$2:$S$1001,0))&lt;&gt;0,"",INDEX(Raw!$F$2:$F$1001,MATCH($I67,Raw!$S$2:$S$1001,0))))</f>
        <v/>
      </c>
      <c r="N67" s="20" t="str">
        <f aca="false">IF($I67="","",IF(INDEX(Raw!$I$2:$I$1001,MATCH($I67,Raw!$S$2:$S$1001,0))&lt;&gt;0,"",INDEX(Raw!$G$2:$G$1001,MATCH($I67,Raw!$S$2:$S$1001,0))))</f>
        <v/>
      </c>
      <c r="O67" s="16" t="str">
        <f aca="false">IF($I67="","",IF(INDEX(Raw!$I$2:$I$1001,MATCH($I67,Raw!$S$2:$S$1001,0))&lt;&gt;0,"",INDEX(Raw!$N$2:$N$1001,MATCH($I67,Raw!$S$2:$S$1001,0))))</f>
        <v/>
      </c>
      <c r="P67" s="16" t="str">
        <f aca="false">IF($K67="","",IF(INDEX(Raw!$I$2:$I$1001,MATCH($K67,Raw!$S$2:$S$1001,0))&lt;&gt;0,"",INDEX(Raw!$K$2:$K$1001,MATCH($K67,Raw!$S$2:$S$1001,0))))</f>
        <v/>
      </c>
      <c r="Q67" s="19" t="str">
        <f aca="false">IF($K67="","",IF(INDEX(Raw!$I$2:$I$1001,MATCH($K67,Raw!$S$2:$S$1001,0))&lt;&gt;0,"",INDEX(Raw!$J$2:$J$1001,MATCH($K67,Raw!$S$2:$S$1001,0))))</f>
        <v/>
      </c>
      <c r="R67" s="16" t="str">
        <f aca="false">IF($K67="","",IF(INDEX(Raw!$I$2:$I$1001,MATCH($K67,Raw!$S$2:$S$1001,0))&lt;&gt;0,"",INDEX(Raw!$O$2:$O$1001,MATCH($K67,Raw!$S$2:$S$1001,0))))</f>
        <v/>
      </c>
      <c r="S67" s="21" t="str">
        <f aca="false">IF($B67="","",IF($C67=0,"",IF(INDEX(Setup!$D$37:$D$49,$C67-36)="","",INDEX(Setup!$D$37:$D$49,$C67-36))))</f>
        <v/>
      </c>
      <c r="T67" s="21" t="str">
        <f aca="false">IF($B67="","",IF($C67=0,"",IF(INDEX(Setup!$C$37:$C$49,$C67-36)="","",INDEX(Setup!$C$37:$C$49,$C67-36))))</f>
        <v/>
      </c>
      <c r="U67" s="21" t="str">
        <f aca="false">IF($B67="","",IF($C67=0,"",IF(INDEX(Setup!$F$37:$F$49,$C67-36)="","",INDEX(Setup!$F$37:$F$49,$C67-36))))</f>
        <v/>
      </c>
      <c r="V67" s="21" t="str">
        <f aca="false">IF($B67="","",IF($C67=0,"",IF(INDEX(Setup!$E$37:$E$49,$C67-36)="","",INDEX(Setup!$E$37:$E$49,$C67-36))))</f>
        <v/>
      </c>
      <c r="W67" s="16" t="str">
        <f aca="false">IF($O67="","",IF(OR(Fits!$C$5&lt;&gt;"Yes",$D67="Blank",$L67&lt;=Fits!$B$6),$O67,($L67*$O67-Fits!$B$6*Fits!$B$7)/($L67-Fits!$B$6)))</f>
        <v/>
      </c>
      <c r="X67" s="16" t="str">
        <f aca="false">IF($W67="","",$W67-Fits!$B$20*($L67-Fits!$B$16))</f>
        <v/>
      </c>
      <c r="Y67" s="22" t="str">
        <f aca="false">IF($W67="","",IF(OR(Fits!$B$38="Row",$BI67=""),$A67,$BI67))</f>
        <v/>
      </c>
      <c r="Z67" s="16" t="str">
        <f aca="false">IF($X67="","",$X67-Fits!$B$39*($Y67-Fits!$B$40))</f>
        <v/>
      </c>
      <c r="AA67" s="23" t="str">
        <f aca="false">IF(OR($Z67="",Fits!$B$55&lt;2),"",Fits!$B$56*$Z67+Fits!$B$57)</f>
        <v/>
      </c>
      <c r="AB67" s="16" t="str">
        <f aca="false">IF($R67="","",IF(OR(Fits!$C$9&lt;&gt;"Yes",$D67="Blank",$P67&lt;=Fits!$B$10),$R67,($P67*$R67-Fits!$B$10*Fits!$B$11)/($P67-Fits!$B$10)))</f>
        <v/>
      </c>
      <c r="AC67" s="16" t="str">
        <f aca="false">IF($AB67="","",$AB67-Fits!$B$28*($P67-Fits!$B$24))</f>
        <v/>
      </c>
      <c r="AD67" s="22" t="str">
        <f aca="false">IF($AB67="","",IF(OR(Fits!$B$50="Row",$BI67=""),$A67,$BI67))</f>
        <v/>
      </c>
      <c r="AE67" s="16" t="str">
        <f aca="false">IF($AC67="","",$AC67-Fits!$B$51*($AD67-Fits!$B$52))</f>
        <v/>
      </c>
      <c r="AF67" s="23" t="str">
        <f aca="false">IF(OR($AE67="",Fits!$B$62&lt;2),"",Fits!$B$63*$AE67+Fits!$B$64)</f>
        <v/>
      </c>
      <c r="AG67" s="21" t="str">
        <f aca="false">IF(OR($L67="",Fits!$B$69&lt;3),"",($L67-Fits!$B$71)/Fits!$B$70)</f>
        <v/>
      </c>
      <c r="AH67" s="21" t="str">
        <f aca="false">IF(OR($P67="",Fits!$B$75&lt;3),"",($P67-Fits!$B$77)/Fits!$B$76)</f>
        <v/>
      </c>
      <c r="AI67" s="23" t="str">
        <f aca="false">IF(OR($AG67="",$G67="",$G67=0),"",$AG67/($G67*1000)*100)</f>
        <v/>
      </c>
      <c r="AJ67" s="23" t="str">
        <f aca="false">IF(OR($AH67="",$G67="",$G67=0),"",$AH67/($G67*1000)*100)</f>
        <v/>
      </c>
      <c r="AK67" s="23" t="str">
        <f aca="false">IF(OR($AG67="",$AH67="",$AG67&lt;=0),"",($AH67/Setup!$B$52)/($AG67/Setup!$B$53))</f>
        <v/>
      </c>
      <c r="AL67" s="23" t="str">
        <f aca="false">IF(OR($AG67="",$AH67="",$AG67&lt;=0),"",$AH67/$AG67)</f>
        <v/>
      </c>
      <c r="AM67" s="9" t="str">
        <f aca="false">IF($D67="Linearity",IF($L67="","",$L67),"")</f>
        <v/>
      </c>
      <c r="AN67" s="9" t="str">
        <f aca="false">IF($D67="Linearity",IF($W67="","",$W67),"")</f>
        <v/>
      </c>
      <c r="AO67" s="9" t="str">
        <f aca="false">IF($D67="Linearity",IF($P67="","",$P67),"")</f>
        <v/>
      </c>
      <c r="AP67" s="9" t="str">
        <f aca="false">IF($D67="Linearity",IF($AB67="","",$AB67),"")</f>
        <v/>
      </c>
      <c r="AQ67" s="9" t="str">
        <f aca="false">IF($D67="Drift",IF($A67&lt;IF(Setup!$B$14="",0,Setup!$B$14),"",$A67),"")</f>
        <v/>
      </c>
      <c r="AR67" s="9" t="str">
        <f aca="false">IF($D67="Drift",IF($A67&lt;IF(Setup!$B$14="",0,Setup!$B$14),"",IF($BI67="","",$BI67)),"")</f>
        <v/>
      </c>
      <c r="AS67" s="9" t="str">
        <f aca="false">IF($D67="Drift",IF($A67&lt;IF(Setup!$B$14="",0,Setup!$B$14),"",IF(OR($X67="",$BX67=1),"",$X67)),"")</f>
        <v/>
      </c>
      <c r="AT67" s="9" t="str">
        <f aca="false">IF($D67="Drift",IF($A67&lt;IF(Setup!$B$14="",0,Setup!$B$14),"",IF(OR($AC67="",$BY67=1),"",$AC67)),"")</f>
        <v/>
      </c>
      <c r="AU67" s="9" t="str">
        <f aca="false">IF($D67="Anchor",IF(OR($Z67="",$S67=""),"",$Z67),"")</f>
        <v/>
      </c>
      <c r="AV67" s="9" t="str">
        <f aca="false">IF($D67="Anchor",IF(OR($Z67="",$S67=""),"",$S67),"")</f>
        <v/>
      </c>
      <c r="AW67" s="9" t="str">
        <f aca="false">IF($D67="Anchor",IF(OR($AE67="",$T67=""),"",$AE67),"")</f>
        <v/>
      </c>
      <c r="AX67" s="9" t="str">
        <f aca="false">IF($D67="Anchor",IF(OR($AE67="",$T67=""),"",$T67),"")</f>
        <v/>
      </c>
      <c r="AY67" s="9" t="str">
        <f aca="false">IF(OR($D67="Blank",$D67="Exclude",$D67="Sample",$D67="",$G67="",$U67="",$L67=""),"",$G67*1000*$U67/100)</f>
        <v/>
      </c>
      <c r="AZ67" s="9" t="str">
        <f aca="false">IF($AY67="","",$L67)</f>
        <v/>
      </c>
      <c r="BA67" s="9" t="str">
        <f aca="false">IF(OR($D67="Blank",$D67="Exclude",$D67="Sample",$D67="",$G67="",$V67="",$P67=""),"",$G67*1000*$V67/100)</f>
        <v/>
      </c>
      <c r="BB67" s="9" t="str">
        <f aca="false">IF($BA67="","",$P67)</f>
        <v/>
      </c>
      <c r="BC67" s="9" t="str">
        <f aca="false">IF(AND($D67="Blank",$L67&lt;&gt;""),$O67,"")</f>
        <v/>
      </c>
      <c r="BD67" s="9" t="str">
        <f aca="false">IF($BC67="","",$L67)</f>
        <v/>
      </c>
      <c r="BE67" s="9" t="str">
        <f aca="false">IF(AND($D67="Blank",$P67&lt;&gt;""),$R67,"")</f>
        <v/>
      </c>
      <c r="BF67" s="9" t="str">
        <f aca="false">IF($BE67="","",$P67)</f>
        <v/>
      </c>
      <c r="BG67" s="9" t="str">
        <f aca="false">IF(AND($D67="Drift",$BX67&lt;&gt;1),IF($AA67="","",$AA67),"")</f>
        <v/>
      </c>
      <c r="BH67" s="9" t="str">
        <f aca="false">IF(AND($D67="Drift",$BY67&lt;&gt;1),IF($AF67="","",$AF67),"")</f>
        <v/>
      </c>
      <c r="BI67" s="20" t="str">
        <f aca="false">IF($B67="","",IFERROR(INDEX(Raw!$G$2:$G$1001,MATCH($A67&amp;"|N|"&amp;SUMPRODUCT(MAX((Raw!$A$2:$A$1001=$A67)*(Raw!$R$2:$R$1001="N")*(Raw!$I$2:$I$1001=1)*Raw!$D$2:$D$1001)),Raw!$S$2:$S$1001,0)),""))</f>
        <v/>
      </c>
      <c r="BJ67" s="21" t="str">
        <f aca="false">IF(OR($BI67="",Fits!$B$85&lt;=0),"",($BI67-Fits!$B$83)/Fits!$B$85)</f>
        <v/>
      </c>
      <c r="BK67" s="9" t="str">
        <f aca="false">IF($AS67="","",IF($A67&gt;=Fits!$B$86,"",$A67))</f>
        <v/>
      </c>
      <c r="BL67" s="9" t="str">
        <f aca="false">IF($BK67="","",$X67)</f>
        <v/>
      </c>
      <c r="BM67" s="9" t="str">
        <f aca="false">IF($AS67="","",IF($A67&lt;Fits!$B$86,"",$A67))</f>
        <v/>
      </c>
      <c r="BN67" s="9" t="str">
        <f aca="false">IF($BM67="","",$X67)</f>
        <v/>
      </c>
      <c r="BO67" s="9" t="str">
        <f aca="false">IF(AND($D67="Drift",$BX67&lt;&gt;1),IF($O67="","",$O67),"")</f>
        <v/>
      </c>
      <c r="BP67" s="9" t="str">
        <f aca="false">IF(AND($D67="Drift",$BX67&lt;&gt;1),IF($W67="","",$W67),"")</f>
        <v/>
      </c>
      <c r="BQ67" s="9" t="str">
        <f aca="false">IF(AND($D67="Drift",$BX67&lt;&gt;1),IF($X67="","",$X67),"")</f>
        <v/>
      </c>
      <c r="BR67" s="9" t="str">
        <f aca="false">IF(AND($D67="Drift",$BX67&lt;&gt;1),IF($Z67="","",$Z67),"")</f>
        <v/>
      </c>
      <c r="BS67" s="9" t="str">
        <f aca="false">IF(OR($B67="",$H67=""),"",SUMPRODUCT(MIN((Raw!$A$2:$A$1001=$A67)*(Raw!$R$2:$R$1001="N")*(Raw!$I$2:$I$1001=0)*(Raw!$D$2:$D$1001&lt;$H67)*Raw!$D$2:$D$1001+(1-(Raw!$A$2:$A$1001=$A67)*(Raw!$R$2:$R$1001="N")*(Raw!$I$2:$I$1001=0)*(Raw!$D$2:$D$1001&lt;$H67))*9999)))</f>
        <v/>
      </c>
      <c r="BT67" s="16" t="str">
        <f aca="false">IF(OR($BS67="",$BS67=9999,$BS67=0),"",IFERROR(INDEX(Raw!$N$2:$N$1001,MATCH($A67&amp;"|N|"&amp;$BS67,Raw!$S$2:$S$1001,0)),""))</f>
        <v/>
      </c>
      <c r="BU67" s="9" t="str">
        <f aca="false">IF($B67="","",SUMPRODUCT(MIN((Raw!$A$2:$A$1001=$A67)*(Raw!$R$2:$R$1001="C")*(Raw!$I$2:$I$1001=1)*Raw!$D$2:$D$1001+(1-(Raw!$A$2:$A$1001=$A67)*(Raw!$R$2:$R$1001="C")*(Raw!$I$2:$I$1001=1))*9999)))</f>
        <v/>
      </c>
      <c r="BV67" s="9" t="str">
        <f aca="false">IF(OR($BU67="",$BU67=9999),"",SUMPRODUCT(MIN((Raw!$A$2:$A$1001=$A67)*(Raw!$R$2:$R$1001="C")*(Raw!$I$2:$I$1001=0)*(Raw!$D$2:$D$1001&gt;$BU67)*Raw!$D$2:$D$1001+(1-(Raw!$A$2:$A$1001=$A67)*(Raw!$R$2:$R$1001="C")*(Raw!$I$2:$I$1001=0)*(Raw!$D$2:$D$1001&gt;$BU67))*9999)))</f>
        <v/>
      </c>
      <c r="BW67" s="16" t="str">
        <f aca="false">IF(OR($BV67="",$BV67=9999,$BV67=0),"",IFERROR(INDEX(Raw!$O$2:$O$1001,MATCH($A67&amp;"|C|"&amp;$BV67,Raw!$S$2:$S$1001,0)),""))</f>
        <v/>
      </c>
      <c r="BX67" s="9" t="str">
        <f aca="false">IF($B67="","",IF(ISNUMBER(SEARCH(","&amp;$A67&amp;",",","&amp;SUBSTITUTE(Setup!$B$16," ","")&amp;",")),1,0))</f>
        <v/>
      </c>
      <c r="BY67" s="9" t="str">
        <f aca="false">IF($B67="","",IF(ISNUMBER(SEARCH(","&amp;$A67&amp;",",","&amp;SUBSTITUTE(Setup!$B$17," ","")&amp;",")),1,0))</f>
        <v/>
      </c>
      <c r="BZ67" s="22" t="str">
        <f aca="false">IF($AS67="","",IF(Fits!$B$38="Row",$AQ67,IF($AR67="","",$AR67)))</f>
        <v/>
      </c>
      <c r="CA67" s="22" t="str">
        <f aca="false">IF($AT67="","",IF(Fits!$B$50="Row",$AQ67,IF($AR67="","",$AR67)))</f>
        <v/>
      </c>
      <c r="CB67" s="20" t="str">
        <f aca="false">IF(OR($D67&lt;&gt;"Drift",$X67="",$A67&lt;IF(Setup!$B$14="",0,Setup!$B$14),Fits!$B$107&lt;3,Fits!$B$110="",Fits!$B$109=0,IF(Fits!$B$38="Row",$AQ67,$AR67)=""),"",IF($BX67=1,IF(OR(Fits!$B$111="",Fits!$B$111=0),"",($X67-(IF(Fits!$B$38="Row",Fits!$B$32,Fits!$B$35)*IF(Fits!$B$38="Row",$AQ67,$AR67)+Fits!$B$110))/(Fits!$B$111*SQRT(1+(1/Fits!$B$107+(IF(Fits!$B$38="Row",$AQ67,$AR67)-Fits!$B$108)^2/Fits!$B$109)))),IF(OR(Fits!$B$107&lt;4,(1/Fits!$B$107+(IF(Fits!$B$38="Row",$AQ67,$AR67)-Fits!$B$108)^2/Fits!$B$109)&gt;=1),"",IF((Fits!$B$116-($X67-(IF(Fits!$B$38="Row",Fits!$B$32,Fits!$B$35)*IF(Fits!$B$38="Row",$AQ67,$AR67)+Fits!$B$110))^2/(1-(1/Fits!$B$107+(IF(Fits!$B$38="Row",$AQ67,$AR67)-Fits!$B$108)^2/Fits!$B$109)))&lt;=0,"",($X67-(IF(Fits!$B$38="Row",Fits!$B$32,Fits!$B$35)*IF(Fits!$B$38="Row",$AQ67,$AR67)+Fits!$B$110))/(SQRT((Fits!$B$116-($X67-(IF(Fits!$B$38="Row",Fits!$B$32,Fits!$B$35)*IF(Fits!$B$38="Row",$AQ67,$AR67)+Fits!$B$110))^2/(1-(1/Fits!$B$107+(IF(Fits!$B$38="Row",$AQ67,$AR67)-Fits!$B$108)^2/Fits!$B$109)))/(Fits!$B$107-3))*SQRT(1-(1/Fits!$B$107+(IF(Fits!$B$38="Row",$AQ67,$AR67)-Fits!$B$108)^2/Fits!$B$109)))))))</f>
        <v/>
      </c>
      <c r="CC67" s="20" t="str">
        <f aca="false">IF(OR($D67&lt;&gt;"Drift",$AC67="",$A67&lt;IF(Setup!$B$14="",0,Setup!$B$14),Fits!$B$120&lt;3,Fits!$B$123="",Fits!$B$122=0,IF(Fits!$B$50="Row",$AQ67,$AR67)=""),"",IF($BY67=1,IF(OR(Fits!$B$124="",Fits!$B$124=0),"",($AC67-(IF(Fits!$B$50="Row",Fits!$B$44,Fits!$B$47)*IF(Fits!$B$50="Row",$AQ67,$AR67)+Fits!$B$123))/(Fits!$B$124*SQRT(1+(1/Fits!$B$120+(IF(Fits!$B$50="Row",$AQ67,$AR67)-Fits!$B$121)^2/Fits!$B$122)))),IF(OR(Fits!$B$120&lt;4,(1/Fits!$B$120+(IF(Fits!$B$50="Row",$AQ67,$AR67)-Fits!$B$121)^2/Fits!$B$122)&gt;=1),"",IF((Fits!$B$129-($AC67-(IF(Fits!$B$50="Row",Fits!$B$44,Fits!$B$47)*IF(Fits!$B$50="Row",$AQ67,$AR67)+Fits!$B$123))^2/(1-(1/Fits!$B$120+(IF(Fits!$B$50="Row",$AQ67,$AR67)-Fits!$B$121)^2/Fits!$B$122)))&lt;=0,"",($AC67-(IF(Fits!$B$50="Row",Fits!$B$44,Fits!$B$47)*IF(Fits!$B$50="Row",$AQ67,$AR67)+Fits!$B$123))/(SQRT((Fits!$B$129-($AC67-(IF(Fits!$B$50="Row",Fits!$B$44,Fits!$B$47)*IF(Fits!$B$50="Row",$AQ67,$AR67)+Fits!$B$123))^2/(1-(1/Fits!$B$120+(IF(Fits!$B$50="Row",$AQ67,$AR67)-Fits!$B$121)^2/Fits!$B$122)))/(Fits!$B$120-3))*SQRT(1-(1/Fits!$B$120+(IF(Fits!$B$50="Row",$AQ67,$AR67)-Fits!$B$121)^2/Fits!$B$122)))))))</f>
        <v/>
      </c>
      <c r="CD67" s="9" t="str">
        <f aca="false">IF($AU67="","",1)</f>
        <v/>
      </c>
      <c r="CE67" s="24" t="str">
        <f aca="false">IF($AU67="","",$AU67-Fits!$B$133)</f>
        <v/>
      </c>
      <c r="CF67" s="24" t="str">
        <f aca="false">IF($AU67="","",($AV67-(Fits!$B$56*$AU67+Fits!$B$57))-Fits!$B$56*($AU67-Fits!$B$133))</f>
        <v/>
      </c>
      <c r="CG67" s="25" t="str">
        <f aca="false">IF($AU67="","",$AU67^2)</f>
        <v/>
      </c>
      <c r="CH67" s="9" t="str">
        <f aca="false">IF($AW67="","",1)</f>
        <v/>
      </c>
      <c r="CI67" s="24" t="str">
        <f aca="false">IF($AW67="","",$AW67-Fits!$B$153)</f>
        <v/>
      </c>
      <c r="CJ67" s="24" t="str">
        <f aca="false">IF($AW67="","",($AX67-(Fits!$B$63*$AW67+Fits!$B$64))-Fits!$B$63*($AW67-Fits!$B$153))</f>
        <v/>
      </c>
      <c r="CK67" s="25" t="str">
        <f aca="false">IF($AW67="","",$AW67^2)</f>
        <v/>
      </c>
      <c r="CL67" s="26" t="str">
        <f aca="false">IF(OR($Z67="",Fits!$B$55&lt;3,Fits!$B$133="",Fits!$B$134="",Fits!$B$134=0,Fits!$B$136=""),"",SQRT((Fits!$B$136*Fits!$B$56)^2+SUMPRODUCT((Fits!$J$163:$J$175*(Fits!$B$163:$B$175/Fits!$B$55+Fits!$H$163:$H$175*($Z67-Fits!$B$133)/Fits!$B$134))^2)+SUMPRODUCT((Fits!$G$163:$G$175*(($Z67-Fits!$B$133)*Fits!$I$163:$I$175/Fits!$B$134-Fits!$B$163:$B$175*Fits!$B$56/Fits!$B$55))^2)))</f>
        <v/>
      </c>
      <c r="CM67" s="26" t="str">
        <f aca="false">IF($CL67="","",Setup!$B$32*$CL67)</f>
        <v/>
      </c>
      <c r="CN67" s="26" t="str">
        <f aca="false">IF(OR($AE67="",Fits!$B$62&lt;3,Fits!$B$153="",Fits!$B$154="",Fits!$B$154=0,Fits!$B$156=""),"",SQRT((Fits!$B$156*Fits!$B$63)^2+SUMPRODUCT((Fits!$J$183:$J$195*(Fits!$B$183:$B$195/Fits!$B$62+Fits!$H$183:$H$195*($AE67-Fits!$B$153)/Fits!$B$154))^2)+SUMPRODUCT((Fits!$G$183:$G$195*(($AE67-Fits!$B$153)*Fits!$I$183:$I$195/Fits!$B$154-Fits!$B$183:$B$195*Fits!$B$63/Fits!$B$62))^2)))</f>
        <v/>
      </c>
      <c r="CO67" s="26" t="str">
        <f aca="false">IF($CN67="","",Setup!$B$32*$CN67)</f>
        <v/>
      </c>
      <c r="CP67" s="9" t="n">
        <f aca="false">IF(OR(NOT(ISNUMBER($BJ67)),$EK67=1),$CP66,IF($BJ67&lt;=Setup!$B$26,$CP66+1,0))</f>
        <v>26</v>
      </c>
      <c r="CQ67" s="9" t="str">
        <f aca="false">IF($BT67="","",$A67)</f>
        <v/>
      </c>
      <c r="CR67" s="9" t="str">
        <f aca="false">IF($BW67="","",$A67)</f>
        <v/>
      </c>
      <c r="CS67" s="9" t="str">
        <f aca="false">IF($B67="","",IF(Setup!$A$37="",0,IF(ISNUMBER(SEARCH(Setup!$A$37,$B67)),37,0)))</f>
        <v/>
      </c>
      <c r="CT67" s="9" t="str">
        <f aca="false">IF($B67="","",IF(Setup!$A$38="",0,IF(ISNUMBER(SEARCH(Setup!$A$38,$B67)),38,0)))</f>
        <v/>
      </c>
      <c r="CU67" s="9" t="str">
        <f aca="false">IF($B67="","",IF(Setup!$A$39="",0,IF(ISNUMBER(SEARCH(Setup!$A$39,$B67)),39,0)))</f>
        <v/>
      </c>
      <c r="CV67" s="9" t="str">
        <f aca="false">IF($B67="","",IF(Setup!$A$40="",0,IF(ISNUMBER(SEARCH(Setup!$A$40,$B67)),40,0)))</f>
        <v/>
      </c>
      <c r="CW67" s="9" t="str">
        <f aca="false">IF($B67="","",IF(Setup!$A$41="",0,IF(ISNUMBER(SEARCH(Setup!$A$41,$B67)),41,0)))</f>
        <v/>
      </c>
      <c r="CX67" s="9" t="str">
        <f aca="false">IF($B67="","",IF(Setup!$A$42="",0,IF(ISNUMBER(SEARCH(Setup!$A$42,$B67)),42,0)))</f>
        <v/>
      </c>
      <c r="CY67" s="9" t="str">
        <f aca="false">IF($B67="","",IF(Setup!$A$43="",0,IF(ISNUMBER(SEARCH(Setup!$A$43,$B67)),43,0)))</f>
        <v/>
      </c>
      <c r="CZ67" s="9" t="str">
        <f aca="false">IF($B67="","",IF(Setup!$A$44="",0,IF(ISNUMBER(SEARCH(Setup!$A$44,$B67)),44,0)))</f>
        <v/>
      </c>
      <c r="DA67" s="9" t="str">
        <f aca="false">IF($B67="","",IF(Setup!$A$45="",0,IF(ISNUMBER(SEARCH(Setup!$A$45,$B67)),45,0)))</f>
        <v/>
      </c>
      <c r="DB67" s="9" t="str">
        <f aca="false">IF($B67="","",IF(Setup!$A$46="",0,IF(ISNUMBER(SEARCH(Setup!$A$46,$B67)),46,0)))</f>
        <v/>
      </c>
      <c r="DC67" s="9" t="str">
        <f aca="false">IF($B67="","",IF(Setup!$A$47="",0,IF(ISNUMBER(SEARCH(Setup!$A$47,$B67)),47,0)))</f>
        <v/>
      </c>
      <c r="DD67" s="9" t="str">
        <f aca="false">IF($B67="","",IF(Setup!$A$48="",0,IF(ISNUMBER(SEARCH(Setup!$A$48,$B67)),48,0)))</f>
        <v/>
      </c>
      <c r="DE67" s="9" t="str">
        <f aca="false">IF($B67="","",IF(Setup!$A$49="",0,IF(ISNUMBER(SEARCH(Setup!$A$49,$B67)),49,0)))</f>
        <v/>
      </c>
      <c r="DF67" s="9" t="e">
        <f aca="false">IF($B67="",NA(),$A67)</f>
        <v>#N/A</v>
      </c>
      <c r="DG67" s="9" t="e">
        <f aca="false">IF($BI67="",NA(),$BI67)</f>
        <v>#N/A</v>
      </c>
      <c r="DH67" s="9" t="e">
        <f aca="false">IF($N67="",NA(),$N67)</f>
        <v>#N/A</v>
      </c>
      <c r="DI67" s="9" t="e">
        <f aca="false">IF(AND($D67="Drift",$N67&lt;&gt;""),$N67,NA())</f>
        <v>#N/A</v>
      </c>
      <c r="DJ67" s="9" t="str">
        <f aca="false">IF(AND($D67="Drift",$N67&lt;&gt;""),$N67,"")</f>
        <v/>
      </c>
      <c r="DK67" s="9" t="str">
        <f aca="false">IF($DJ67="","",$A67)</f>
        <v/>
      </c>
      <c r="DL67" s="9" t="e">
        <f aca="false">IF($AN67="",NA(),$AM67)</f>
        <v>#N/A</v>
      </c>
      <c r="DM67" s="9" t="e">
        <f aca="false">IF($AN67="",NA(),$AN67)</f>
        <v>#N/A</v>
      </c>
      <c r="DN67" s="9" t="e">
        <f aca="false">IF(AND($D67="Sample",$L67&lt;&gt;""),$L67,NA())</f>
        <v>#N/A</v>
      </c>
      <c r="DO67" s="9" t="e">
        <f aca="false">IF(AND($D67="Sample",$L67&lt;&gt;"",Fits!$B$98&lt;&gt;""),Fits!$B$98,NA())</f>
        <v>#N/A</v>
      </c>
      <c r="DP67" s="9" t="e">
        <f aca="false">IF($AS67="",NA(),$AS67)</f>
        <v>#N/A</v>
      </c>
      <c r="DQ67" s="9" t="e">
        <f aca="false">IF(AND($D67="Drift",$AS67="",$X67&lt;&gt;""),$X67,NA())</f>
        <v>#N/A</v>
      </c>
      <c r="DR67" s="9" t="e">
        <f aca="false">IF(AND($D67="Drift",$Z67&lt;&gt;""),$Z67,NA())</f>
        <v>#N/A</v>
      </c>
      <c r="DS67" s="9" t="e">
        <f aca="false">IF(AND(OR($D67="Sample",$D67="Check"),$AA67&lt;&gt;""),$AA67,NA())</f>
        <v>#N/A</v>
      </c>
      <c r="DT67" s="9" t="e">
        <f aca="false">IF(OR($B67="",Fits!$B$138=""),NA(),Fits!$B$138)</f>
        <v>#N/A</v>
      </c>
      <c r="DU67" s="9" t="e">
        <f aca="false">IF(OR($B67="",Fits!$B$139=""),NA(),Fits!$B$139)</f>
        <v>#N/A</v>
      </c>
      <c r="DV67" s="9" t="e">
        <f aca="false">IF($BT67="",NA(),$BT67)</f>
        <v>#N/A</v>
      </c>
      <c r="DW67" s="9" t="e">
        <f aca="false">IF($AP67="",NA(),$AO67)</f>
        <v>#N/A</v>
      </c>
      <c r="DX67" s="9" t="e">
        <f aca="false">IF($AP67="",NA(),$AP67)</f>
        <v>#N/A</v>
      </c>
      <c r="DY67" s="9" t="e">
        <f aca="false">IF(AND($D67="Sample",$P67&lt;&gt;""),$P67,NA())</f>
        <v>#N/A</v>
      </c>
      <c r="DZ67" s="9" t="e">
        <f aca="false">IF(AND($D67="Sample",$P67&lt;&gt;"",Fits!$B$105&lt;&gt;""),Fits!$B$105,NA())</f>
        <v>#N/A</v>
      </c>
      <c r="EA67" s="9" t="e">
        <f aca="false">IF($AT67="",NA(),$AT67)</f>
        <v>#N/A</v>
      </c>
      <c r="EB67" s="9" t="e">
        <f aca="false">IF(AND($D67="Drift",$AT67="",$AC67&lt;&gt;""),$AC67,NA())</f>
        <v>#N/A</v>
      </c>
      <c r="EC67" s="9" t="e">
        <f aca="false">IF(AND($D67="Drift",$AE67&lt;&gt;""),$AE67,NA())</f>
        <v>#N/A</v>
      </c>
      <c r="ED67" s="9" t="e">
        <f aca="false">IF(AND(OR($D67="Sample",$D67="Check"),$AF67&lt;&gt;""),$AF67,NA())</f>
        <v>#N/A</v>
      </c>
      <c r="EE67" s="9" t="e">
        <f aca="false">IF(OR($B67="",Fits!$B$158=""),NA(),Fits!$B$158)</f>
        <v>#N/A</v>
      </c>
      <c r="EF67" s="9" t="e">
        <f aca="false">IF(OR($B67="",Fits!$B$159=""),NA(),Fits!$B$159)</f>
        <v>#N/A</v>
      </c>
      <c r="EG67" s="9" t="e">
        <f aca="false">IF($BW67="",NA(),$BW67)</f>
        <v>#N/A</v>
      </c>
      <c r="EH67" s="9" t="e">
        <f aca="false">IF(AND($EN67=1,ISNUMBER($N67)),$N67,NA())</f>
        <v>#N/A</v>
      </c>
      <c r="EI67" s="9" t="str">
        <f aca="false">IF($B67="","",$A67)</f>
        <v/>
      </c>
      <c r="EJ67" s="9" t="n">
        <f aca="false">IF(OR(AND(ISNUMBER($L67),Fits!$B$97&gt;0,$L67&gt;Fits!$B$97),AND(ISNUMBER($P67),Fits!$B$104&gt;0,$P67&gt;Fits!$B$104)),1,0)</f>
        <v>0</v>
      </c>
      <c r="EK67" s="9" t="n">
        <f aca="false">IF(OR($EJ66=1,$EJ65=1),1,0)</f>
        <v>0</v>
      </c>
      <c r="EL67" s="22" t="n">
        <f aca="false">IF(AND($EK67=0,ISNUMBER($N67)),$N67,$EL66)</f>
        <v>25.7</v>
      </c>
      <c r="EM67" s="9" t="str">
        <f aca="false">IF(AND($EK67=1,ISNUMBER($N67),ISNUMBER($EL67)),$N67-$EL67,"")</f>
        <v/>
      </c>
      <c r="EN67" s="9" t="n">
        <f aca="false">IF(Setup!$B$28="",0,IF(ISNUMBER($EM67),IF($EM67&gt;Setup!$B$28,1,0),0))</f>
        <v>0</v>
      </c>
      <c r="EO67" s="9" t="str">
        <f aca="false">IF($EN67=1,COUNTIF($EN$6:$EN67,1),"")</f>
        <v/>
      </c>
      <c r="EP67" s="9" t="n">
        <f aca="false">IF(AND($EJ66=1,OR($D67="Sample",$D67="Check")),1,0)</f>
        <v>0</v>
      </c>
      <c r="EQ67" s="9" t="str">
        <f aca="false">IF(ISNUMBER($BI67),IF(COUNT($BI$6:$BI67)&lt;=5,$BI67,""),"")</f>
        <v/>
      </c>
      <c r="ER67" s="9" t="n">
        <f aca="false">IF(OR(NOT(ISNUMBER($BJ67)),$EK67=1),$ER66,IF($BJ67&lt;=Setup!$B$26,IF($CP66=0,$A67,$ER66),""))</f>
        <v>27</v>
      </c>
    </row>
    <row r="68" customFormat="false" ht="15" hidden="false" customHeight="false" outlineLevel="0" collapsed="false">
      <c r="A68" s="8" t="n">
        <v>63</v>
      </c>
      <c r="B68" s="8" t="str">
        <f aca="false">IFERROR(INDEX(Raw!$B$2:$B$1001,MATCH($A68,Raw!$A$2:$A$1001,0)),"")</f>
        <v/>
      </c>
      <c r="C68" s="9" t="str">
        <f aca="false">IF($B68="","",MAX($CS68:$DE68))</f>
        <v/>
      </c>
      <c r="D68" s="8" t="str">
        <f aca="false">IF($B68="","",IF($C68=0,"Sample",INDEX(Setup!$B$37:$B$49,$C68-36)))</f>
        <v/>
      </c>
      <c r="E68" s="16" t="str">
        <f aca="false">IF($B68="","",IFERROR(IF(INDEX(Raw!$E$2:$E$1001,MATCH($A68,Raw!$A$2:$A$1001,0))=0,"",INDEX(Raw!$E$2:$E$1001,MATCH($A68,Raw!$A$2:$A$1001,0))),""))</f>
        <v/>
      </c>
      <c r="F68" s="18"/>
      <c r="G68" s="16" t="str">
        <f aca="false">IF($B68="","",IF($F68&lt;&gt;"",$F68,IF($E68="","",$E68)))</f>
        <v/>
      </c>
      <c r="H68" s="9" t="str">
        <f aca="false">IF($B68="","",SUMPRODUCT(MAX((Raw!$A$2:$A$1001=$A68)*(Raw!$R$2:$R$1001="N")*Raw!$D$2:$D$1001)))</f>
        <v/>
      </c>
      <c r="I68" s="9" t="str">
        <f aca="false">IF(OR($H68="",$H68=0),"",$A68&amp;"|N|"&amp;$H68)</f>
        <v/>
      </c>
      <c r="J68" s="9" t="str">
        <f aca="false">IF($B68="","",SUMPRODUCT(MIN((Raw!$A$2:$A$1001=$A68)*(Raw!$R$2:$R$1001="C")*Raw!$D$2:$D$1001+(1-(Raw!$A$2:$A$1001=$A68)*(Raw!$R$2:$R$1001="C"))*9999)))</f>
        <v/>
      </c>
      <c r="K68" s="9" t="str">
        <f aca="false">IF(OR($J68="",$J68=0,$J68=9999),"",$A68&amp;"|C|"&amp;$J68)</f>
        <v/>
      </c>
      <c r="L68" s="16" t="str">
        <f aca="false">IF($I68="","",IF(INDEX(Raw!$I$2:$I$1001,MATCH($I68,Raw!$S$2:$S$1001,0))&lt;&gt;0,"",INDEX(Raw!$H$2:$H$1001,MATCH($I68,Raw!$S$2:$S$1001,0))))</f>
        <v/>
      </c>
      <c r="M68" s="19" t="str">
        <f aca="false">IF($I68="","",IF(INDEX(Raw!$I$2:$I$1001,MATCH($I68,Raw!$S$2:$S$1001,0))&lt;&gt;0,"",INDEX(Raw!$F$2:$F$1001,MATCH($I68,Raw!$S$2:$S$1001,0))))</f>
        <v/>
      </c>
      <c r="N68" s="20" t="str">
        <f aca="false">IF($I68="","",IF(INDEX(Raw!$I$2:$I$1001,MATCH($I68,Raw!$S$2:$S$1001,0))&lt;&gt;0,"",INDEX(Raw!$G$2:$G$1001,MATCH($I68,Raw!$S$2:$S$1001,0))))</f>
        <v/>
      </c>
      <c r="O68" s="16" t="str">
        <f aca="false">IF($I68="","",IF(INDEX(Raw!$I$2:$I$1001,MATCH($I68,Raw!$S$2:$S$1001,0))&lt;&gt;0,"",INDEX(Raw!$N$2:$N$1001,MATCH($I68,Raw!$S$2:$S$1001,0))))</f>
        <v/>
      </c>
      <c r="P68" s="16" t="str">
        <f aca="false">IF($K68="","",IF(INDEX(Raw!$I$2:$I$1001,MATCH($K68,Raw!$S$2:$S$1001,0))&lt;&gt;0,"",INDEX(Raw!$K$2:$K$1001,MATCH($K68,Raw!$S$2:$S$1001,0))))</f>
        <v/>
      </c>
      <c r="Q68" s="19" t="str">
        <f aca="false">IF($K68="","",IF(INDEX(Raw!$I$2:$I$1001,MATCH($K68,Raw!$S$2:$S$1001,0))&lt;&gt;0,"",INDEX(Raw!$J$2:$J$1001,MATCH($K68,Raw!$S$2:$S$1001,0))))</f>
        <v/>
      </c>
      <c r="R68" s="16" t="str">
        <f aca="false">IF($K68="","",IF(INDEX(Raw!$I$2:$I$1001,MATCH($K68,Raw!$S$2:$S$1001,0))&lt;&gt;0,"",INDEX(Raw!$O$2:$O$1001,MATCH($K68,Raw!$S$2:$S$1001,0))))</f>
        <v/>
      </c>
      <c r="S68" s="21" t="str">
        <f aca="false">IF($B68="","",IF($C68=0,"",IF(INDEX(Setup!$D$37:$D$49,$C68-36)="","",INDEX(Setup!$D$37:$D$49,$C68-36))))</f>
        <v/>
      </c>
      <c r="T68" s="21" t="str">
        <f aca="false">IF($B68="","",IF($C68=0,"",IF(INDEX(Setup!$C$37:$C$49,$C68-36)="","",INDEX(Setup!$C$37:$C$49,$C68-36))))</f>
        <v/>
      </c>
      <c r="U68" s="21" t="str">
        <f aca="false">IF($B68="","",IF($C68=0,"",IF(INDEX(Setup!$F$37:$F$49,$C68-36)="","",INDEX(Setup!$F$37:$F$49,$C68-36))))</f>
        <v/>
      </c>
      <c r="V68" s="21" t="str">
        <f aca="false">IF($B68="","",IF($C68=0,"",IF(INDEX(Setup!$E$37:$E$49,$C68-36)="","",INDEX(Setup!$E$37:$E$49,$C68-36))))</f>
        <v/>
      </c>
      <c r="W68" s="16" t="str">
        <f aca="false">IF($O68="","",IF(OR(Fits!$C$5&lt;&gt;"Yes",$D68="Blank",$L68&lt;=Fits!$B$6),$O68,($L68*$O68-Fits!$B$6*Fits!$B$7)/($L68-Fits!$B$6)))</f>
        <v/>
      </c>
      <c r="X68" s="16" t="str">
        <f aca="false">IF($W68="","",$W68-Fits!$B$20*($L68-Fits!$B$16))</f>
        <v/>
      </c>
      <c r="Y68" s="22" t="str">
        <f aca="false">IF($W68="","",IF(OR(Fits!$B$38="Row",$BI68=""),$A68,$BI68))</f>
        <v/>
      </c>
      <c r="Z68" s="16" t="str">
        <f aca="false">IF($X68="","",$X68-Fits!$B$39*($Y68-Fits!$B$40))</f>
        <v/>
      </c>
      <c r="AA68" s="23" t="str">
        <f aca="false">IF(OR($Z68="",Fits!$B$55&lt;2),"",Fits!$B$56*$Z68+Fits!$B$57)</f>
        <v/>
      </c>
      <c r="AB68" s="16" t="str">
        <f aca="false">IF($R68="","",IF(OR(Fits!$C$9&lt;&gt;"Yes",$D68="Blank",$P68&lt;=Fits!$B$10),$R68,($P68*$R68-Fits!$B$10*Fits!$B$11)/($P68-Fits!$B$10)))</f>
        <v/>
      </c>
      <c r="AC68" s="16" t="str">
        <f aca="false">IF($AB68="","",$AB68-Fits!$B$28*($P68-Fits!$B$24))</f>
        <v/>
      </c>
      <c r="AD68" s="22" t="str">
        <f aca="false">IF($AB68="","",IF(OR(Fits!$B$50="Row",$BI68=""),$A68,$BI68))</f>
        <v/>
      </c>
      <c r="AE68" s="16" t="str">
        <f aca="false">IF($AC68="","",$AC68-Fits!$B$51*($AD68-Fits!$B$52))</f>
        <v/>
      </c>
      <c r="AF68" s="23" t="str">
        <f aca="false">IF(OR($AE68="",Fits!$B$62&lt;2),"",Fits!$B$63*$AE68+Fits!$B$64)</f>
        <v/>
      </c>
      <c r="AG68" s="21" t="str">
        <f aca="false">IF(OR($L68="",Fits!$B$69&lt;3),"",($L68-Fits!$B$71)/Fits!$B$70)</f>
        <v/>
      </c>
      <c r="AH68" s="21" t="str">
        <f aca="false">IF(OR($P68="",Fits!$B$75&lt;3),"",($P68-Fits!$B$77)/Fits!$B$76)</f>
        <v/>
      </c>
      <c r="AI68" s="23" t="str">
        <f aca="false">IF(OR($AG68="",$G68="",$G68=0),"",$AG68/($G68*1000)*100)</f>
        <v/>
      </c>
      <c r="AJ68" s="23" t="str">
        <f aca="false">IF(OR($AH68="",$G68="",$G68=0),"",$AH68/($G68*1000)*100)</f>
        <v/>
      </c>
      <c r="AK68" s="23" t="str">
        <f aca="false">IF(OR($AG68="",$AH68="",$AG68&lt;=0),"",($AH68/Setup!$B$52)/($AG68/Setup!$B$53))</f>
        <v/>
      </c>
      <c r="AL68" s="23" t="str">
        <f aca="false">IF(OR($AG68="",$AH68="",$AG68&lt;=0),"",$AH68/$AG68)</f>
        <v/>
      </c>
      <c r="AM68" s="9" t="str">
        <f aca="false">IF($D68="Linearity",IF($L68="","",$L68),"")</f>
        <v/>
      </c>
      <c r="AN68" s="9" t="str">
        <f aca="false">IF($D68="Linearity",IF($W68="","",$W68),"")</f>
        <v/>
      </c>
      <c r="AO68" s="9" t="str">
        <f aca="false">IF($D68="Linearity",IF($P68="","",$P68),"")</f>
        <v/>
      </c>
      <c r="AP68" s="9" t="str">
        <f aca="false">IF($D68="Linearity",IF($AB68="","",$AB68),"")</f>
        <v/>
      </c>
      <c r="AQ68" s="9" t="str">
        <f aca="false">IF($D68="Drift",IF($A68&lt;IF(Setup!$B$14="",0,Setup!$B$14),"",$A68),"")</f>
        <v/>
      </c>
      <c r="AR68" s="9" t="str">
        <f aca="false">IF($D68="Drift",IF($A68&lt;IF(Setup!$B$14="",0,Setup!$B$14),"",IF($BI68="","",$BI68)),"")</f>
        <v/>
      </c>
      <c r="AS68" s="9" t="str">
        <f aca="false">IF($D68="Drift",IF($A68&lt;IF(Setup!$B$14="",0,Setup!$B$14),"",IF(OR($X68="",$BX68=1),"",$X68)),"")</f>
        <v/>
      </c>
      <c r="AT68" s="9" t="str">
        <f aca="false">IF($D68="Drift",IF($A68&lt;IF(Setup!$B$14="",0,Setup!$B$14),"",IF(OR($AC68="",$BY68=1),"",$AC68)),"")</f>
        <v/>
      </c>
      <c r="AU68" s="9" t="str">
        <f aca="false">IF($D68="Anchor",IF(OR($Z68="",$S68=""),"",$Z68),"")</f>
        <v/>
      </c>
      <c r="AV68" s="9" t="str">
        <f aca="false">IF($D68="Anchor",IF(OR($Z68="",$S68=""),"",$S68),"")</f>
        <v/>
      </c>
      <c r="AW68" s="9" t="str">
        <f aca="false">IF($D68="Anchor",IF(OR($AE68="",$T68=""),"",$AE68),"")</f>
        <v/>
      </c>
      <c r="AX68" s="9" t="str">
        <f aca="false">IF($D68="Anchor",IF(OR($AE68="",$T68=""),"",$T68),"")</f>
        <v/>
      </c>
      <c r="AY68" s="9" t="str">
        <f aca="false">IF(OR($D68="Blank",$D68="Exclude",$D68="Sample",$D68="",$G68="",$U68="",$L68=""),"",$G68*1000*$U68/100)</f>
        <v/>
      </c>
      <c r="AZ68" s="9" t="str">
        <f aca="false">IF($AY68="","",$L68)</f>
        <v/>
      </c>
      <c r="BA68" s="9" t="str">
        <f aca="false">IF(OR($D68="Blank",$D68="Exclude",$D68="Sample",$D68="",$G68="",$V68="",$P68=""),"",$G68*1000*$V68/100)</f>
        <v/>
      </c>
      <c r="BB68" s="9" t="str">
        <f aca="false">IF($BA68="","",$P68)</f>
        <v/>
      </c>
      <c r="BC68" s="9" t="str">
        <f aca="false">IF(AND($D68="Blank",$L68&lt;&gt;""),$O68,"")</f>
        <v/>
      </c>
      <c r="BD68" s="9" t="str">
        <f aca="false">IF($BC68="","",$L68)</f>
        <v/>
      </c>
      <c r="BE68" s="9" t="str">
        <f aca="false">IF(AND($D68="Blank",$P68&lt;&gt;""),$R68,"")</f>
        <v/>
      </c>
      <c r="BF68" s="9" t="str">
        <f aca="false">IF($BE68="","",$P68)</f>
        <v/>
      </c>
      <c r="BG68" s="9" t="str">
        <f aca="false">IF(AND($D68="Drift",$BX68&lt;&gt;1),IF($AA68="","",$AA68),"")</f>
        <v/>
      </c>
      <c r="BH68" s="9" t="str">
        <f aca="false">IF(AND($D68="Drift",$BY68&lt;&gt;1),IF($AF68="","",$AF68),"")</f>
        <v/>
      </c>
      <c r="BI68" s="20" t="str">
        <f aca="false">IF($B68="","",IFERROR(INDEX(Raw!$G$2:$G$1001,MATCH($A68&amp;"|N|"&amp;SUMPRODUCT(MAX((Raw!$A$2:$A$1001=$A68)*(Raw!$R$2:$R$1001="N")*(Raw!$I$2:$I$1001=1)*Raw!$D$2:$D$1001)),Raw!$S$2:$S$1001,0)),""))</f>
        <v/>
      </c>
      <c r="BJ68" s="21" t="str">
        <f aca="false">IF(OR($BI68="",Fits!$B$85&lt;=0),"",($BI68-Fits!$B$83)/Fits!$B$85)</f>
        <v/>
      </c>
      <c r="BK68" s="9" t="str">
        <f aca="false">IF($AS68="","",IF($A68&gt;=Fits!$B$86,"",$A68))</f>
        <v/>
      </c>
      <c r="BL68" s="9" t="str">
        <f aca="false">IF($BK68="","",$X68)</f>
        <v/>
      </c>
      <c r="BM68" s="9" t="str">
        <f aca="false">IF($AS68="","",IF($A68&lt;Fits!$B$86,"",$A68))</f>
        <v/>
      </c>
      <c r="BN68" s="9" t="str">
        <f aca="false">IF($BM68="","",$X68)</f>
        <v/>
      </c>
      <c r="BO68" s="9" t="str">
        <f aca="false">IF(AND($D68="Drift",$BX68&lt;&gt;1),IF($O68="","",$O68),"")</f>
        <v/>
      </c>
      <c r="BP68" s="9" t="str">
        <f aca="false">IF(AND($D68="Drift",$BX68&lt;&gt;1),IF($W68="","",$W68),"")</f>
        <v/>
      </c>
      <c r="BQ68" s="9" t="str">
        <f aca="false">IF(AND($D68="Drift",$BX68&lt;&gt;1),IF($X68="","",$X68),"")</f>
        <v/>
      </c>
      <c r="BR68" s="9" t="str">
        <f aca="false">IF(AND($D68="Drift",$BX68&lt;&gt;1),IF($Z68="","",$Z68),"")</f>
        <v/>
      </c>
      <c r="BS68" s="9" t="str">
        <f aca="false">IF(OR($B68="",$H68=""),"",SUMPRODUCT(MIN((Raw!$A$2:$A$1001=$A68)*(Raw!$R$2:$R$1001="N")*(Raw!$I$2:$I$1001=0)*(Raw!$D$2:$D$1001&lt;$H68)*Raw!$D$2:$D$1001+(1-(Raw!$A$2:$A$1001=$A68)*(Raw!$R$2:$R$1001="N")*(Raw!$I$2:$I$1001=0)*(Raw!$D$2:$D$1001&lt;$H68))*9999)))</f>
        <v/>
      </c>
      <c r="BT68" s="16" t="str">
        <f aca="false">IF(OR($BS68="",$BS68=9999,$BS68=0),"",IFERROR(INDEX(Raw!$N$2:$N$1001,MATCH($A68&amp;"|N|"&amp;$BS68,Raw!$S$2:$S$1001,0)),""))</f>
        <v/>
      </c>
      <c r="BU68" s="9" t="str">
        <f aca="false">IF($B68="","",SUMPRODUCT(MIN((Raw!$A$2:$A$1001=$A68)*(Raw!$R$2:$R$1001="C")*(Raw!$I$2:$I$1001=1)*Raw!$D$2:$D$1001+(1-(Raw!$A$2:$A$1001=$A68)*(Raw!$R$2:$R$1001="C")*(Raw!$I$2:$I$1001=1))*9999)))</f>
        <v/>
      </c>
      <c r="BV68" s="9" t="str">
        <f aca="false">IF(OR($BU68="",$BU68=9999),"",SUMPRODUCT(MIN((Raw!$A$2:$A$1001=$A68)*(Raw!$R$2:$R$1001="C")*(Raw!$I$2:$I$1001=0)*(Raw!$D$2:$D$1001&gt;$BU68)*Raw!$D$2:$D$1001+(1-(Raw!$A$2:$A$1001=$A68)*(Raw!$R$2:$R$1001="C")*(Raw!$I$2:$I$1001=0)*(Raw!$D$2:$D$1001&gt;$BU68))*9999)))</f>
        <v/>
      </c>
      <c r="BW68" s="16" t="str">
        <f aca="false">IF(OR($BV68="",$BV68=9999,$BV68=0),"",IFERROR(INDEX(Raw!$O$2:$O$1001,MATCH($A68&amp;"|C|"&amp;$BV68,Raw!$S$2:$S$1001,0)),""))</f>
        <v/>
      </c>
      <c r="BX68" s="9" t="str">
        <f aca="false">IF($B68="","",IF(ISNUMBER(SEARCH(","&amp;$A68&amp;",",","&amp;SUBSTITUTE(Setup!$B$16," ","")&amp;",")),1,0))</f>
        <v/>
      </c>
      <c r="BY68" s="9" t="str">
        <f aca="false">IF($B68="","",IF(ISNUMBER(SEARCH(","&amp;$A68&amp;",",","&amp;SUBSTITUTE(Setup!$B$17," ","")&amp;",")),1,0))</f>
        <v/>
      </c>
      <c r="BZ68" s="22" t="str">
        <f aca="false">IF($AS68="","",IF(Fits!$B$38="Row",$AQ68,IF($AR68="","",$AR68)))</f>
        <v/>
      </c>
      <c r="CA68" s="22" t="str">
        <f aca="false">IF($AT68="","",IF(Fits!$B$50="Row",$AQ68,IF($AR68="","",$AR68)))</f>
        <v/>
      </c>
      <c r="CB68" s="20" t="str">
        <f aca="false">IF(OR($D68&lt;&gt;"Drift",$X68="",$A68&lt;IF(Setup!$B$14="",0,Setup!$B$14),Fits!$B$107&lt;3,Fits!$B$110="",Fits!$B$109=0,IF(Fits!$B$38="Row",$AQ68,$AR68)=""),"",IF($BX68=1,IF(OR(Fits!$B$111="",Fits!$B$111=0),"",($X68-(IF(Fits!$B$38="Row",Fits!$B$32,Fits!$B$35)*IF(Fits!$B$38="Row",$AQ68,$AR68)+Fits!$B$110))/(Fits!$B$111*SQRT(1+(1/Fits!$B$107+(IF(Fits!$B$38="Row",$AQ68,$AR68)-Fits!$B$108)^2/Fits!$B$109)))),IF(OR(Fits!$B$107&lt;4,(1/Fits!$B$107+(IF(Fits!$B$38="Row",$AQ68,$AR68)-Fits!$B$108)^2/Fits!$B$109)&gt;=1),"",IF((Fits!$B$116-($X68-(IF(Fits!$B$38="Row",Fits!$B$32,Fits!$B$35)*IF(Fits!$B$38="Row",$AQ68,$AR68)+Fits!$B$110))^2/(1-(1/Fits!$B$107+(IF(Fits!$B$38="Row",$AQ68,$AR68)-Fits!$B$108)^2/Fits!$B$109)))&lt;=0,"",($X68-(IF(Fits!$B$38="Row",Fits!$B$32,Fits!$B$35)*IF(Fits!$B$38="Row",$AQ68,$AR68)+Fits!$B$110))/(SQRT((Fits!$B$116-($X68-(IF(Fits!$B$38="Row",Fits!$B$32,Fits!$B$35)*IF(Fits!$B$38="Row",$AQ68,$AR68)+Fits!$B$110))^2/(1-(1/Fits!$B$107+(IF(Fits!$B$38="Row",$AQ68,$AR68)-Fits!$B$108)^2/Fits!$B$109)))/(Fits!$B$107-3))*SQRT(1-(1/Fits!$B$107+(IF(Fits!$B$38="Row",$AQ68,$AR68)-Fits!$B$108)^2/Fits!$B$109)))))))</f>
        <v/>
      </c>
      <c r="CC68" s="20" t="str">
        <f aca="false">IF(OR($D68&lt;&gt;"Drift",$AC68="",$A68&lt;IF(Setup!$B$14="",0,Setup!$B$14),Fits!$B$120&lt;3,Fits!$B$123="",Fits!$B$122=0,IF(Fits!$B$50="Row",$AQ68,$AR68)=""),"",IF($BY68=1,IF(OR(Fits!$B$124="",Fits!$B$124=0),"",($AC68-(IF(Fits!$B$50="Row",Fits!$B$44,Fits!$B$47)*IF(Fits!$B$50="Row",$AQ68,$AR68)+Fits!$B$123))/(Fits!$B$124*SQRT(1+(1/Fits!$B$120+(IF(Fits!$B$50="Row",$AQ68,$AR68)-Fits!$B$121)^2/Fits!$B$122)))),IF(OR(Fits!$B$120&lt;4,(1/Fits!$B$120+(IF(Fits!$B$50="Row",$AQ68,$AR68)-Fits!$B$121)^2/Fits!$B$122)&gt;=1),"",IF((Fits!$B$129-($AC68-(IF(Fits!$B$50="Row",Fits!$B$44,Fits!$B$47)*IF(Fits!$B$50="Row",$AQ68,$AR68)+Fits!$B$123))^2/(1-(1/Fits!$B$120+(IF(Fits!$B$50="Row",$AQ68,$AR68)-Fits!$B$121)^2/Fits!$B$122)))&lt;=0,"",($AC68-(IF(Fits!$B$50="Row",Fits!$B$44,Fits!$B$47)*IF(Fits!$B$50="Row",$AQ68,$AR68)+Fits!$B$123))/(SQRT((Fits!$B$129-($AC68-(IF(Fits!$B$50="Row",Fits!$B$44,Fits!$B$47)*IF(Fits!$B$50="Row",$AQ68,$AR68)+Fits!$B$123))^2/(1-(1/Fits!$B$120+(IF(Fits!$B$50="Row",$AQ68,$AR68)-Fits!$B$121)^2/Fits!$B$122)))/(Fits!$B$120-3))*SQRT(1-(1/Fits!$B$120+(IF(Fits!$B$50="Row",$AQ68,$AR68)-Fits!$B$121)^2/Fits!$B$122)))))))</f>
        <v/>
      </c>
      <c r="CD68" s="9" t="str">
        <f aca="false">IF($AU68="","",1)</f>
        <v/>
      </c>
      <c r="CE68" s="24" t="str">
        <f aca="false">IF($AU68="","",$AU68-Fits!$B$133)</f>
        <v/>
      </c>
      <c r="CF68" s="24" t="str">
        <f aca="false">IF($AU68="","",($AV68-(Fits!$B$56*$AU68+Fits!$B$57))-Fits!$B$56*($AU68-Fits!$B$133))</f>
        <v/>
      </c>
      <c r="CG68" s="25" t="str">
        <f aca="false">IF($AU68="","",$AU68^2)</f>
        <v/>
      </c>
      <c r="CH68" s="9" t="str">
        <f aca="false">IF($AW68="","",1)</f>
        <v/>
      </c>
      <c r="CI68" s="24" t="str">
        <f aca="false">IF($AW68="","",$AW68-Fits!$B$153)</f>
        <v/>
      </c>
      <c r="CJ68" s="24" t="str">
        <f aca="false">IF($AW68="","",($AX68-(Fits!$B$63*$AW68+Fits!$B$64))-Fits!$B$63*($AW68-Fits!$B$153))</f>
        <v/>
      </c>
      <c r="CK68" s="25" t="str">
        <f aca="false">IF($AW68="","",$AW68^2)</f>
        <v/>
      </c>
      <c r="CL68" s="26" t="str">
        <f aca="false">IF(OR($Z68="",Fits!$B$55&lt;3,Fits!$B$133="",Fits!$B$134="",Fits!$B$134=0,Fits!$B$136=""),"",SQRT((Fits!$B$136*Fits!$B$56)^2+SUMPRODUCT((Fits!$J$163:$J$175*(Fits!$B$163:$B$175/Fits!$B$55+Fits!$H$163:$H$175*($Z68-Fits!$B$133)/Fits!$B$134))^2)+SUMPRODUCT((Fits!$G$163:$G$175*(($Z68-Fits!$B$133)*Fits!$I$163:$I$175/Fits!$B$134-Fits!$B$163:$B$175*Fits!$B$56/Fits!$B$55))^2)))</f>
        <v/>
      </c>
      <c r="CM68" s="26" t="str">
        <f aca="false">IF($CL68="","",Setup!$B$32*$CL68)</f>
        <v/>
      </c>
      <c r="CN68" s="26" t="str">
        <f aca="false">IF(OR($AE68="",Fits!$B$62&lt;3,Fits!$B$153="",Fits!$B$154="",Fits!$B$154=0,Fits!$B$156=""),"",SQRT((Fits!$B$156*Fits!$B$63)^2+SUMPRODUCT((Fits!$J$183:$J$195*(Fits!$B$183:$B$195/Fits!$B$62+Fits!$H$183:$H$195*($AE68-Fits!$B$153)/Fits!$B$154))^2)+SUMPRODUCT((Fits!$G$183:$G$195*(($AE68-Fits!$B$153)*Fits!$I$183:$I$195/Fits!$B$154-Fits!$B$183:$B$195*Fits!$B$63/Fits!$B$62))^2)))</f>
        <v/>
      </c>
      <c r="CO68" s="26" t="str">
        <f aca="false">IF($CN68="","",Setup!$B$32*$CN68)</f>
        <v/>
      </c>
      <c r="CP68" s="9" t="n">
        <f aca="false">IF(OR(NOT(ISNUMBER($BJ68)),$EK68=1),$CP67,IF($BJ68&lt;=Setup!$B$26,$CP67+1,0))</f>
        <v>26</v>
      </c>
      <c r="CQ68" s="9" t="str">
        <f aca="false">IF($BT68="","",$A68)</f>
        <v/>
      </c>
      <c r="CR68" s="9" t="str">
        <f aca="false">IF($BW68="","",$A68)</f>
        <v/>
      </c>
      <c r="CS68" s="9" t="str">
        <f aca="false">IF($B68="","",IF(Setup!$A$37="",0,IF(ISNUMBER(SEARCH(Setup!$A$37,$B68)),37,0)))</f>
        <v/>
      </c>
      <c r="CT68" s="9" t="str">
        <f aca="false">IF($B68="","",IF(Setup!$A$38="",0,IF(ISNUMBER(SEARCH(Setup!$A$38,$B68)),38,0)))</f>
        <v/>
      </c>
      <c r="CU68" s="9" t="str">
        <f aca="false">IF($B68="","",IF(Setup!$A$39="",0,IF(ISNUMBER(SEARCH(Setup!$A$39,$B68)),39,0)))</f>
        <v/>
      </c>
      <c r="CV68" s="9" t="str">
        <f aca="false">IF($B68="","",IF(Setup!$A$40="",0,IF(ISNUMBER(SEARCH(Setup!$A$40,$B68)),40,0)))</f>
        <v/>
      </c>
      <c r="CW68" s="9" t="str">
        <f aca="false">IF($B68="","",IF(Setup!$A$41="",0,IF(ISNUMBER(SEARCH(Setup!$A$41,$B68)),41,0)))</f>
        <v/>
      </c>
      <c r="CX68" s="9" t="str">
        <f aca="false">IF($B68="","",IF(Setup!$A$42="",0,IF(ISNUMBER(SEARCH(Setup!$A$42,$B68)),42,0)))</f>
        <v/>
      </c>
      <c r="CY68" s="9" t="str">
        <f aca="false">IF($B68="","",IF(Setup!$A$43="",0,IF(ISNUMBER(SEARCH(Setup!$A$43,$B68)),43,0)))</f>
        <v/>
      </c>
      <c r="CZ68" s="9" t="str">
        <f aca="false">IF($B68="","",IF(Setup!$A$44="",0,IF(ISNUMBER(SEARCH(Setup!$A$44,$B68)),44,0)))</f>
        <v/>
      </c>
      <c r="DA68" s="9" t="str">
        <f aca="false">IF($B68="","",IF(Setup!$A$45="",0,IF(ISNUMBER(SEARCH(Setup!$A$45,$B68)),45,0)))</f>
        <v/>
      </c>
      <c r="DB68" s="9" t="str">
        <f aca="false">IF($B68="","",IF(Setup!$A$46="",0,IF(ISNUMBER(SEARCH(Setup!$A$46,$B68)),46,0)))</f>
        <v/>
      </c>
      <c r="DC68" s="9" t="str">
        <f aca="false">IF($B68="","",IF(Setup!$A$47="",0,IF(ISNUMBER(SEARCH(Setup!$A$47,$B68)),47,0)))</f>
        <v/>
      </c>
      <c r="DD68" s="9" t="str">
        <f aca="false">IF($B68="","",IF(Setup!$A$48="",0,IF(ISNUMBER(SEARCH(Setup!$A$48,$B68)),48,0)))</f>
        <v/>
      </c>
      <c r="DE68" s="9" t="str">
        <f aca="false">IF($B68="","",IF(Setup!$A$49="",0,IF(ISNUMBER(SEARCH(Setup!$A$49,$B68)),49,0)))</f>
        <v/>
      </c>
      <c r="DF68" s="9" t="e">
        <f aca="false">IF($B68="",NA(),$A68)</f>
        <v>#N/A</v>
      </c>
      <c r="DG68" s="9" t="e">
        <f aca="false">IF($BI68="",NA(),$BI68)</f>
        <v>#N/A</v>
      </c>
      <c r="DH68" s="9" t="e">
        <f aca="false">IF($N68="",NA(),$N68)</f>
        <v>#N/A</v>
      </c>
      <c r="DI68" s="9" t="e">
        <f aca="false">IF(AND($D68="Drift",$N68&lt;&gt;""),$N68,NA())</f>
        <v>#N/A</v>
      </c>
      <c r="DJ68" s="9" t="str">
        <f aca="false">IF(AND($D68="Drift",$N68&lt;&gt;""),$N68,"")</f>
        <v/>
      </c>
      <c r="DK68" s="9" t="str">
        <f aca="false">IF($DJ68="","",$A68)</f>
        <v/>
      </c>
      <c r="DL68" s="9" t="e">
        <f aca="false">IF($AN68="",NA(),$AM68)</f>
        <v>#N/A</v>
      </c>
      <c r="DM68" s="9" t="e">
        <f aca="false">IF($AN68="",NA(),$AN68)</f>
        <v>#N/A</v>
      </c>
      <c r="DN68" s="9" t="e">
        <f aca="false">IF(AND($D68="Sample",$L68&lt;&gt;""),$L68,NA())</f>
        <v>#N/A</v>
      </c>
      <c r="DO68" s="9" t="e">
        <f aca="false">IF(AND($D68="Sample",$L68&lt;&gt;"",Fits!$B$98&lt;&gt;""),Fits!$B$98,NA())</f>
        <v>#N/A</v>
      </c>
      <c r="DP68" s="9" t="e">
        <f aca="false">IF($AS68="",NA(),$AS68)</f>
        <v>#N/A</v>
      </c>
      <c r="DQ68" s="9" t="e">
        <f aca="false">IF(AND($D68="Drift",$AS68="",$X68&lt;&gt;""),$X68,NA())</f>
        <v>#N/A</v>
      </c>
      <c r="DR68" s="9" t="e">
        <f aca="false">IF(AND($D68="Drift",$Z68&lt;&gt;""),$Z68,NA())</f>
        <v>#N/A</v>
      </c>
      <c r="DS68" s="9" t="e">
        <f aca="false">IF(AND(OR($D68="Sample",$D68="Check"),$AA68&lt;&gt;""),$AA68,NA())</f>
        <v>#N/A</v>
      </c>
      <c r="DT68" s="9" t="e">
        <f aca="false">IF(OR($B68="",Fits!$B$138=""),NA(),Fits!$B$138)</f>
        <v>#N/A</v>
      </c>
      <c r="DU68" s="9" t="e">
        <f aca="false">IF(OR($B68="",Fits!$B$139=""),NA(),Fits!$B$139)</f>
        <v>#N/A</v>
      </c>
      <c r="DV68" s="9" t="e">
        <f aca="false">IF($BT68="",NA(),$BT68)</f>
        <v>#N/A</v>
      </c>
      <c r="DW68" s="9" t="e">
        <f aca="false">IF($AP68="",NA(),$AO68)</f>
        <v>#N/A</v>
      </c>
      <c r="DX68" s="9" t="e">
        <f aca="false">IF($AP68="",NA(),$AP68)</f>
        <v>#N/A</v>
      </c>
      <c r="DY68" s="9" t="e">
        <f aca="false">IF(AND($D68="Sample",$P68&lt;&gt;""),$P68,NA())</f>
        <v>#N/A</v>
      </c>
      <c r="DZ68" s="9" t="e">
        <f aca="false">IF(AND($D68="Sample",$P68&lt;&gt;"",Fits!$B$105&lt;&gt;""),Fits!$B$105,NA())</f>
        <v>#N/A</v>
      </c>
      <c r="EA68" s="9" t="e">
        <f aca="false">IF($AT68="",NA(),$AT68)</f>
        <v>#N/A</v>
      </c>
      <c r="EB68" s="9" t="e">
        <f aca="false">IF(AND($D68="Drift",$AT68="",$AC68&lt;&gt;""),$AC68,NA())</f>
        <v>#N/A</v>
      </c>
      <c r="EC68" s="9" t="e">
        <f aca="false">IF(AND($D68="Drift",$AE68&lt;&gt;""),$AE68,NA())</f>
        <v>#N/A</v>
      </c>
      <c r="ED68" s="9" t="e">
        <f aca="false">IF(AND(OR($D68="Sample",$D68="Check"),$AF68&lt;&gt;""),$AF68,NA())</f>
        <v>#N/A</v>
      </c>
      <c r="EE68" s="9" t="e">
        <f aca="false">IF(OR($B68="",Fits!$B$158=""),NA(),Fits!$B$158)</f>
        <v>#N/A</v>
      </c>
      <c r="EF68" s="9" t="e">
        <f aca="false">IF(OR($B68="",Fits!$B$159=""),NA(),Fits!$B$159)</f>
        <v>#N/A</v>
      </c>
      <c r="EG68" s="9" t="e">
        <f aca="false">IF($BW68="",NA(),$BW68)</f>
        <v>#N/A</v>
      </c>
      <c r="EH68" s="9" t="e">
        <f aca="false">IF(AND($EN68=1,ISNUMBER($N68)),$N68,NA())</f>
        <v>#N/A</v>
      </c>
      <c r="EI68" s="9" t="str">
        <f aca="false">IF($B68="","",$A68)</f>
        <v/>
      </c>
      <c r="EJ68" s="9" t="n">
        <f aca="false">IF(OR(AND(ISNUMBER($L68),Fits!$B$97&gt;0,$L68&gt;Fits!$B$97),AND(ISNUMBER($P68),Fits!$B$104&gt;0,$P68&gt;Fits!$B$104)),1,0)</f>
        <v>0</v>
      </c>
      <c r="EK68" s="9" t="n">
        <f aca="false">IF(OR($EJ67=1,$EJ66=1),1,0)</f>
        <v>0</v>
      </c>
      <c r="EL68" s="22" t="n">
        <f aca="false">IF(AND($EK68=0,ISNUMBER($N68)),$N68,$EL67)</f>
        <v>25.7</v>
      </c>
      <c r="EM68" s="9" t="str">
        <f aca="false">IF(AND($EK68=1,ISNUMBER($N68),ISNUMBER($EL68)),$N68-$EL68,"")</f>
        <v/>
      </c>
      <c r="EN68" s="9" t="n">
        <f aca="false">IF(Setup!$B$28="",0,IF(ISNUMBER($EM68),IF($EM68&gt;Setup!$B$28,1,0),0))</f>
        <v>0</v>
      </c>
      <c r="EO68" s="9" t="str">
        <f aca="false">IF($EN68=1,COUNTIF($EN$6:$EN68,1),"")</f>
        <v/>
      </c>
      <c r="EP68" s="9" t="n">
        <f aca="false">IF(AND($EJ67=1,OR($D68="Sample",$D68="Check")),1,0)</f>
        <v>0</v>
      </c>
      <c r="EQ68" s="9" t="str">
        <f aca="false">IF(ISNUMBER($BI68),IF(COUNT($BI$6:$BI68)&lt;=5,$BI68,""),"")</f>
        <v/>
      </c>
      <c r="ER68" s="9" t="n">
        <f aca="false">IF(OR(NOT(ISNUMBER($BJ68)),$EK68=1),$ER67,IF($BJ68&lt;=Setup!$B$26,IF($CP67=0,$A68,$ER67),""))</f>
        <v>27</v>
      </c>
    </row>
    <row r="69" customFormat="false" ht="15" hidden="false" customHeight="false" outlineLevel="0" collapsed="false">
      <c r="A69" s="8" t="n">
        <v>64</v>
      </c>
      <c r="B69" s="8" t="str">
        <f aca="false">IFERROR(INDEX(Raw!$B$2:$B$1001,MATCH($A69,Raw!$A$2:$A$1001,0)),"")</f>
        <v/>
      </c>
      <c r="C69" s="9" t="str">
        <f aca="false">IF($B69="","",MAX($CS69:$DE69))</f>
        <v/>
      </c>
      <c r="D69" s="8" t="str">
        <f aca="false">IF($B69="","",IF($C69=0,"Sample",INDEX(Setup!$B$37:$B$49,$C69-36)))</f>
        <v/>
      </c>
      <c r="E69" s="16" t="str">
        <f aca="false">IF($B69="","",IFERROR(IF(INDEX(Raw!$E$2:$E$1001,MATCH($A69,Raw!$A$2:$A$1001,0))=0,"",INDEX(Raw!$E$2:$E$1001,MATCH($A69,Raw!$A$2:$A$1001,0))),""))</f>
        <v/>
      </c>
      <c r="F69" s="18"/>
      <c r="G69" s="16" t="str">
        <f aca="false">IF($B69="","",IF($F69&lt;&gt;"",$F69,IF($E69="","",$E69)))</f>
        <v/>
      </c>
      <c r="H69" s="9" t="str">
        <f aca="false">IF($B69="","",SUMPRODUCT(MAX((Raw!$A$2:$A$1001=$A69)*(Raw!$R$2:$R$1001="N")*Raw!$D$2:$D$1001)))</f>
        <v/>
      </c>
      <c r="I69" s="9" t="str">
        <f aca="false">IF(OR($H69="",$H69=0),"",$A69&amp;"|N|"&amp;$H69)</f>
        <v/>
      </c>
      <c r="J69" s="9" t="str">
        <f aca="false">IF($B69="","",SUMPRODUCT(MIN((Raw!$A$2:$A$1001=$A69)*(Raw!$R$2:$R$1001="C")*Raw!$D$2:$D$1001+(1-(Raw!$A$2:$A$1001=$A69)*(Raw!$R$2:$R$1001="C"))*9999)))</f>
        <v/>
      </c>
      <c r="K69" s="9" t="str">
        <f aca="false">IF(OR($J69="",$J69=0,$J69=9999),"",$A69&amp;"|C|"&amp;$J69)</f>
        <v/>
      </c>
      <c r="L69" s="16" t="str">
        <f aca="false">IF($I69="","",IF(INDEX(Raw!$I$2:$I$1001,MATCH($I69,Raw!$S$2:$S$1001,0))&lt;&gt;0,"",INDEX(Raw!$H$2:$H$1001,MATCH($I69,Raw!$S$2:$S$1001,0))))</f>
        <v/>
      </c>
      <c r="M69" s="19" t="str">
        <f aca="false">IF($I69="","",IF(INDEX(Raw!$I$2:$I$1001,MATCH($I69,Raw!$S$2:$S$1001,0))&lt;&gt;0,"",INDEX(Raw!$F$2:$F$1001,MATCH($I69,Raw!$S$2:$S$1001,0))))</f>
        <v/>
      </c>
      <c r="N69" s="20" t="str">
        <f aca="false">IF($I69="","",IF(INDEX(Raw!$I$2:$I$1001,MATCH($I69,Raw!$S$2:$S$1001,0))&lt;&gt;0,"",INDEX(Raw!$G$2:$G$1001,MATCH($I69,Raw!$S$2:$S$1001,0))))</f>
        <v/>
      </c>
      <c r="O69" s="16" t="str">
        <f aca="false">IF($I69="","",IF(INDEX(Raw!$I$2:$I$1001,MATCH($I69,Raw!$S$2:$S$1001,0))&lt;&gt;0,"",INDEX(Raw!$N$2:$N$1001,MATCH($I69,Raw!$S$2:$S$1001,0))))</f>
        <v/>
      </c>
      <c r="P69" s="16" t="str">
        <f aca="false">IF($K69="","",IF(INDEX(Raw!$I$2:$I$1001,MATCH($K69,Raw!$S$2:$S$1001,0))&lt;&gt;0,"",INDEX(Raw!$K$2:$K$1001,MATCH($K69,Raw!$S$2:$S$1001,0))))</f>
        <v/>
      </c>
      <c r="Q69" s="19" t="str">
        <f aca="false">IF($K69="","",IF(INDEX(Raw!$I$2:$I$1001,MATCH($K69,Raw!$S$2:$S$1001,0))&lt;&gt;0,"",INDEX(Raw!$J$2:$J$1001,MATCH($K69,Raw!$S$2:$S$1001,0))))</f>
        <v/>
      </c>
      <c r="R69" s="16" t="str">
        <f aca="false">IF($K69="","",IF(INDEX(Raw!$I$2:$I$1001,MATCH($K69,Raw!$S$2:$S$1001,0))&lt;&gt;0,"",INDEX(Raw!$O$2:$O$1001,MATCH($K69,Raw!$S$2:$S$1001,0))))</f>
        <v/>
      </c>
      <c r="S69" s="21" t="str">
        <f aca="false">IF($B69="","",IF($C69=0,"",IF(INDEX(Setup!$D$37:$D$49,$C69-36)="","",INDEX(Setup!$D$37:$D$49,$C69-36))))</f>
        <v/>
      </c>
      <c r="T69" s="21" t="str">
        <f aca="false">IF($B69="","",IF($C69=0,"",IF(INDEX(Setup!$C$37:$C$49,$C69-36)="","",INDEX(Setup!$C$37:$C$49,$C69-36))))</f>
        <v/>
      </c>
      <c r="U69" s="21" t="str">
        <f aca="false">IF($B69="","",IF($C69=0,"",IF(INDEX(Setup!$F$37:$F$49,$C69-36)="","",INDEX(Setup!$F$37:$F$49,$C69-36))))</f>
        <v/>
      </c>
      <c r="V69" s="21" t="str">
        <f aca="false">IF($B69="","",IF($C69=0,"",IF(INDEX(Setup!$E$37:$E$49,$C69-36)="","",INDEX(Setup!$E$37:$E$49,$C69-36))))</f>
        <v/>
      </c>
      <c r="W69" s="16" t="str">
        <f aca="false">IF($O69="","",IF(OR(Fits!$C$5&lt;&gt;"Yes",$D69="Blank",$L69&lt;=Fits!$B$6),$O69,($L69*$O69-Fits!$B$6*Fits!$B$7)/($L69-Fits!$B$6)))</f>
        <v/>
      </c>
      <c r="X69" s="16" t="str">
        <f aca="false">IF($W69="","",$W69-Fits!$B$20*($L69-Fits!$B$16))</f>
        <v/>
      </c>
      <c r="Y69" s="22" t="str">
        <f aca="false">IF($W69="","",IF(OR(Fits!$B$38="Row",$BI69=""),$A69,$BI69))</f>
        <v/>
      </c>
      <c r="Z69" s="16" t="str">
        <f aca="false">IF($X69="","",$X69-Fits!$B$39*($Y69-Fits!$B$40))</f>
        <v/>
      </c>
      <c r="AA69" s="23" t="str">
        <f aca="false">IF(OR($Z69="",Fits!$B$55&lt;2),"",Fits!$B$56*$Z69+Fits!$B$57)</f>
        <v/>
      </c>
      <c r="AB69" s="16" t="str">
        <f aca="false">IF($R69="","",IF(OR(Fits!$C$9&lt;&gt;"Yes",$D69="Blank",$P69&lt;=Fits!$B$10),$R69,($P69*$R69-Fits!$B$10*Fits!$B$11)/($P69-Fits!$B$10)))</f>
        <v/>
      </c>
      <c r="AC69" s="16" t="str">
        <f aca="false">IF($AB69="","",$AB69-Fits!$B$28*($P69-Fits!$B$24))</f>
        <v/>
      </c>
      <c r="AD69" s="22" t="str">
        <f aca="false">IF($AB69="","",IF(OR(Fits!$B$50="Row",$BI69=""),$A69,$BI69))</f>
        <v/>
      </c>
      <c r="AE69" s="16" t="str">
        <f aca="false">IF($AC69="","",$AC69-Fits!$B$51*($AD69-Fits!$B$52))</f>
        <v/>
      </c>
      <c r="AF69" s="23" t="str">
        <f aca="false">IF(OR($AE69="",Fits!$B$62&lt;2),"",Fits!$B$63*$AE69+Fits!$B$64)</f>
        <v/>
      </c>
      <c r="AG69" s="21" t="str">
        <f aca="false">IF(OR($L69="",Fits!$B$69&lt;3),"",($L69-Fits!$B$71)/Fits!$B$70)</f>
        <v/>
      </c>
      <c r="AH69" s="21" t="str">
        <f aca="false">IF(OR($P69="",Fits!$B$75&lt;3),"",($P69-Fits!$B$77)/Fits!$B$76)</f>
        <v/>
      </c>
      <c r="AI69" s="23" t="str">
        <f aca="false">IF(OR($AG69="",$G69="",$G69=0),"",$AG69/($G69*1000)*100)</f>
        <v/>
      </c>
      <c r="AJ69" s="23" t="str">
        <f aca="false">IF(OR($AH69="",$G69="",$G69=0),"",$AH69/($G69*1000)*100)</f>
        <v/>
      </c>
      <c r="AK69" s="23" t="str">
        <f aca="false">IF(OR($AG69="",$AH69="",$AG69&lt;=0),"",($AH69/Setup!$B$52)/($AG69/Setup!$B$53))</f>
        <v/>
      </c>
      <c r="AL69" s="23" t="str">
        <f aca="false">IF(OR($AG69="",$AH69="",$AG69&lt;=0),"",$AH69/$AG69)</f>
        <v/>
      </c>
      <c r="AM69" s="9" t="str">
        <f aca="false">IF($D69="Linearity",IF($L69="","",$L69),"")</f>
        <v/>
      </c>
      <c r="AN69" s="9" t="str">
        <f aca="false">IF($D69="Linearity",IF($W69="","",$W69),"")</f>
        <v/>
      </c>
      <c r="AO69" s="9" t="str">
        <f aca="false">IF($D69="Linearity",IF($P69="","",$P69),"")</f>
        <v/>
      </c>
      <c r="AP69" s="9" t="str">
        <f aca="false">IF($D69="Linearity",IF($AB69="","",$AB69),"")</f>
        <v/>
      </c>
      <c r="AQ69" s="9" t="str">
        <f aca="false">IF($D69="Drift",IF($A69&lt;IF(Setup!$B$14="",0,Setup!$B$14),"",$A69),"")</f>
        <v/>
      </c>
      <c r="AR69" s="9" t="str">
        <f aca="false">IF($D69="Drift",IF($A69&lt;IF(Setup!$B$14="",0,Setup!$B$14),"",IF($BI69="","",$BI69)),"")</f>
        <v/>
      </c>
      <c r="AS69" s="9" t="str">
        <f aca="false">IF($D69="Drift",IF($A69&lt;IF(Setup!$B$14="",0,Setup!$B$14),"",IF(OR($X69="",$BX69=1),"",$X69)),"")</f>
        <v/>
      </c>
      <c r="AT69" s="9" t="str">
        <f aca="false">IF($D69="Drift",IF($A69&lt;IF(Setup!$B$14="",0,Setup!$B$14),"",IF(OR($AC69="",$BY69=1),"",$AC69)),"")</f>
        <v/>
      </c>
      <c r="AU69" s="9" t="str">
        <f aca="false">IF($D69="Anchor",IF(OR($Z69="",$S69=""),"",$Z69),"")</f>
        <v/>
      </c>
      <c r="AV69" s="9" t="str">
        <f aca="false">IF($D69="Anchor",IF(OR($Z69="",$S69=""),"",$S69),"")</f>
        <v/>
      </c>
      <c r="AW69" s="9" t="str">
        <f aca="false">IF($D69="Anchor",IF(OR($AE69="",$T69=""),"",$AE69),"")</f>
        <v/>
      </c>
      <c r="AX69" s="9" t="str">
        <f aca="false">IF($D69="Anchor",IF(OR($AE69="",$T69=""),"",$T69),"")</f>
        <v/>
      </c>
      <c r="AY69" s="9" t="str">
        <f aca="false">IF(OR($D69="Blank",$D69="Exclude",$D69="Sample",$D69="",$G69="",$U69="",$L69=""),"",$G69*1000*$U69/100)</f>
        <v/>
      </c>
      <c r="AZ69" s="9" t="str">
        <f aca="false">IF($AY69="","",$L69)</f>
        <v/>
      </c>
      <c r="BA69" s="9" t="str">
        <f aca="false">IF(OR($D69="Blank",$D69="Exclude",$D69="Sample",$D69="",$G69="",$V69="",$P69=""),"",$G69*1000*$V69/100)</f>
        <v/>
      </c>
      <c r="BB69" s="9" t="str">
        <f aca="false">IF($BA69="","",$P69)</f>
        <v/>
      </c>
      <c r="BC69" s="9" t="str">
        <f aca="false">IF(AND($D69="Blank",$L69&lt;&gt;""),$O69,"")</f>
        <v/>
      </c>
      <c r="BD69" s="9" t="str">
        <f aca="false">IF($BC69="","",$L69)</f>
        <v/>
      </c>
      <c r="BE69" s="9" t="str">
        <f aca="false">IF(AND($D69="Blank",$P69&lt;&gt;""),$R69,"")</f>
        <v/>
      </c>
      <c r="BF69" s="9" t="str">
        <f aca="false">IF($BE69="","",$P69)</f>
        <v/>
      </c>
      <c r="BG69" s="9" t="str">
        <f aca="false">IF(AND($D69="Drift",$BX69&lt;&gt;1),IF($AA69="","",$AA69),"")</f>
        <v/>
      </c>
      <c r="BH69" s="9" t="str">
        <f aca="false">IF(AND($D69="Drift",$BY69&lt;&gt;1),IF($AF69="","",$AF69),"")</f>
        <v/>
      </c>
      <c r="BI69" s="20" t="str">
        <f aca="false">IF($B69="","",IFERROR(INDEX(Raw!$G$2:$G$1001,MATCH($A69&amp;"|N|"&amp;SUMPRODUCT(MAX((Raw!$A$2:$A$1001=$A69)*(Raw!$R$2:$R$1001="N")*(Raw!$I$2:$I$1001=1)*Raw!$D$2:$D$1001)),Raw!$S$2:$S$1001,0)),""))</f>
        <v/>
      </c>
      <c r="BJ69" s="21" t="str">
        <f aca="false">IF(OR($BI69="",Fits!$B$85&lt;=0),"",($BI69-Fits!$B$83)/Fits!$B$85)</f>
        <v/>
      </c>
      <c r="BK69" s="9" t="str">
        <f aca="false">IF($AS69="","",IF($A69&gt;=Fits!$B$86,"",$A69))</f>
        <v/>
      </c>
      <c r="BL69" s="9" t="str">
        <f aca="false">IF($BK69="","",$X69)</f>
        <v/>
      </c>
      <c r="BM69" s="9" t="str">
        <f aca="false">IF($AS69="","",IF($A69&lt;Fits!$B$86,"",$A69))</f>
        <v/>
      </c>
      <c r="BN69" s="9" t="str">
        <f aca="false">IF($BM69="","",$X69)</f>
        <v/>
      </c>
      <c r="BO69" s="9" t="str">
        <f aca="false">IF(AND($D69="Drift",$BX69&lt;&gt;1),IF($O69="","",$O69),"")</f>
        <v/>
      </c>
      <c r="BP69" s="9" t="str">
        <f aca="false">IF(AND($D69="Drift",$BX69&lt;&gt;1),IF($W69="","",$W69),"")</f>
        <v/>
      </c>
      <c r="BQ69" s="9" t="str">
        <f aca="false">IF(AND($D69="Drift",$BX69&lt;&gt;1),IF($X69="","",$X69),"")</f>
        <v/>
      </c>
      <c r="BR69" s="9" t="str">
        <f aca="false">IF(AND($D69="Drift",$BX69&lt;&gt;1),IF($Z69="","",$Z69),"")</f>
        <v/>
      </c>
      <c r="BS69" s="9" t="str">
        <f aca="false">IF(OR($B69="",$H69=""),"",SUMPRODUCT(MIN((Raw!$A$2:$A$1001=$A69)*(Raw!$R$2:$R$1001="N")*(Raw!$I$2:$I$1001=0)*(Raw!$D$2:$D$1001&lt;$H69)*Raw!$D$2:$D$1001+(1-(Raw!$A$2:$A$1001=$A69)*(Raw!$R$2:$R$1001="N")*(Raw!$I$2:$I$1001=0)*(Raw!$D$2:$D$1001&lt;$H69))*9999)))</f>
        <v/>
      </c>
      <c r="BT69" s="16" t="str">
        <f aca="false">IF(OR($BS69="",$BS69=9999,$BS69=0),"",IFERROR(INDEX(Raw!$N$2:$N$1001,MATCH($A69&amp;"|N|"&amp;$BS69,Raw!$S$2:$S$1001,0)),""))</f>
        <v/>
      </c>
      <c r="BU69" s="9" t="str">
        <f aca="false">IF($B69="","",SUMPRODUCT(MIN((Raw!$A$2:$A$1001=$A69)*(Raw!$R$2:$R$1001="C")*(Raw!$I$2:$I$1001=1)*Raw!$D$2:$D$1001+(1-(Raw!$A$2:$A$1001=$A69)*(Raw!$R$2:$R$1001="C")*(Raw!$I$2:$I$1001=1))*9999)))</f>
        <v/>
      </c>
      <c r="BV69" s="9" t="str">
        <f aca="false">IF(OR($BU69="",$BU69=9999),"",SUMPRODUCT(MIN((Raw!$A$2:$A$1001=$A69)*(Raw!$R$2:$R$1001="C")*(Raw!$I$2:$I$1001=0)*(Raw!$D$2:$D$1001&gt;$BU69)*Raw!$D$2:$D$1001+(1-(Raw!$A$2:$A$1001=$A69)*(Raw!$R$2:$R$1001="C")*(Raw!$I$2:$I$1001=0)*(Raw!$D$2:$D$1001&gt;$BU69))*9999)))</f>
        <v/>
      </c>
      <c r="BW69" s="16" t="str">
        <f aca="false">IF(OR($BV69="",$BV69=9999,$BV69=0),"",IFERROR(INDEX(Raw!$O$2:$O$1001,MATCH($A69&amp;"|C|"&amp;$BV69,Raw!$S$2:$S$1001,0)),""))</f>
        <v/>
      </c>
      <c r="BX69" s="9" t="str">
        <f aca="false">IF($B69="","",IF(ISNUMBER(SEARCH(","&amp;$A69&amp;",",","&amp;SUBSTITUTE(Setup!$B$16," ","")&amp;",")),1,0))</f>
        <v/>
      </c>
      <c r="BY69" s="9" t="str">
        <f aca="false">IF($B69="","",IF(ISNUMBER(SEARCH(","&amp;$A69&amp;",",","&amp;SUBSTITUTE(Setup!$B$17," ","")&amp;",")),1,0))</f>
        <v/>
      </c>
      <c r="BZ69" s="22" t="str">
        <f aca="false">IF($AS69="","",IF(Fits!$B$38="Row",$AQ69,IF($AR69="","",$AR69)))</f>
        <v/>
      </c>
      <c r="CA69" s="22" t="str">
        <f aca="false">IF($AT69="","",IF(Fits!$B$50="Row",$AQ69,IF($AR69="","",$AR69)))</f>
        <v/>
      </c>
      <c r="CB69" s="20" t="str">
        <f aca="false">IF(OR($D69&lt;&gt;"Drift",$X69="",$A69&lt;IF(Setup!$B$14="",0,Setup!$B$14),Fits!$B$107&lt;3,Fits!$B$110="",Fits!$B$109=0,IF(Fits!$B$38="Row",$AQ69,$AR69)=""),"",IF($BX69=1,IF(OR(Fits!$B$111="",Fits!$B$111=0),"",($X69-(IF(Fits!$B$38="Row",Fits!$B$32,Fits!$B$35)*IF(Fits!$B$38="Row",$AQ69,$AR69)+Fits!$B$110))/(Fits!$B$111*SQRT(1+(1/Fits!$B$107+(IF(Fits!$B$38="Row",$AQ69,$AR69)-Fits!$B$108)^2/Fits!$B$109)))),IF(OR(Fits!$B$107&lt;4,(1/Fits!$B$107+(IF(Fits!$B$38="Row",$AQ69,$AR69)-Fits!$B$108)^2/Fits!$B$109)&gt;=1),"",IF((Fits!$B$116-($X69-(IF(Fits!$B$38="Row",Fits!$B$32,Fits!$B$35)*IF(Fits!$B$38="Row",$AQ69,$AR69)+Fits!$B$110))^2/(1-(1/Fits!$B$107+(IF(Fits!$B$38="Row",$AQ69,$AR69)-Fits!$B$108)^2/Fits!$B$109)))&lt;=0,"",($X69-(IF(Fits!$B$38="Row",Fits!$B$32,Fits!$B$35)*IF(Fits!$B$38="Row",$AQ69,$AR69)+Fits!$B$110))/(SQRT((Fits!$B$116-($X69-(IF(Fits!$B$38="Row",Fits!$B$32,Fits!$B$35)*IF(Fits!$B$38="Row",$AQ69,$AR69)+Fits!$B$110))^2/(1-(1/Fits!$B$107+(IF(Fits!$B$38="Row",$AQ69,$AR69)-Fits!$B$108)^2/Fits!$B$109)))/(Fits!$B$107-3))*SQRT(1-(1/Fits!$B$107+(IF(Fits!$B$38="Row",$AQ69,$AR69)-Fits!$B$108)^2/Fits!$B$109)))))))</f>
        <v/>
      </c>
      <c r="CC69" s="20" t="str">
        <f aca="false">IF(OR($D69&lt;&gt;"Drift",$AC69="",$A69&lt;IF(Setup!$B$14="",0,Setup!$B$14),Fits!$B$120&lt;3,Fits!$B$123="",Fits!$B$122=0,IF(Fits!$B$50="Row",$AQ69,$AR69)=""),"",IF($BY69=1,IF(OR(Fits!$B$124="",Fits!$B$124=0),"",($AC69-(IF(Fits!$B$50="Row",Fits!$B$44,Fits!$B$47)*IF(Fits!$B$50="Row",$AQ69,$AR69)+Fits!$B$123))/(Fits!$B$124*SQRT(1+(1/Fits!$B$120+(IF(Fits!$B$50="Row",$AQ69,$AR69)-Fits!$B$121)^2/Fits!$B$122)))),IF(OR(Fits!$B$120&lt;4,(1/Fits!$B$120+(IF(Fits!$B$50="Row",$AQ69,$AR69)-Fits!$B$121)^2/Fits!$B$122)&gt;=1),"",IF((Fits!$B$129-($AC69-(IF(Fits!$B$50="Row",Fits!$B$44,Fits!$B$47)*IF(Fits!$B$50="Row",$AQ69,$AR69)+Fits!$B$123))^2/(1-(1/Fits!$B$120+(IF(Fits!$B$50="Row",$AQ69,$AR69)-Fits!$B$121)^2/Fits!$B$122)))&lt;=0,"",($AC69-(IF(Fits!$B$50="Row",Fits!$B$44,Fits!$B$47)*IF(Fits!$B$50="Row",$AQ69,$AR69)+Fits!$B$123))/(SQRT((Fits!$B$129-($AC69-(IF(Fits!$B$50="Row",Fits!$B$44,Fits!$B$47)*IF(Fits!$B$50="Row",$AQ69,$AR69)+Fits!$B$123))^2/(1-(1/Fits!$B$120+(IF(Fits!$B$50="Row",$AQ69,$AR69)-Fits!$B$121)^2/Fits!$B$122)))/(Fits!$B$120-3))*SQRT(1-(1/Fits!$B$120+(IF(Fits!$B$50="Row",$AQ69,$AR69)-Fits!$B$121)^2/Fits!$B$122)))))))</f>
        <v/>
      </c>
      <c r="CD69" s="9" t="str">
        <f aca="false">IF($AU69="","",1)</f>
        <v/>
      </c>
      <c r="CE69" s="24" t="str">
        <f aca="false">IF($AU69="","",$AU69-Fits!$B$133)</f>
        <v/>
      </c>
      <c r="CF69" s="24" t="str">
        <f aca="false">IF($AU69="","",($AV69-(Fits!$B$56*$AU69+Fits!$B$57))-Fits!$B$56*($AU69-Fits!$B$133))</f>
        <v/>
      </c>
      <c r="CG69" s="25" t="str">
        <f aca="false">IF($AU69="","",$AU69^2)</f>
        <v/>
      </c>
      <c r="CH69" s="9" t="str">
        <f aca="false">IF($AW69="","",1)</f>
        <v/>
      </c>
      <c r="CI69" s="24" t="str">
        <f aca="false">IF($AW69="","",$AW69-Fits!$B$153)</f>
        <v/>
      </c>
      <c r="CJ69" s="24" t="str">
        <f aca="false">IF($AW69="","",($AX69-(Fits!$B$63*$AW69+Fits!$B$64))-Fits!$B$63*($AW69-Fits!$B$153))</f>
        <v/>
      </c>
      <c r="CK69" s="25" t="str">
        <f aca="false">IF($AW69="","",$AW69^2)</f>
        <v/>
      </c>
      <c r="CL69" s="26" t="str">
        <f aca="false">IF(OR($Z69="",Fits!$B$55&lt;3,Fits!$B$133="",Fits!$B$134="",Fits!$B$134=0,Fits!$B$136=""),"",SQRT((Fits!$B$136*Fits!$B$56)^2+SUMPRODUCT((Fits!$J$163:$J$175*(Fits!$B$163:$B$175/Fits!$B$55+Fits!$H$163:$H$175*($Z69-Fits!$B$133)/Fits!$B$134))^2)+SUMPRODUCT((Fits!$G$163:$G$175*(($Z69-Fits!$B$133)*Fits!$I$163:$I$175/Fits!$B$134-Fits!$B$163:$B$175*Fits!$B$56/Fits!$B$55))^2)))</f>
        <v/>
      </c>
      <c r="CM69" s="26" t="str">
        <f aca="false">IF($CL69="","",Setup!$B$32*$CL69)</f>
        <v/>
      </c>
      <c r="CN69" s="26" t="str">
        <f aca="false">IF(OR($AE69="",Fits!$B$62&lt;3,Fits!$B$153="",Fits!$B$154="",Fits!$B$154=0,Fits!$B$156=""),"",SQRT((Fits!$B$156*Fits!$B$63)^2+SUMPRODUCT((Fits!$J$183:$J$195*(Fits!$B$183:$B$195/Fits!$B$62+Fits!$H$183:$H$195*($AE69-Fits!$B$153)/Fits!$B$154))^2)+SUMPRODUCT((Fits!$G$183:$G$195*(($AE69-Fits!$B$153)*Fits!$I$183:$I$195/Fits!$B$154-Fits!$B$183:$B$195*Fits!$B$63/Fits!$B$62))^2)))</f>
        <v/>
      </c>
      <c r="CO69" s="26" t="str">
        <f aca="false">IF($CN69="","",Setup!$B$32*$CN69)</f>
        <v/>
      </c>
      <c r="CP69" s="9" t="n">
        <f aca="false">IF(OR(NOT(ISNUMBER($BJ69)),$EK69=1),$CP68,IF($BJ69&lt;=Setup!$B$26,$CP68+1,0))</f>
        <v>26</v>
      </c>
      <c r="CQ69" s="9" t="str">
        <f aca="false">IF($BT69="","",$A69)</f>
        <v/>
      </c>
      <c r="CR69" s="9" t="str">
        <f aca="false">IF($BW69="","",$A69)</f>
        <v/>
      </c>
      <c r="CS69" s="9" t="str">
        <f aca="false">IF($B69="","",IF(Setup!$A$37="",0,IF(ISNUMBER(SEARCH(Setup!$A$37,$B69)),37,0)))</f>
        <v/>
      </c>
      <c r="CT69" s="9" t="str">
        <f aca="false">IF($B69="","",IF(Setup!$A$38="",0,IF(ISNUMBER(SEARCH(Setup!$A$38,$B69)),38,0)))</f>
        <v/>
      </c>
      <c r="CU69" s="9" t="str">
        <f aca="false">IF($B69="","",IF(Setup!$A$39="",0,IF(ISNUMBER(SEARCH(Setup!$A$39,$B69)),39,0)))</f>
        <v/>
      </c>
      <c r="CV69" s="9" t="str">
        <f aca="false">IF($B69="","",IF(Setup!$A$40="",0,IF(ISNUMBER(SEARCH(Setup!$A$40,$B69)),40,0)))</f>
        <v/>
      </c>
      <c r="CW69" s="9" t="str">
        <f aca="false">IF($B69="","",IF(Setup!$A$41="",0,IF(ISNUMBER(SEARCH(Setup!$A$41,$B69)),41,0)))</f>
        <v/>
      </c>
      <c r="CX69" s="9" t="str">
        <f aca="false">IF($B69="","",IF(Setup!$A$42="",0,IF(ISNUMBER(SEARCH(Setup!$A$42,$B69)),42,0)))</f>
        <v/>
      </c>
      <c r="CY69" s="9" t="str">
        <f aca="false">IF($B69="","",IF(Setup!$A$43="",0,IF(ISNUMBER(SEARCH(Setup!$A$43,$B69)),43,0)))</f>
        <v/>
      </c>
      <c r="CZ69" s="9" t="str">
        <f aca="false">IF($B69="","",IF(Setup!$A$44="",0,IF(ISNUMBER(SEARCH(Setup!$A$44,$B69)),44,0)))</f>
        <v/>
      </c>
      <c r="DA69" s="9" t="str">
        <f aca="false">IF($B69="","",IF(Setup!$A$45="",0,IF(ISNUMBER(SEARCH(Setup!$A$45,$B69)),45,0)))</f>
        <v/>
      </c>
      <c r="DB69" s="9" t="str">
        <f aca="false">IF($B69="","",IF(Setup!$A$46="",0,IF(ISNUMBER(SEARCH(Setup!$A$46,$B69)),46,0)))</f>
        <v/>
      </c>
      <c r="DC69" s="9" t="str">
        <f aca="false">IF($B69="","",IF(Setup!$A$47="",0,IF(ISNUMBER(SEARCH(Setup!$A$47,$B69)),47,0)))</f>
        <v/>
      </c>
      <c r="DD69" s="9" t="str">
        <f aca="false">IF($B69="","",IF(Setup!$A$48="",0,IF(ISNUMBER(SEARCH(Setup!$A$48,$B69)),48,0)))</f>
        <v/>
      </c>
      <c r="DE69" s="9" t="str">
        <f aca="false">IF($B69="","",IF(Setup!$A$49="",0,IF(ISNUMBER(SEARCH(Setup!$A$49,$B69)),49,0)))</f>
        <v/>
      </c>
      <c r="DF69" s="9" t="e">
        <f aca="false">IF($B69="",NA(),$A69)</f>
        <v>#N/A</v>
      </c>
      <c r="DG69" s="9" t="e">
        <f aca="false">IF($BI69="",NA(),$BI69)</f>
        <v>#N/A</v>
      </c>
      <c r="DH69" s="9" t="e">
        <f aca="false">IF($N69="",NA(),$N69)</f>
        <v>#N/A</v>
      </c>
      <c r="DI69" s="9" t="e">
        <f aca="false">IF(AND($D69="Drift",$N69&lt;&gt;""),$N69,NA())</f>
        <v>#N/A</v>
      </c>
      <c r="DJ69" s="9" t="str">
        <f aca="false">IF(AND($D69="Drift",$N69&lt;&gt;""),$N69,"")</f>
        <v/>
      </c>
      <c r="DK69" s="9" t="str">
        <f aca="false">IF($DJ69="","",$A69)</f>
        <v/>
      </c>
      <c r="DL69" s="9" t="e">
        <f aca="false">IF($AN69="",NA(),$AM69)</f>
        <v>#N/A</v>
      </c>
      <c r="DM69" s="9" t="e">
        <f aca="false">IF($AN69="",NA(),$AN69)</f>
        <v>#N/A</v>
      </c>
      <c r="DN69" s="9" t="e">
        <f aca="false">IF(AND($D69="Sample",$L69&lt;&gt;""),$L69,NA())</f>
        <v>#N/A</v>
      </c>
      <c r="DO69" s="9" t="e">
        <f aca="false">IF(AND($D69="Sample",$L69&lt;&gt;"",Fits!$B$98&lt;&gt;""),Fits!$B$98,NA())</f>
        <v>#N/A</v>
      </c>
      <c r="DP69" s="9" t="e">
        <f aca="false">IF($AS69="",NA(),$AS69)</f>
        <v>#N/A</v>
      </c>
      <c r="DQ69" s="9" t="e">
        <f aca="false">IF(AND($D69="Drift",$AS69="",$X69&lt;&gt;""),$X69,NA())</f>
        <v>#N/A</v>
      </c>
      <c r="DR69" s="9" t="e">
        <f aca="false">IF(AND($D69="Drift",$Z69&lt;&gt;""),$Z69,NA())</f>
        <v>#N/A</v>
      </c>
      <c r="DS69" s="9" t="e">
        <f aca="false">IF(AND(OR($D69="Sample",$D69="Check"),$AA69&lt;&gt;""),$AA69,NA())</f>
        <v>#N/A</v>
      </c>
      <c r="DT69" s="9" t="e">
        <f aca="false">IF(OR($B69="",Fits!$B$138=""),NA(),Fits!$B$138)</f>
        <v>#N/A</v>
      </c>
      <c r="DU69" s="9" t="e">
        <f aca="false">IF(OR($B69="",Fits!$B$139=""),NA(),Fits!$B$139)</f>
        <v>#N/A</v>
      </c>
      <c r="DV69" s="9" t="e">
        <f aca="false">IF($BT69="",NA(),$BT69)</f>
        <v>#N/A</v>
      </c>
      <c r="DW69" s="9" t="e">
        <f aca="false">IF($AP69="",NA(),$AO69)</f>
        <v>#N/A</v>
      </c>
      <c r="DX69" s="9" t="e">
        <f aca="false">IF($AP69="",NA(),$AP69)</f>
        <v>#N/A</v>
      </c>
      <c r="DY69" s="9" t="e">
        <f aca="false">IF(AND($D69="Sample",$P69&lt;&gt;""),$P69,NA())</f>
        <v>#N/A</v>
      </c>
      <c r="DZ69" s="9" t="e">
        <f aca="false">IF(AND($D69="Sample",$P69&lt;&gt;"",Fits!$B$105&lt;&gt;""),Fits!$B$105,NA())</f>
        <v>#N/A</v>
      </c>
      <c r="EA69" s="9" t="e">
        <f aca="false">IF($AT69="",NA(),$AT69)</f>
        <v>#N/A</v>
      </c>
      <c r="EB69" s="9" t="e">
        <f aca="false">IF(AND($D69="Drift",$AT69="",$AC69&lt;&gt;""),$AC69,NA())</f>
        <v>#N/A</v>
      </c>
      <c r="EC69" s="9" t="e">
        <f aca="false">IF(AND($D69="Drift",$AE69&lt;&gt;""),$AE69,NA())</f>
        <v>#N/A</v>
      </c>
      <c r="ED69" s="9" t="e">
        <f aca="false">IF(AND(OR($D69="Sample",$D69="Check"),$AF69&lt;&gt;""),$AF69,NA())</f>
        <v>#N/A</v>
      </c>
      <c r="EE69" s="9" t="e">
        <f aca="false">IF(OR($B69="",Fits!$B$158=""),NA(),Fits!$B$158)</f>
        <v>#N/A</v>
      </c>
      <c r="EF69" s="9" t="e">
        <f aca="false">IF(OR($B69="",Fits!$B$159=""),NA(),Fits!$B$159)</f>
        <v>#N/A</v>
      </c>
      <c r="EG69" s="9" t="e">
        <f aca="false">IF($BW69="",NA(),$BW69)</f>
        <v>#N/A</v>
      </c>
      <c r="EH69" s="9" t="e">
        <f aca="false">IF(AND($EN69=1,ISNUMBER($N69)),$N69,NA())</f>
        <v>#N/A</v>
      </c>
      <c r="EI69" s="9" t="str">
        <f aca="false">IF($B69="","",$A69)</f>
        <v/>
      </c>
      <c r="EJ69" s="9" t="n">
        <f aca="false">IF(OR(AND(ISNUMBER($L69),Fits!$B$97&gt;0,$L69&gt;Fits!$B$97),AND(ISNUMBER($P69),Fits!$B$104&gt;0,$P69&gt;Fits!$B$104)),1,0)</f>
        <v>0</v>
      </c>
      <c r="EK69" s="9" t="n">
        <f aca="false">IF(OR($EJ68=1,$EJ67=1),1,0)</f>
        <v>0</v>
      </c>
      <c r="EL69" s="22" t="n">
        <f aca="false">IF(AND($EK69=0,ISNUMBER($N69)),$N69,$EL68)</f>
        <v>25.7</v>
      </c>
      <c r="EM69" s="9" t="str">
        <f aca="false">IF(AND($EK69=1,ISNUMBER($N69),ISNUMBER($EL69)),$N69-$EL69,"")</f>
        <v/>
      </c>
      <c r="EN69" s="9" t="n">
        <f aca="false">IF(Setup!$B$28="",0,IF(ISNUMBER($EM69),IF($EM69&gt;Setup!$B$28,1,0),0))</f>
        <v>0</v>
      </c>
      <c r="EO69" s="9" t="str">
        <f aca="false">IF($EN69=1,COUNTIF($EN$6:$EN69,1),"")</f>
        <v/>
      </c>
      <c r="EP69" s="9" t="n">
        <f aca="false">IF(AND($EJ68=1,OR($D69="Sample",$D69="Check")),1,0)</f>
        <v>0</v>
      </c>
      <c r="EQ69" s="9" t="str">
        <f aca="false">IF(ISNUMBER($BI69),IF(COUNT($BI$6:$BI69)&lt;=5,$BI69,""),"")</f>
        <v/>
      </c>
      <c r="ER69" s="9" t="n">
        <f aca="false">IF(OR(NOT(ISNUMBER($BJ69)),$EK69=1),$ER68,IF($BJ69&lt;=Setup!$B$26,IF($CP68=0,$A69,$ER68),""))</f>
        <v>27</v>
      </c>
    </row>
    <row r="70" customFormat="false" ht="15" hidden="false" customHeight="false" outlineLevel="0" collapsed="false">
      <c r="A70" s="8" t="n">
        <v>65</v>
      </c>
      <c r="B70" s="8" t="str">
        <f aca="false">IFERROR(INDEX(Raw!$B$2:$B$1001,MATCH($A70,Raw!$A$2:$A$1001,0)),"")</f>
        <v/>
      </c>
      <c r="C70" s="9" t="str">
        <f aca="false">IF($B70="","",MAX($CS70:$DE70))</f>
        <v/>
      </c>
      <c r="D70" s="8" t="str">
        <f aca="false">IF($B70="","",IF($C70=0,"Sample",INDEX(Setup!$B$37:$B$49,$C70-36)))</f>
        <v/>
      </c>
      <c r="E70" s="16" t="str">
        <f aca="false">IF($B70="","",IFERROR(IF(INDEX(Raw!$E$2:$E$1001,MATCH($A70,Raw!$A$2:$A$1001,0))=0,"",INDEX(Raw!$E$2:$E$1001,MATCH($A70,Raw!$A$2:$A$1001,0))),""))</f>
        <v/>
      </c>
      <c r="F70" s="18"/>
      <c r="G70" s="16" t="str">
        <f aca="false">IF($B70="","",IF($F70&lt;&gt;"",$F70,IF($E70="","",$E70)))</f>
        <v/>
      </c>
      <c r="H70" s="9" t="str">
        <f aca="false">IF($B70="","",SUMPRODUCT(MAX((Raw!$A$2:$A$1001=$A70)*(Raw!$R$2:$R$1001="N")*Raw!$D$2:$D$1001)))</f>
        <v/>
      </c>
      <c r="I70" s="9" t="str">
        <f aca="false">IF(OR($H70="",$H70=0),"",$A70&amp;"|N|"&amp;$H70)</f>
        <v/>
      </c>
      <c r="J70" s="9" t="str">
        <f aca="false">IF($B70="","",SUMPRODUCT(MIN((Raw!$A$2:$A$1001=$A70)*(Raw!$R$2:$R$1001="C")*Raw!$D$2:$D$1001+(1-(Raw!$A$2:$A$1001=$A70)*(Raw!$R$2:$R$1001="C"))*9999)))</f>
        <v/>
      </c>
      <c r="K70" s="9" t="str">
        <f aca="false">IF(OR($J70="",$J70=0,$J70=9999),"",$A70&amp;"|C|"&amp;$J70)</f>
        <v/>
      </c>
      <c r="L70" s="16" t="str">
        <f aca="false">IF($I70="","",IF(INDEX(Raw!$I$2:$I$1001,MATCH($I70,Raw!$S$2:$S$1001,0))&lt;&gt;0,"",INDEX(Raw!$H$2:$H$1001,MATCH($I70,Raw!$S$2:$S$1001,0))))</f>
        <v/>
      </c>
      <c r="M70" s="19" t="str">
        <f aca="false">IF($I70="","",IF(INDEX(Raw!$I$2:$I$1001,MATCH($I70,Raw!$S$2:$S$1001,0))&lt;&gt;0,"",INDEX(Raw!$F$2:$F$1001,MATCH($I70,Raw!$S$2:$S$1001,0))))</f>
        <v/>
      </c>
      <c r="N70" s="20" t="str">
        <f aca="false">IF($I70="","",IF(INDEX(Raw!$I$2:$I$1001,MATCH($I70,Raw!$S$2:$S$1001,0))&lt;&gt;0,"",INDEX(Raw!$G$2:$G$1001,MATCH($I70,Raw!$S$2:$S$1001,0))))</f>
        <v/>
      </c>
      <c r="O70" s="16" t="str">
        <f aca="false">IF($I70="","",IF(INDEX(Raw!$I$2:$I$1001,MATCH($I70,Raw!$S$2:$S$1001,0))&lt;&gt;0,"",INDEX(Raw!$N$2:$N$1001,MATCH($I70,Raw!$S$2:$S$1001,0))))</f>
        <v/>
      </c>
      <c r="P70" s="16" t="str">
        <f aca="false">IF($K70="","",IF(INDEX(Raw!$I$2:$I$1001,MATCH($K70,Raw!$S$2:$S$1001,0))&lt;&gt;0,"",INDEX(Raw!$K$2:$K$1001,MATCH($K70,Raw!$S$2:$S$1001,0))))</f>
        <v/>
      </c>
      <c r="Q70" s="19" t="str">
        <f aca="false">IF($K70="","",IF(INDEX(Raw!$I$2:$I$1001,MATCH($K70,Raw!$S$2:$S$1001,0))&lt;&gt;0,"",INDEX(Raw!$J$2:$J$1001,MATCH($K70,Raw!$S$2:$S$1001,0))))</f>
        <v/>
      </c>
      <c r="R70" s="16" t="str">
        <f aca="false">IF($K70="","",IF(INDEX(Raw!$I$2:$I$1001,MATCH($K70,Raw!$S$2:$S$1001,0))&lt;&gt;0,"",INDEX(Raw!$O$2:$O$1001,MATCH($K70,Raw!$S$2:$S$1001,0))))</f>
        <v/>
      </c>
      <c r="S70" s="21" t="str">
        <f aca="false">IF($B70="","",IF($C70=0,"",IF(INDEX(Setup!$D$37:$D$49,$C70-36)="","",INDEX(Setup!$D$37:$D$49,$C70-36))))</f>
        <v/>
      </c>
      <c r="T70" s="21" t="str">
        <f aca="false">IF($B70="","",IF($C70=0,"",IF(INDEX(Setup!$C$37:$C$49,$C70-36)="","",INDEX(Setup!$C$37:$C$49,$C70-36))))</f>
        <v/>
      </c>
      <c r="U70" s="21" t="str">
        <f aca="false">IF($B70="","",IF($C70=0,"",IF(INDEX(Setup!$F$37:$F$49,$C70-36)="","",INDEX(Setup!$F$37:$F$49,$C70-36))))</f>
        <v/>
      </c>
      <c r="V70" s="21" t="str">
        <f aca="false">IF($B70="","",IF($C70=0,"",IF(INDEX(Setup!$E$37:$E$49,$C70-36)="","",INDEX(Setup!$E$37:$E$49,$C70-36))))</f>
        <v/>
      </c>
      <c r="W70" s="16" t="str">
        <f aca="false">IF($O70="","",IF(OR(Fits!$C$5&lt;&gt;"Yes",$D70="Blank",$L70&lt;=Fits!$B$6),$O70,($L70*$O70-Fits!$B$6*Fits!$B$7)/($L70-Fits!$B$6)))</f>
        <v/>
      </c>
      <c r="X70" s="16" t="str">
        <f aca="false">IF($W70="","",$W70-Fits!$B$20*($L70-Fits!$B$16))</f>
        <v/>
      </c>
      <c r="Y70" s="22" t="str">
        <f aca="false">IF($W70="","",IF(OR(Fits!$B$38="Row",$BI70=""),$A70,$BI70))</f>
        <v/>
      </c>
      <c r="Z70" s="16" t="str">
        <f aca="false">IF($X70="","",$X70-Fits!$B$39*($Y70-Fits!$B$40))</f>
        <v/>
      </c>
      <c r="AA70" s="23" t="str">
        <f aca="false">IF(OR($Z70="",Fits!$B$55&lt;2),"",Fits!$B$56*$Z70+Fits!$B$57)</f>
        <v/>
      </c>
      <c r="AB70" s="16" t="str">
        <f aca="false">IF($R70="","",IF(OR(Fits!$C$9&lt;&gt;"Yes",$D70="Blank",$P70&lt;=Fits!$B$10),$R70,($P70*$R70-Fits!$B$10*Fits!$B$11)/($P70-Fits!$B$10)))</f>
        <v/>
      </c>
      <c r="AC70" s="16" t="str">
        <f aca="false">IF($AB70="","",$AB70-Fits!$B$28*($P70-Fits!$B$24))</f>
        <v/>
      </c>
      <c r="AD70" s="22" t="str">
        <f aca="false">IF($AB70="","",IF(OR(Fits!$B$50="Row",$BI70=""),$A70,$BI70))</f>
        <v/>
      </c>
      <c r="AE70" s="16" t="str">
        <f aca="false">IF($AC70="","",$AC70-Fits!$B$51*($AD70-Fits!$B$52))</f>
        <v/>
      </c>
      <c r="AF70" s="23" t="str">
        <f aca="false">IF(OR($AE70="",Fits!$B$62&lt;2),"",Fits!$B$63*$AE70+Fits!$B$64)</f>
        <v/>
      </c>
      <c r="AG70" s="21" t="str">
        <f aca="false">IF(OR($L70="",Fits!$B$69&lt;3),"",($L70-Fits!$B$71)/Fits!$B$70)</f>
        <v/>
      </c>
      <c r="AH70" s="21" t="str">
        <f aca="false">IF(OR($P70="",Fits!$B$75&lt;3),"",($P70-Fits!$B$77)/Fits!$B$76)</f>
        <v/>
      </c>
      <c r="AI70" s="23" t="str">
        <f aca="false">IF(OR($AG70="",$G70="",$G70=0),"",$AG70/($G70*1000)*100)</f>
        <v/>
      </c>
      <c r="AJ70" s="23" t="str">
        <f aca="false">IF(OR($AH70="",$G70="",$G70=0),"",$AH70/($G70*1000)*100)</f>
        <v/>
      </c>
      <c r="AK70" s="23" t="str">
        <f aca="false">IF(OR($AG70="",$AH70="",$AG70&lt;=0),"",($AH70/Setup!$B$52)/($AG70/Setup!$B$53))</f>
        <v/>
      </c>
      <c r="AL70" s="23" t="str">
        <f aca="false">IF(OR($AG70="",$AH70="",$AG70&lt;=0),"",$AH70/$AG70)</f>
        <v/>
      </c>
      <c r="AM70" s="9" t="str">
        <f aca="false">IF($D70="Linearity",IF($L70="","",$L70),"")</f>
        <v/>
      </c>
      <c r="AN70" s="9" t="str">
        <f aca="false">IF($D70="Linearity",IF($W70="","",$W70),"")</f>
        <v/>
      </c>
      <c r="AO70" s="9" t="str">
        <f aca="false">IF($D70="Linearity",IF($P70="","",$P70),"")</f>
        <v/>
      </c>
      <c r="AP70" s="9" t="str">
        <f aca="false">IF($D70="Linearity",IF($AB70="","",$AB70),"")</f>
        <v/>
      </c>
      <c r="AQ70" s="9" t="str">
        <f aca="false">IF($D70="Drift",IF($A70&lt;IF(Setup!$B$14="",0,Setup!$B$14),"",$A70),"")</f>
        <v/>
      </c>
      <c r="AR70" s="9" t="str">
        <f aca="false">IF($D70="Drift",IF($A70&lt;IF(Setup!$B$14="",0,Setup!$B$14),"",IF($BI70="","",$BI70)),"")</f>
        <v/>
      </c>
      <c r="AS70" s="9" t="str">
        <f aca="false">IF($D70="Drift",IF($A70&lt;IF(Setup!$B$14="",0,Setup!$B$14),"",IF(OR($X70="",$BX70=1),"",$X70)),"")</f>
        <v/>
      </c>
      <c r="AT70" s="9" t="str">
        <f aca="false">IF($D70="Drift",IF($A70&lt;IF(Setup!$B$14="",0,Setup!$B$14),"",IF(OR($AC70="",$BY70=1),"",$AC70)),"")</f>
        <v/>
      </c>
      <c r="AU70" s="9" t="str">
        <f aca="false">IF($D70="Anchor",IF(OR($Z70="",$S70=""),"",$Z70),"")</f>
        <v/>
      </c>
      <c r="AV70" s="9" t="str">
        <f aca="false">IF($D70="Anchor",IF(OR($Z70="",$S70=""),"",$S70),"")</f>
        <v/>
      </c>
      <c r="AW70" s="9" t="str">
        <f aca="false">IF($D70="Anchor",IF(OR($AE70="",$T70=""),"",$AE70),"")</f>
        <v/>
      </c>
      <c r="AX70" s="9" t="str">
        <f aca="false">IF($D70="Anchor",IF(OR($AE70="",$T70=""),"",$T70),"")</f>
        <v/>
      </c>
      <c r="AY70" s="9" t="str">
        <f aca="false">IF(OR($D70="Blank",$D70="Exclude",$D70="Sample",$D70="",$G70="",$U70="",$L70=""),"",$G70*1000*$U70/100)</f>
        <v/>
      </c>
      <c r="AZ70" s="9" t="str">
        <f aca="false">IF($AY70="","",$L70)</f>
        <v/>
      </c>
      <c r="BA70" s="9" t="str">
        <f aca="false">IF(OR($D70="Blank",$D70="Exclude",$D70="Sample",$D70="",$G70="",$V70="",$P70=""),"",$G70*1000*$V70/100)</f>
        <v/>
      </c>
      <c r="BB70" s="9" t="str">
        <f aca="false">IF($BA70="","",$P70)</f>
        <v/>
      </c>
      <c r="BC70" s="9" t="str">
        <f aca="false">IF(AND($D70="Blank",$L70&lt;&gt;""),$O70,"")</f>
        <v/>
      </c>
      <c r="BD70" s="9" t="str">
        <f aca="false">IF($BC70="","",$L70)</f>
        <v/>
      </c>
      <c r="BE70" s="9" t="str">
        <f aca="false">IF(AND($D70="Blank",$P70&lt;&gt;""),$R70,"")</f>
        <v/>
      </c>
      <c r="BF70" s="9" t="str">
        <f aca="false">IF($BE70="","",$P70)</f>
        <v/>
      </c>
      <c r="BG70" s="9" t="str">
        <f aca="false">IF(AND($D70="Drift",$BX70&lt;&gt;1),IF($AA70="","",$AA70),"")</f>
        <v/>
      </c>
      <c r="BH70" s="9" t="str">
        <f aca="false">IF(AND($D70="Drift",$BY70&lt;&gt;1),IF($AF70="","",$AF70),"")</f>
        <v/>
      </c>
      <c r="BI70" s="20" t="str">
        <f aca="false">IF($B70="","",IFERROR(INDEX(Raw!$G$2:$G$1001,MATCH($A70&amp;"|N|"&amp;SUMPRODUCT(MAX((Raw!$A$2:$A$1001=$A70)*(Raw!$R$2:$R$1001="N")*(Raw!$I$2:$I$1001=1)*Raw!$D$2:$D$1001)),Raw!$S$2:$S$1001,0)),""))</f>
        <v/>
      </c>
      <c r="BJ70" s="21" t="str">
        <f aca="false">IF(OR($BI70="",Fits!$B$85&lt;=0),"",($BI70-Fits!$B$83)/Fits!$B$85)</f>
        <v/>
      </c>
      <c r="BK70" s="9" t="str">
        <f aca="false">IF($AS70="","",IF($A70&gt;=Fits!$B$86,"",$A70))</f>
        <v/>
      </c>
      <c r="BL70" s="9" t="str">
        <f aca="false">IF($BK70="","",$X70)</f>
        <v/>
      </c>
      <c r="BM70" s="9" t="str">
        <f aca="false">IF($AS70="","",IF($A70&lt;Fits!$B$86,"",$A70))</f>
        <v/>
      </c>
      <c r="BN70" s="9" t="str">
        <f aca="false">IF($BM70="","",$X70)</f>
        <v/>
      </c>
      <c r="BO70" s="9" t="str">
        <f aca="false">IF(AND($D70="Drift",$BX70&lt;&gt;1),IF($O70="","",$O70),"")</f>
        <v/>
      </c>
      <c r="BP70" s="9" t="str">
        <f aca="false">IF(AND($D70="Drift",$BX70&lt;&gt;1),IF($W70="","",$W70),"")</f>
        <v/>
      </c>
      <c r="BQ70" s="9" t="str">
        <f aca="false">IF(AND($D70="Drift",$BX70&lt;&gt;1),IF($X70="","",$X70),"")</f>
        <v/>
      </c>
      <c r="BR70" s="9" t="str">
        <f aca="false">IF(AND($D70="Drift",$BX70&lt;&gt;1),IF($Z70="","",$Z70),"")</f>
        <v/>
      </c>
      <c r="BS70" s="9" t="str">
        <f aca="false">IF(OR($B70="",$H70=""),"",SUMPRODUCT(MIN((Raw!$A$2:$A$1001=$A70)*(Raw!$R$2:$R$1001="N")*(Raw!$I$2:$I$1001=0)*(Raw!$D$2:$D$1001&lt;$H70)*Raw!$D$2:$D$1001+(1-(Raw!$A$2:$A$1001=$A70)*(Raw!$R$2:$R$1001="N")*(Raw!$I$2:$I$1001=0)*(Raw!$D$2:$D$1001&lt;$H70))*9999)))</f>
        <v/>
      </c>
      <c r="BT70" s="16" t="str">
        <f aca="false">IF(OR($BS70="",$BS70=9999,$BS70=0),"",IFERROR(INDEX(Raw!$N$2:$N$1001,MATCH($A70&amp;"|N|"&amp;$BS70,Raw!$S$2:$S$1001,0)),""))</f>
        <v/>
      </c>
      <c r="BU70" s="9" t="str">
        <f aca="false">IF($B70="","",SUMPRODUCT(MIN((Raw!$A$2:$A$1001=$A70)*(Raw!$R$2:$R$1001="C")*(Raw!$I$2:$I$1001=1)*Raw!$D$2:$D$1001+(1-(Raw!$A$2:$A$1001=$A70)*(Raw!$R$2:$R$1001="C")*(Raw!$I$2:$I$1001=1))*9999)))</f>
        <v/>
      </c>
      <c r="BV70" s="9" t="str">
        <f aca="false">IF(OR($BU70="",$BU70=9999),"",SUMPRODUCT(MIN((Raw!$A$2:$A$1001=$A70)*(Raw!$R$2:$R$1001="C")*(Raw!$I$2:$I$1001=0)*(Raw!$D$2:$D$1001&gt;$BU70)*Raw!$D$2:$D$1001+(1-(Raw!$A$2:$A$1001=$A70)*(Raw!$R$2:$R$1001="C")*(Raw!$I$2:$I$1001=0)*(Raw!$D$2:$D$1001&gt;$BU70))*9999)))</f>
        <v/>
      </c>
      <c r="BW70" s="16" t="str">
        <f aca="false">IF(OR($BV70="",$BV70=9999,$BV70=0),"",IFERROR(INDEX(Raw!$O$2:$O$1001,MATCH($A70&amp;"|C|"&amp;$BV70,Raw!$S$2:$S$1001,0)),""))</f>
        <v/>
      </c>
      <c r="BX70" s="9" t="str">
        <f aca="false">IF($B70="","",IF(ISNUMBER(SEARCH(","&amp;$A70&amp;",",","&amp;SUBSTITUTE(Setup!$B$16," ","")&amp;",")),1,0))</f>
        <v/>
      </c>
      <c r="BY70" s="9" t="str">
        <f aca="false">IF($B70="","",IF(ISNUMBER(SEARCH(","&amp;$A70&amp;",",","&amp;SUBSTITUTE(Setup!$B$17," ","")&amp;",")),1,0))</f>
        <v/>
      </c>
      <c r="BZ70" s="22" t="str">
        <f aca="false">IF($AS70="","",IF(Fits!$B$38="Row",$AQ70,IF($AR70="","",$AR70)))</f>
        <v/>
      </c>
      <c r="CA70" s="22" t="str">
        <f aca="false">IF($AT70="","",IF(Fits!$B$50="Row",$AQ70,IF($AR70="","",$AR70)))</f>
        <v/>
      </c>
      <c r="CB70" s="20" t="str">
        <f aca="false">IF(OR($D70&lt;&gt;"Drift",$X70="",$A70&lt;IF(Setup!$B$14="",0,Setup!$B$14),Fits!$B$107&lt;3,Fits!$B$110="",Fits!$B$109=0,IF(Fits!$B$38="Row",$AQ70,$AR70)=""),"",IF($BX70=1,IF(OR(Fits!$B$111="",Fits!$B$111=0),"",($X70-(IF(Fits!$B$38="Row",Fits!$B$32,Fits!$B$35)*IF(Fits!$B$38="Row",$AQ70,$AR70)+Fits!$B$110))/(Fits!$B$111*SQRT(1+(1/Fits!$B$107+(IF(Fits!$B$38="Row",$AQ70,$AR70)-Fits!$B$108)^2/Fits!$B$109)))),IF(OR(Fits!$B$107&lt;4,(1/Fits!$B$107+(IF(Fits!$B$38="Row",$AQ70,$AR70)-Fits!$B$108)^2/Fits!$B$109)&gt;=1),"",IF((Fits!$B$116-($X70-(IF(Fits!$B$38="Row",Fits!$B$32,Fits!$B$35)*IF(Fits!$B$38="Row",$AQ70,$AR70)+Fits!$B$110))^2/(1-(1/Fits!$B$107+(IF(Fits!$B$38="Row",$AQ70,$AR70)-Fits!$B$108)^2/Fits!$B$109)))&lt;=0,"",($X70-(IF(Fits!$B$38="Row",Fits!$B$32,Fits!$B$35)*IF(Fits!$B$38="Row",$AQ70,$AR70)+Fits!$B$110))/(SQRT((Fits!$B$116-($X70-(IF(Fits!$B$38="Row",Fits!$B$32,Fits!$B$35)*IF(Fits!$B$38="Row",$AQ70,$AR70)+Fits!$B$110))^2/(1-(1/Fits!$B$107+(IF(Fits!$B$38="Row",$AQ70,$AR70)-Fits!$B$108)^2/Fits!$B$109)))/(Fits!$B$107-3))*SQRT(1-(1/Fits!$B$107+(IF(Fits!$B$38="Row",$AQ70,$AR70)-Fits!$B$108)^2/Fits!$B$109)))))))</f>
        <v/>
      </c>
      <c r="CC70" s="20" t="str">
        <f aca="false">IF(OR($D70&lt;&gt;"Drift",$AC70="",$A70&lt;IF(Setup!$B$14="",0,Setup!$B$14),Fits!$B$120&lt;3,Fits!$B$123="",Fits!$B$122=0,IF(Fits!$B$50="Row",$AQ70,$AR70)=""),"",IF($BY70=1,IF(OR(Fits!$B$124="",Fits!$B$124=0),"",($AC70-(IF(Fits!$B$50="Row",Fits!$B$44,Fits!$B$47)*IF(Fits!$B$50="Row",$AQ70,$AR70)+Fits!$B$123))/(Fits!$B$124*SQRT(1+(1/Fits!$B$120+(IF(Fits!$B$50="Row",$AQ70,$AR70)-Fits!$B$121)^2/Fits!$B$122)))),IF(OR(Fits!$B$120&lt;4,(1/Fits!$B$120+(IF(Fits!$B$50="Row",$AQ70,$AR70)-Fits!$B$121)^2/Fits!$B$122)&gt;=1),"",IF((Fits!$B$129-($AC70-(IF(Fits!$B$50="Row",Fits!$B$44,Fits!$B$47)*IF(Fits!$B$50="Row",$AQ70,$AR70)+Fits!$B$123))^2/(1-(1/Fits!$B$120+(IF(Fits!$B$50="Row",$AQ70,$AR70)-Fits!$B$121)^2/Fits!$B$122)))&lt;=0,"",($AC70-(IF(Fits!$B$50="Row",Fits!$B$44,Fits!$B$47)*IF(Fits!$B$50="Row",$AQ70,$AR70)+Fits!$B$123))/(SQRT((Fits!$B$129-($AC70-(IF(Fits!$B$50="Row",Fits!$B$44,Fits!$B$47)*IF(Fits!$B$50="Row",$AQ70,$AR70)+Fits!$B$123))^2/(1-(1/Fits!$B$120+(IF(Fits!$B$50="Row",$AQ70,$AR70)-Fits!$B$121)^2/Fits!$B$122)))/(Fits!$B$120-3))*SQRT(1-(1/Fits!$B$120+(IF(Fits!$B$50="Row",$AQ70,$AR70)-Fits!$B$121)^2/Fits!$B$122)))))))</f>
        <v/>
      </c>
      <c r="CD70" s="9" t="str">
        <f aca="false">IF($AU70="","",1)</f>
        <v/>
      </c>
      <c r="CE70" s="24" t="str">
        <f aca="false">IF($AU70="","",$AU70-Fits!$B$133)</f>
        <v/>
      </c>
      <c r="CF70" s="24" t="str">
        <f aca="false">IF($AU70="","",($AV70-(Fits!$B$56*$AU70+Fits!$B$57))-Fits!$B$56*($AU70-Fits!$B$133))</f>
        <v/>
      </c>
      <c r="CG70" s="25" t="str">
        <f aca="false">IF($AU70="","",$AU70^2)</f>
        <v/>
      </c>
      <c r="CH70" s="9" t="str">
        <f aca="false">IF($AW70="","",1)</f>
        <v/>
      </c>
      <c r="CI70" s="24" t="str">
        <f aca="false">IF($AW70="","",$AW70-Fits!$B$153)</f>
        <v/>
      </c>
      <c r="CJ70" s="24" t="str">
        <f aca="false">IF($AW70="","",($AX70-(Fits!$B$63*$AW70+Fits!$B$64))-Fits!$B$63*($AW70-Fits!$B$153))</f>
        <v/>
      </c>
      <c r="CK70" s="25" t="str">
        <f aca="false">IF($AW70="","",$AW70^2)</f>
        <v/>
      </c>
      <c r="CL70" s="26" t="str">
        <f aca="false">IF(OR($Z70="",Fits!$B$55&lt;3,Fits!$B$133="",Fits!$B$134="",Fits!$B$134=0,Fits!$B$136=""),"",SQRT((Fits!$B$136*Fits!$B$56)^2+SUMPRODUCT((Fits!$J$163:$J$175*(Fits!$B$163:$B$175/Fits!$B$55+Fits!$H$163:$H$175*($Z70-Fits!$B$133)/Fits!$B$134))^2)+SUMPRODUCT((Fits!$G$163:$G$175*(($Z70-Fits!$B$133)*Fits!$I$163:$I$175/Fits!$B$134-Fits!$B$163:$B$175*Fits!$B$56/Fits!$B$55))^2)))</f>
        <v/>
      </c>
      <c r="CM70" s="26" t="str">
        <f aca="false">IF($CL70="","",Setup!$B$32*$CL70)</f>
        <v/>
      </c>
      <c r="CN70" s="26" t="str">
        <f aca="false">IF(OR($AE70="",Fits!$B$62&lt;3,Fits!$B$153="",Fits!$B$154="",Fits!$B$154=0,Fits!$B$156=""),"",SQRT((Fits!$B$156*Fits!$B$63)^2+SUMPRODUCT((Fits!$J$183:$J$195*(Fits!$B$183:$B$195/Fits!$B$62+Fits!$H$183:$H$195*($AE70-Fits!$B$153)/Fits!$B$154))^2)+SUMPRODUCT((Fits!$G$183:$G$195*(($AE70-Fits!$B$153)*Fits!$I$183:$I$195/Fits!$B$154-Fits!$B$183:$B$195*Fits!$B$63/Fits!$B$62))^2)))</f>
        <v/>
      </c>
      <c r="CO70" s="26" t="str">
        <f aca="false">IF($CN70="","",Setup!$B$32*$CN70)</f>
        <v/>
      </c>
      <c r="CP70" s="9" t="n">
        <f aca="false">IF(OR(NOT(ISNUMBER($BJ70)),$EK70=1),$CP69,IF($BJ70&lt;=Setup!$B$26,$CP69+1,0))</f>
        <v>26</v>
      </c>
      <c r="CQ70" s="9" t="str">
        <f aca="false">IF($BT70="","",$A70)</f>
        <v/>
      </c>
      <c r="CR70" s="9" t="str">
        <f aca="false">IF($BW70="","",$A70)</f>
        <v/>
      </c>
      <c r="CS70" s="9" t="str">
        <f aca="false">IF($B70="","",IF(Setup!$A$37="",0,IF(ISNUMBER(SEARCH(Setup!$A$37,$B70)),37,0)))</f>
        <v/>
      </c>
      <c r="CT70" s="9" t="str">
        <f aca="false">IF($B70="","",IF(Setup!$A$38="",0,IF(ISNUMBER(SEARCH(Setup!$A$38,$B70)),38,0)))</f>
        <v/>
      </c>
      <c r="CU70" s="9" t="str">
        <f aca="false">IF($B70="","",IF(Setup!$A$39="",0,IF(ISNUMBER(SEARCH(Setup!$A$39,$B70)),39,0)))</f>
        <v/>
      </c>
      <c r="CV70" s="9" t="str">
        <f aca="false">IF($B70="","",IF(Setup!$A$40="",0,IF(ISNUMBER(SEARCH(Setup!$A$40,$B70)),40,0)))</f>
        <v/>
      </c>
      <c r="CW70" s="9" t="str">
        <f aca="false">IF($B70="","",IF(Setup!$A$41="",0,IF(ISNUMBER(SEARCH(Setup!$A$41,$B70)),41,0)))</f>
        <v/>
      </c>
      <c r="CX70" s="9" t="str">
        <f aca="false">IF($B70="","",IF(Setup!$A$42="",0,IF(ISNUMBER(SEARCH(Setup!$A$42,$B70)),42,0)))</f>
        <v/>
      </c>
      <c r="CY70" s="9" t="str">
        <f aca="false">IF($B70="","",IF(Setup!$A$43="",0,IF(ISNUMBER(SEARCH(Setup!$A$43,$B70)),43,0)))</f>
        <v/>
      </c>
      <c r="CZ70" s="9" t="str">
        <f aca="false">IF($B70="","",IF(Setup!$A$44="",0,IF(ISNUMBER(SEARCH(Setup!$A$44,$B70)),44,0)))</f>
        <v/>
      </c>
      <c r="DA70" s="9" t="str">
        <f aca="false">IF($B70="","",IF(Setup!$A$45="",0,IF(ISNUMBER(SEARCH(Setup!$A$45,$B70)),45,0)))</f>
        <v/>
      </c>
      <c r="DB70" s="9" t="str">
        <f aca="false">IF($B70="","",IF(Setup!$A$46="",0,IF(ISNUMBER(SEARCH(Setup!$A$46,$B70)),46,0)))</f>
        <v/>
      </c>
      <c r="DC70" s="9" t="str">
        <f aca="false">IF($B70="","",IF(Setup!$A$47="",0,IF(ISNUMBER(SEARCH(Setup!$A$47,$B70)),47,0)))</f>
        <v/>
      </c>
      <c r="DD70" s="9" t="str">
        <f aca="false">IF($B70="","",IF(Setup!$A$48="",0,IF(ISNUMBER(SEARCH(Setup!$A$48,$B70)),48,0)))</f>
        <v/>
      </c>
      <c r="DE70" s="9" t="str">
        <f aca="false">IF($B70="","",IF(Setup!$A$49="",0,IF(ISNUMBER(SEARCH(Setup!$A$49,$B70)),49,0)))</f>
        <v/>
      </c>
      <c r="DF70" s="9" t="e">
        <f aca="false">IF($B70="",NA(),$A70)</f>
        <v>#N/A</v>
      </c>
      <c r="DG70" s="9" t="e">
        <f aca="false">IF($BI70="",NA(),$BI70)</f>
        <v>#N/A</v>
      </c>
      <c r="DH70" s="9" t="e">
        <f aca="false">IF($N70="",NA(),$N70)</f>
        <v>#N/A</v>
      </c>
      <c r="DI70" s="9" t="e">
        <f aca="false">IF(AND($D70="Drift",$N70&lt;&gt;""),$N70,NA())</f>
        <v>#N/A</v>
      </c>
      <c r="DJ70" s="9" t="str">
        <f aca="false">IF(AND($D70="Drift",$N70&lt;&gt;""),$N70,"")</f>
        <v/>
      </c>
      <c r="DK70" s="9" t="str">
        <f aca="false">IF($DJ70="","",$A70)</f>
        <v/>
      </c>
      <c r="DL70" s="9" t="e">
        <f aca="false">IF($AN70="",NA(),$AM70)</f>
        <v>#N/A</v>
      </c>
      <c r="DM70" s="9" t="e">
        <f aca="false">IF($AN70="",NA(),$AN70)</f>
        <v>#N/A</v>
      </c>
      <c r="DN70" s="9" t="e">
        <f aca="false">IF(AND($D70="Sample",$L70&lt;&gt;""),$L70,NA())</f>
        <v>#N/A</v>
      </c>
      <c r="DO70" s="9" t="e">
        <f aca="false">IF(AND($D70="Sample",$L70&lt;&gt;"",Fits!$B$98&lt;&gt;""),Fits!$B$98,NA())</f>
        <v>#N/A</v>
      </c>
      <c r="DP70" s="9" t="e">
        <f aca="false">IF($AS70="",NA(),$AS70)</f>
        <v>#N/A</v>
      </c>
      <c r="DQ70" s="9" t="e">
        <f aca="false">IF(AND($D70="Drift",$AS70="",$X70&lt;&gt;""),$X70,NA())</f>
        <v>#N/A</v>
      </c>
      <c r="DR70" s="9" t="e">
        <f aca="false">IF(AND($D70="Drift",$Z70&lt;&gt;""),$Z70,NA())</f>
        <v>#N/A</v>
      </c>
      <c r="DS70" s="9" t="e">
        <f aca="false">IF(AND(OR($D70="Sample",$D70="Check"),$AA70&lt;&gt;""),$AA70,NA())</f>
        <v>#N/A</v>
      </c>
      <c r="DT70" s="9" t="e">
        <f aca="false">IF(OR($B70="",Fits!$B$138=""),NA(),Fits!$B$138)</f>
        <v>#N/A</v>
      </c>
      <c r="DU70" s="9" t="e">
        <f aca="false">IF(OR($B70="",Fits!$B$139=""),NA(),Fits!$B$139)</f>
        <v>#N/A</v>
      </c>
      <c r="DV70" s="9" t="e">
        <f aca="false">IF($BT70="",NA(),$BT70)</f>
        <v>#N/A</v>
      </c>
      <c r="DW70" s="9" t="e">
        <f aca="false">IF($AP70="",NA(),$AO70)</f>
        <v>#N/A</v>
      </c>
      <c r="DX70" s="9" t="e">
        <f aca="false">IF($AP70="",NA(),$AP70)</f>
        <v>#N/A</v>
      </c>
      <c r="DY70" s="9" t="e">
        <f aca="false">IF(AND($D70="Sample",$P70&lt;&gt;""),$P70,NA())</f>
        <v>#N/A</v>
      </c>
      <c r="DZ70" s="9" t="e">
        <f aca="false">IF(AND($D70="Sample",$P70&lt;&gt;"",Fits!$B$105&lt;&gt;""),Fits!$B$105,NA())</f>
        <v>#N/A</v>
      </c>
      <c r="EA70" s="9" t="e">
        <f aca="false">IF($AT70="",NA(),$AT70)</f>
        <v>#N/A</v>
      </c>
      <c r="EB70" s="9" t="e">
        <f aca="false">IF(AND($D70="Drift",$AT70="",$AC70&lt;&gt;""),$AC70,NA())</f>
        <v>#N/A</v>
      </c>
      <c r="EC70" s="9" t="e">
        <f aca="false">IF(AND($D70="Drift",$AE70&lt;&gt;""),$AE70,NA())</f>
        <v>#N/A</v>
      </c>
      <c r="ED70" s="9" t="e">
        <f aca="false">IF(AND(OR($D70="Sample",$D70="Check"),$AF70&lt;&gt;""),$AF70,NA())</f>
        <v>#N/A</v>
      </c>
      <c r="EE70" s="9" t="e">
        <f aca="false">IF(OR($B70="",Fits!$B$158=""),NA(),Fits!$B$158)</f>
        <v>#N/A</v>
      </c>
      <c r="EF70" s="9" t="e">
        <f aca="false">IF(OR($B70="",Fits!$B$159=""),NA(),Fits!$B$159)</f>
        <v>#N/A</v>
      </c>
      <c r="EG70" s="9" t="e">
        <f aca="false">IF($BW70="",NA(),$BW70)</f>
        <v>#N/A</v>
      </c>
      <c r="EH70" s="9" t="e">
        <f aca="false">IF(AND($EN70=1,ISNUMBER($N70)),$N70,NA())</f>
        <v>#N/A</v>
      </c>
      <c r="EI70" s="9" t="str">
        <f aca="false">IF($B70="","",$A70)</f>
        <v/>
      </c>
      <c r="EJ70" s="9" t="n">
        <f aca="false">IF(OR(AND(ISNUMBER($L70),Fits!$B$97&gt;0,$L70&gt;Fits!$B$97),AND(ISNUMBER($P70),Fits!$B$104&gt;0,$P70&gt;Fits!$B$104)),1,0)</f>
        <v>0</v>
      </c>
      <c r="EK70" s="9" t="n">
        <f aca="false">IF(OR($EJ69=1,$EJ68=1),1,0)</f>
        <v>0</v>
      </c>
      <c r="EL70" s="22" t="n">
        <f aca="false">IF(AND($EK70=0,ISNUMBER($N70)),$N70,$EL69)</f>
        <v>25.7</v>
      </c>
      <c r="EM70" s="9" t="str">
        <f aca="false">IF(AND($EK70=1,ISNUMBER($N70),ISNUMBER($EL70)),$N70-$EL70,"")</f>
        <v/>
      </c>
      <c r="EN70" s="9" t="n">
        <f aca="false">IF(Setup!$B$28="",0,IF(ISNUMBER($EM70),IF($EM70&gt;Setup!$B$28,1,0),0))</f>
        <v>0</v>
      </c>
      <c r="EO70" s="9" t="str">
        <f aca="false">IF($EN70=1,COUNTIF($EN$6:$EN70,1),"")</f>
        <v/>
      </c>
      <c r="EP70" s="9" t="n">
        <f aca="false">IF(AND($EJ69=1,OR($D70="Sample",$D70="Check")),1,0)</f>
        <v>0</v>
      </c>
      <c r="EQ70" s="9" t="str">
        <f aca="false">IF(ISNUMBER($BI70),IF(COUNT($BI$6:$BI70)&lt;=5,$BI70,""),"")</f>
        <v/>
      </c>
      <c r="ER70" s="9" t="n">
        <f aca="false">IF(OR(NOT(ISNUMBER($BJ70)),$EK70=1),$ER69,IF($BJ70&lt;=Setup!$B$26,IF($CP69=0,$A70,$ER69),""))</f>
        <v>27</v>
      </c>
    </row>
    <row r="71" customFormat="false" ht="15" hidden="false" customHeight="false" outlineLevel="0" collapsed="false">
      <c r="A71" s="8" t="n">
        <v>66</v>
      </c>
      <c r="B71" s="8" t="str">
        <f aca="false">IFERROR(INDEX(Raw!$B$2:$B$1001,MATCH($A71,Raw!$A$2:$A$1001,0)),"")</f>
        <v/>
      </c>
      <c r="C71" s="9" t="str">
        <f aca="false">IF($B71="","",MAX($CS71:$DE71))</f>
        <v/>
      </c>
      <c r="D71" s="8" t="str">
        <f aca="false">IF($B71="","",IF($C71=0,"Sample",INDEX(Setup!$B$37:$B$49,$C71-36)))</f>
        <v/>
      </c>
      <c r="E71" s="16" t="str">
        <f aca="false">IF($B71="","",IFERROR(IF(INDEX(Raw!$E$2:$E$1001,MATCH($A71,Raw!$A$2:$A$1001,0))=0,"",INDEX(Raw!$E$2:$E$1001,MATCH($A71,Raw!$A$2:$A$1001,0))),""))</f>
        <v/>
      </c>
      <c r="F71" s="18"/>
      <c r="G71" s="16" t="str">
        <f aca="false">IF($B71="","",IF($F71&lt;&gt;"",$F71,IF($E71="","",$E71)))</f>
        <v/>
      </c>
      <c r="H71" s="9" t="str">
        <f aca="false">IF($B71="","",SUMPRODUCT(MAX((Raw!$A$2:$A$1001=$A71)*(Raw!$R$2:$R$1001="N")*Raw!$D$2:$D$1001)))</f>
        <v/>
      </c>
      <c r="I71" s="9" t="str">
        <f aca="false">IF(OR($H71="",$H71=0),"",$A71&amp;"|N|"&amp;$H71)</f>
        <v/>
      </c>
      <c r="J71" s="9" t="str">
        <f aca="false">IF($B71="","",SUMPRODUCT(MIN((Raw!$A$2:$A$1001=$A71)*(Raw!$R$2:$R$1001="C")*Raw!$D$2:$D$1001+(1-(Raw!$A$2:$A$1001=$A71)*(Raw!$R$2:$R$1001="C"))*9999)))</f>
        <v/>
      </c>
      <c r="K71" s="9" t="str">
        <f aca="false">IF(OR($J71="",$J71=0,$J71=9999),"",$A71&amp;"|C|"&amp;$J71)</f>
        <v/>
      </c>
      <c r="L71" s="16" t="str">
        <f aca="false">IF($I71="","",IF(INDEX(Raw!$I$2:$I$1001,MATCH($I71,Raw!$S$2:$S$1001,0))&lt;&gt;0,"",INDEX(Raw!$H$2:$H$1001,MATCH($I71,Raw!$S$2:$S$1001,0))))</f>
        <v/>
      </c>
      <c r="M71" s="19" t="str">
        <f aca="false">IF($I71="","",IF(INDEX(Raw!$I$2:$I$1001,MATCH($I71,Raw!$S$2:$S$1001,0))&lt;&gt;0,"",INDEX(Raw!$F$2:$F$1001,MATCH($I71,Raw!$S$2:$S$1001,0))))</f>
        <v/>
      </c>
      <c r="N71" s="20" t="str">
        <f aca="false">IF($I71="","",IF(INDEX(Raw!$I$2:$I$1001,MATCH($I71,Raw!$S$2:$S$1001,0))&lt;&gt;0,"",INDEX(Raw!$G$2:$G$1001,MATCH($I71,Raw!$S$2:$S$1001,0))))</f>
        <v/>
      </c>
      <c r="O71" s="16" t="str">
        <f aca="false">IF($I71="","",IF(INDEX(Raw!$I$2:$I$1001,MATCH($I71,Raw!$S$2:$S$1001,0))&lt;&gt;0,"",INDEX(Raw!$N$2:$N$1001,MATCH($I71,Raw!$S$2:$S$1001,0))))</f>
        <v/>
      </c>
      <c r="P71" s="16" t="str">
        <f aca="false">IF($K71="","",IF(INDEX(Raw!$I$2:$I$1001,MATCH($K71,Raw!$S$2:$S$1001,0))&lt;&gt;0,"",INDEX(Raw!$K$2:$K$1001,MATCH($K71,Raw!$S$2:$S$1001,0))))</f>
        <v/>
      </c>
      <c r="Q71" s="19" t="str">
        <f aca="false">IF($K71="","",IF(INDEX(Raw!$I$2:$I$1001,MATCH($K71,Raw!$S$2:$S$1001,0))&lt;&gt;0,"",INDEX(Raw!$J$2:$J$1001,MATCH($K71,Raw!$S$2:$S$1001,0))))</f>
        <v/>
      </c>
      <c r="R71" s="16" t="str">
        <f aca="false">IF($K71="","",IF(INDEX(Raw!$I$2:$I$1001,MATCH($K71,Raw!$S$2:$S$1001,0))&lt;&gt;0,"",INDEX(Raw!$O$2:$O$1001,MATCH($K71,Raw!$S$2:$S$1001,0))))</f>
        <v/>
      </c>
      <c r="S71" s="21" t="str">
        <f aca="false">IF($B71="","",IF($C71=0,"",IF(INDEX(Setup!$D$37:$D$49,$C71-36)="","",INDEX(Setup!$D$37:$D$49,$C71-36))))</f>
        <v/>
      </c>
      <c r="T71" s="21" t="str">
        <f aca="false">IF($B71="","",IF($C71=0,"",IF(INDEX(Setup!$C$37:$C$49,$C71-36)="","",INDEX(Setup!$C$37:$C$49,$C71-36))))</f>
        <v/>
      </c>
      <c r="U71" s="21" t="str">
        <f aca="false">IF($B71="","",IF($C71=0,"",IF(INDEX(Setup!$F$37:$F$49,$C71-36)="","",INDEX(Setup!$F$37:$F$49,$C71-36))))</f>
        <v/>
      </c>
      <c r="V71" s="21" t="str">
        <f aca="false">IF($B71="","",IF($C71=0,"",IF(INDEX(Setup!$E$37:$E$49,$C71-36)="","",INDEX(Setup!$E$37:$E$49,$C71-36))))</f>
        <v/>
      </c>
      <c r="W71" s="16" t="str">
        <f aca="false">IF($O71="","",IF(OR(Fits!$C$5&lt;&gt;"Yes",$D71="Blank",$L71&lt;=Fits!$B$6),$O71,($L71*$O71-Fits!$B$6*Fits!$B$7)/($L71-Fits!$B$6)))</f>
        <v/>
      </c>
      <c r="X71" s="16" t="str">
        <f aca="false">IF($W71="","",$W71-Fits!$B$20*($L71-Fits!$B$16))</f>
        <v/>
      </c>
      <c r="Y71" s="22" t="str">
        <f aca="false">IF($W71="","",IF(OR(Fits!$B$38="Row",$BI71=""),$A71,$BI71))</f>
        <v/>
      </c>
      <c r="Z71" s="16" t="str">
        <f aca="false">IF($X71="","",$X71-Fits!$B$39*($Y71-Fits!$B$40))</f>
        <v/>
      </c>
      <c r="AA71" s="23" t="str">
        <f aca="false">IF(OR($Z71="",Fits!$B$55&lt;2),"",Fits!$B$56*$Z71+Fits!$B$57)</f>
        <v/>
      </c>
      <c r="AB71" s="16" t="str">
        <f aca="false">IF($R71="","",IF(OR(Fits!$C$9&lt;&gt;"Yes",$D71="Blank",$P71&lt;=Fits!$B$10),$R71,($P71*$R71-Fits!$B$10*Fits!$B$11)/($P71-Fits!$B$10)))</f>
        <v/>
      </c>
      <c r="AC71" s="16" t="str">
        <f aca="false">IF($AB71="","",$AB71-Fits!$B$28*($P71-Fits!$B$24))</f>
        <v/>
      </c>
      <c r="AD71" s="22" t="str">
        <f aca="false">IF($AB71="","",IF(OR(Fits!$B$50="Row",$BI71=""),$A71,$BI71))</f>
        <v/>
      </c>
      <c r="AE71" s="16" t="str">
        <f aca="false">IF($AC71="","",$AC71-Fits!$B$51*($AD71-Fits!$B$52))</f>
        <v/>
      </c>
      <c r="AF71" s="23" t="str">
        <f aca="false">IF(OR($AE71="",Fits!$B$62&lt;2),"",Fits!$B$63*$AE71+Fits!$B$64)</f>
        <v/>
      </c>
      <c r="AG71" s="21" t="str">
        <f aca="false">IF(OR($L71="",Fits!$B$69&lt;3),"",($L71-Fits!$B$71)/Fits!$B$70)</f>
        <v/>
      </c>
      <c r="AH71" s="21" t="str">
        <f aca="false">IF(OR($P71="",Fits!$B$75&lt;3),"",($P71-Fits!$B$77)/Fits!$B$76)</f>
        <v/>
      </c>
      <c r="AI71" s="23" t="str">
        <f aca="false">IF(OR($AG71="",$G71="",$G71=0),"",$AG71/($G71*1000)*100)</f>
        <v/>
      </c>
      <c r="AJ71" s="23" t="str">
        <f aca="false">IF(OR($AH71="",$G71="",$G71=0),"",$AH71/($G71*1000)*100)</f>
        <v/>
      </c>
      <c r="AK71" s="23" t="str">
        <f aca="false">IF(OR($AG71="",$AH71="",$AG71&lt;=0),"",($AH71/Setup!$B$52)/($AG71/Setup!$B$53))</f>
        <v/>
      </c>
      <c r="AL71" s="23" t="str">
        <f aca="false">IF(OR($AG71="",$AH71="",$AG71&lt;=0),"",$AH71/$AG71)</f>
        <v/>
      </c>
      <c r="AM71" s="9" t="str">
        <f aca="false">IF($D71="Linearity",IF($L71="","",$L71),"")</f>
        <v/>
      </c>
      <c r="AN71" s="9" t="str">
        <f aca="false">IF($D71="Linearity",IF($W71="","",$W71),"")</f>
        <v/>
      </c>
      <c r="AO71" s="9" t="str">
        <f aca="false">IF($D71="Linearity",IF($P71="","",$P71),"")</f>
        <v/>
      </c>
      <c r="AP71" s="9" t="str">
        <f aca="false">IF($D71="Linearity",IF($AB71="","",$AB71),"")</f>
        <v/>
      </c>
      <c r="AQ71" s="9" t="str">
        <f aca="false">IF($D71="Drift",IF($A71&lt;IF(Setup!$B$14="",0,Setup!$B$14),"",$A71),"")</f>
        <v/>
      </c>
      <c r="AR71" s="9" t="str">
        <f aca="false">IF($D71="Drift",IF($A71&lt;IF(Setup!$B$14="",0,Setup!$B$14),"",IF($BI71="","",$BI71)),"")</f>
        <v/>
      </c>
      <c r="AS71" s="9" t="str">
        <f aca="false">IF($D71="Drift",IF($A71&lt;IF(Setup!$B$14="",0,Setup!$B$14),"",IF(OR($X71="",$BX71=1),"",$X71)),"")</f>
        <v/>
      </c>
      <c r="AT71" s="9" t="str">
        <f aca="false">IF($D71="Drift",IF($A71&lt;IF(Setup!$B$14="",0,Setup!$B$14),"",IF(OR($AC71="",$BY71=1),"",$AC71)),"")</f>
        <v/>
      </c>
      <c r="AU71" s="9" t="str">
        <f aca="false">IF($D71="Anchor",IF(OR($Z71="",$S71=""),"",$Z71),"")</f>
        <v/>
      </c>
      <c r="AV71" s="9" t="str">
        <f aca="false">IF($D71="Anchor",IF(OR($Z71="",$S71=""),"",$S71),"")</f>
        <v/>
      </c>
      <c r="AW71" s="9" t="str">
        <f aca="false">IF($D71="Anchor",IF(OR($AE71="",$T71=""),"",$AE71),"")</f>
        <v/>
      </c>
      <c r="AX71" s="9" t="str">
        <f aca="false">IF($D71="Anchor",IF(OR($AE71="",$T71=""),"",$T71),"")</f>
        <v/>
      </c>
      <c r="AY71" s="9" t="str">
        <f aca="false">IF(OR($D71="Blank",$D71="Exclude",$D71="Sample",$D71="",$G71="",$U71="",$L71=""),"",$G71*1000*$U71/100)</f>
        <v/>
      </c>
      <c r="AZ71" s="9" t="str">
        <f aca="false">IF($AY71="","",$L71)</f>
        <v/>
      </c>
      <c r="BA71" s="9" t="str">
        <f aca="false">IF(OR($D71="Blank",$D71="Exclude",$D71="Sample",$D71="",$G71="",$V71="",$P71=""),"",$G71*1000*$V71/100)</f>
        <v/>
      </c>
      <c r="BB71" s="9" t="str">
        <f aca="false">IF($BA71="","",$P71)</f>
        <v/>
      </c>
      <c r="BC71" s="9" t="str">
        <f aca="false">IF(AND($D71="Blank",$L71&lt;&gt;""),$O71,"")</f>
        <v/>
      </c>
      <c r="BD71" s="9" t="str">
        <f aca="false">IF($BC71="","",$L71)</f>
        <v/>
      </c>
      <c r="BE71" s="9" t="str">
        <f aca="false">IF(AND($D71="Blank",$P71&lt;&gt;""),$R71,"")</f>
        <v/>
      </c>
      <c r="BF71" s="9" t="str">
        <f aca="false">IF($BE71="","",$P71)</f>
        <v/>
      </c>
      <c r="BG71" s="9" t="str">
        <f aca="false">IF(AND($D71="Drift",$BX71&lt;&gt;1),IF($AA71="","",$AA71),"")</f>
        <v/>
      </c>
      <c r="BH71" s="9" t="str">
        <f aca="false">IF(AND($D71="Drift",$BY71&lt;&gt;1),IF($AF71="","",$AF71),"")</f>
        <v/>
      </c>
      <c r="BI71" s="20" t="str">
        <f aca="false">IF($B71="","",IFERROR(INDEX(Raw!$G$2:$G$1001,MATCH($A71&amp;"|N|"&amp;SUMPRODUCT(MAX((Raw!$A$2:$A$1001=$A71)*(Raw!$R$2:$R$1001="N")*(Raw!$I$2:$I$1001=1)*Raw!$D$2:$D$1001)),Raw!$S$2:$S$1001,0)),""))</f>
        <v/>
      </c>
      <c r="BJ71" s="21" t="str">
        <f aca="false">IF(OR($BI71="",Fits!$B$85&lt;=0),"",($BI71-Fits!$B$83)/Fits!$B$85)</f>
        <v/>
      </c>
      <c r="BK71" s="9" t="str">
        <f aca="false">IF($AS71="","",IF($A71&gt;=Fits!$B$86,"",$A71))</f>
        <v/>
      </c>
      <c r="BL71" s="9" t="str">
        <f aca="false">IF($BK71="","",$X71)</f>
        <v/>
      </c>
      <c r="BM71" s="9" t="str">
        <f aca="false">IF($AS71="","",IF($A71&lt;Fits!$B$86,"",$A71))</f>
        <v/>
      </c>
      <c r="BN71" s="9" t="str">
        <f aca="false">IF($BM71="","",$X71)</f>
        <v/>
      </c>
      <c r="BO71" s="9" t="str">
        <f aca="false">IF(AND($D71="Drift",$BX71&lt;&gt;1),IF($O71="","",$O71),"")</f>
        <v/>
      </c>
      <c r="BP71" s="9" t="str">
        <f aca="false">IF(AND($D71="Drift",$BX71&lt;&gt;1),IF($W71="","",$W71),"")</f>
        <v/>
      </c>
      <c r="BQ71" s="9" t="str">
        <f aca="false">IF(AND($D71="Drift",$BX71&lt;&gt;1),IF($X71="","",$X71),"")</f>
        <v/>
      </c>
      <c r="BR71" s="9" t="str">
        <f aca="false">IF(AND($D71="Drift",$BX71&lt;&gt;1),IF($Z71="","",$Z71),"")</f>
        <v/>
      </c>
      <c r="BS71" s="9" t="str">
        <f aca="false">IF(OR($B71="",$H71=""),"",SUMPRODUCT(MIN((Raw!$A$2:$A$1001=$A71)*(Raw!$R$2:$R$1001="N")*(Raw!$I$2:$I$1001=0)*(Raw!$D$2:$D$1001&lt;$H71)*Raw!$D$2:$D$1001+(1-(Raw!$A$2:$A$1001=$A71)*(Raw!$R$2:$R$1001="N")*(Raw!$I$2:$I$1001=0)*(Raw!$D$2:$D$1001&lt;$H71))*9999)))</f>
        <v/>
      </c>
      <c r="BT71" s="16" t="str">
        <f aca="false">IF(OR($BS71="",$BS71=9999,$BS71=0),"",IFERROR(INDEX(Raw!$N$2:$N$1001,MATCH($A71&amp;"|N|"&amp;$BS71,Raw!$S$2:$S$1001,0)),""))</f>
        <v/>
      </c>
      <c r="BU71" s="9" t="str">
        <f aca="false">IF($B71="","",SUMPRODUCT(MIN((Raw!$A$2:$A$1001=$A71)*(Raw!$R$2:$R$1001="C")*(Raw!$I$2:$I$1001=1)*Raw!$D$2:$D$1001+(1-(Raw!$A$2:$A$1001=$A71)*(Raw!$R$2:$R$1001="C")*(Raw!$I$2:$I$1001=1))*9999)))</f>
        <v/>
      </c>
      <c r="BV71" s="9" t="str">
        <f aca="false">IF(OR($BU71="",$BU71=9999),"",SUMPRODUCT(MIN((Raw!$A$2:$A$1001=$A71)*(Raw!$R$2:$R$1001="C")*(Raw!$I$2:$I$1001=0)*(Raw!$D$2:$D$1001&gt;$BU71)*Raw!$D$2:$D$1001+(1-(Raw!$A$2:$A$1001=$A71)*(Raw!$R$2:$R$1001="C")*(Raw!$I$2:$I$1001=0)*(Raw!$D$2:$D$1001&gt;$BU71))*9999)))</f>
        <v/>
      </c>
      <c r="BW71" s="16" t="str">
        <f aca="false">IF(OR($BV71="",$BV71=9999,$BV71=0),"",IFERROR(INDEX(Raw!$O$2:$O$1001,MATCH($A71&amp;"|C|"&amp;$BV71,Raw!$S$2:$S$1001,0)),""))</f>
        <v/>
      </c>
      <c r="BX71" s="9" t="str">
        <f aca="false">IF($B71="","",IF(ISNUMBER(SEARCH(","&amp;$A71&amp;",",","&amp;SUBSTITUTE(Setup!$B$16," ","")&amp;",")),1,0))</f>
        <v/>
      </c>
      <c r="BY71" s="9" t="str">
        <f aca="false">IF($B71="","",IF(ISNUMBER(SEARCH(","&amp;$A71&amp;",",","&amp;SUBSTITUTE(Setup!$B$17," ","")&amp;",")),1,0))</f>
        <v/>
      </c>
      <c r="BZ71" s="22" t="str">
        <f aca="false">IF($AS71="","",IF(Fits!$B$38="Row",$AQ71,IF($AR71="","",$AR71)))</f>
        <v/>
      </c>
      <c r="CA71" s="22" t="str">
        <f aca="false">IF($AT71="","",IF(Fits!$B$50="Row",$AQ71,IF($AR71="","",$AR71)))</f>
        <v/>
      </c>
      <c r="CB71" s="20" t="str">
        <f aca="false">IF(OR($D71&lt;&gt;"Drift",$X71="",$A71&lt;IF(Setup!$B$14="",0,Setup!$B$14),Fits!$B$107&lt;3,Fits!$B$110="",Fits!$B$109=0,IF(Fits!$B$38="Row",$AQ71,$AR71)=""),"",IF($BX71=1,IF(OR(Fits!$B$111="",Fits!$B$111=0),"",($X71-(IF(Fits!$B$38="Row",Fits!$B$32,Fits!$B$35)*IF(Fits!$B$38="Row",$AQ71,$AR71)+Fits!$B$110))/(Fits!$B$111*SQRT(1+(1/Fits!$B$107+(IF(Fits!$B$38="Row",$AQ71,$AR71)-Fits!$B$108)^2/Fits!$B$109)))),IF(OR(Fits!$B$107&lt;4,(1/Fits!$B$107+(IF(Fits!$B$38="Row",$AQ71,$AR71)-Fits!$B$108)^2/Fits!$B$109)&gt;=1),"",IF((Fits!$B$116-($X71-(IF(Fits!$B$38="Row",Fits!$B$32,Fits!$B$35)*IF(Fits!$B$38="Row",$AQ71,$AR71)+Fits!$B$110))^2/(1-(1/Fits!$B$107+(IF(Fits!$B$38="Row",$AQ71,$AR71)-Fits!$B$108)^2/Fits!$B$109)))&lt;=0,"",($X71-(IF(Fits!$B$38="Row",Fits!$B$32,Fits!$B$35)*IF(Fits!$B$38="Row",$AQ71,$AR71)+Fits!$B$110))/(SQRT((Fits!$B$116-($X71-(IF(Fits!$B$38="Row",Fits!$B$32,Fits!$B$35)*IF(Fits!$B$38="Row",$AQ71,$AR71)+Fits!$B$110))^2/(1-(1/Fits!$B$107+(IF(Fits!$B$38="Row",$AQ71,$AR71)-Fits!$B$108)^2/Fits!$B$109)))/(Fits!$B$107-3))*SQRT(1-(1/Fits!$B$107+(IF(Fits!$B$38="Row",$AQ71,$AR71)-Fits!$B$108)^2/Fits!$B$109)))))))</f>
        <v/>
      </c>
      <c r="CC71" s="20" t="str">
        <f aca="false">IF(OR($D71&lt;&gt;"Drift",$AC71="",$A71&lt;IF(Setup!$B$14="",0,Setup!$B$14),Fits!$B$120&lt;3,Fits!$B$123="",Fits!$B$122=0,IF(Fits!$B$50="Row",$AQ71,$AR71)=""),"",IF($BY71=1,IF(OR(Fits!$B$124="",Fits!$B$124=0),"",($AC71-(IF(Fits!$B$50="Row",Fits!$B$44,Fits!$B$47)*IF(Fits!$B$50="Row",$AQ71,$AR71)+Fits!$B$123))/(Fits!$B$124*SQRT(1+(1/Fits!$B$120+(IF(Fits!$B$50="Row",$AQ71,$AR71)-Fits!$B$121)^2/Fits!$B$122)))),IF(OR(Fits!$B$120&lt;4,(1/Fits!$B$120+(IF(Fits!$B$50="Row",$AQ71,$AR71)-Fits!$B$121)^2/Fits!$B$122)&gt;=1),"",IF((Fits!$B$129-($AC71-(IF(Fits!$B$50="Row",Fits!$B$44,Fits!$B$47)*IF(Fits!$B$50="Row",$AQ71,$AR71)+Fits!$B$123))^2/(1-(1/Fits!$B$120+(IF(Fits!$B$50="Row",$AQ71,$AR71)-Fits!$B$121)^2/Fits!$B$122)))&lt;=0,"",($AC71-(IF(Fits!$B$50="Row",Fits!$B$44,Fits!$B$47)*IF(Fits!$B$50="Row",$AQ71,$AR71)+Fits!$B$123))/(SQRT((Fits!$B$129-($AC71-(IF(Fits!$B$50="Row",Fits!$B$44,Fits!$B$47)*IF(Fits!$B$50="Row",$AQ71,$AR71)+Fits!$B$123))^2/(1-(1/Fits!$B$120+(IF(Fits!$B$50="Row",$AQ71,$AR71)-Fits!$B$121)^2/Fits!$B$122)))/(Fits!$B$120-3))*SQRT(1-(1/Fits!$B$120+(IF(Fits!$B$50="Row",$AQ71,$AR71)-Fits!$B$121)^2/Fits!$B$122)))))))</f>
        <v/>
      </c>
      <c r="CD71" s="9" t="str">
        <f aca="false">IF($AU71="","",1)</f>
        <v/>
      </c>
      <c r="CE71" s="24" t="str">
        <f aca="false">IF($AU71="","",$AU71-Fits!$B$133)</f>
        <v/>
      </c>
      <c r="CF71" s="24" t="str">
        <f aca="false">IF($AU71="","",($AV71-(Fits!$B$56*$AU71+Fits!$B$57))-Fits!$B$56*($AU71-Fits!$B$133))</f>
        <v/>
      </c>
      <c r="CG71" s="25" t="str">
        <f aca="false">IF($AU71="","",$AU71^2)</f>
        <v/>
      </c>
      <c r="CH71" s="9" t="str">
        <f aca="false">IF($AW71="","",1)</f>
        <v/>
      </c>
      <c r="CI71" s="24" t="str">
        <f aca="false">IF($AW71="","",$AW71-Fits!$B$153)</f>
        <v/>
      </c>
      <c r="CJ71" s="24" t="str">
        <f aca="false">IF($AW71="","",($AX71-(Fits!$B$63*$AW71+Fits!$B$64))-Fits!$B$63*($AW71-Fits!$B$153))</f>
        <v/>
      </c>
      <c r="CK71" s="25" t="str">
        <f aca="false">IF($AW71="","",$AW71^2)</f>
        <v/>
      </c>
      <c r="CL71" s="26" t="str">
        <f aca="false">IF(OR($Z71="",Fits!$B$55&lt;3,Fits!$B$133="",Fits!$B$134="",Fits!$B$134=0,Fits!$B$136=""),"",SQRT((Fits!$B$136*Fits!$B$56)^2+SUMPRODUCT((Fits!$J$163:$J$175*(Fits!$B$163:$B$175/Fits!$B$55+Fits!$H$163:$H$175*($Z71-Fits!$B$133)/Fits!$B$134))^2)+SUMPRODUCT((Fits!$G$163:$G$175*(($Z71-Fits!$B$133)*Fits!$I$163:$I$175/Fits!$B$134-Fits!$B$163:$B$175*Fits!$B$56/Fits!$B$55))^2)))</f>
        <v/>
      </c>
      <c r="CM71" s="26" t="str">
        <f aca="false">IF($CL71="","",Setup!$B$32*$CL71)</f>
        <v/>
      </c>
      <c r="CN71" s="26" t="str">
        <f aca="false">IF(OR($AE71="",Fits!$B$62&lt;3,Fits!$B$153="",Fits!$B$154="",Fits!$B$154=0,Fits!$B$156=""),"",SQRT((Fits!$B$156*Fits!$B$63)^2+SUMPRODUCT((Fits!$J$183:$J$195*(Fits!$B$183:$B$195/Fits!$B$62+Fits!$H$183:$H$195*($AE71-Fits!$B$153)/Fits!$B$154))^2)+SUMPRODUCT((Fits!$G$183:$G$195*(($AE71-Fits!$B$153)*Fits!$I$183:$I$195/Fits!$B$154-Fits!$B$183:$B$195*Fits!$B$63/Fits!$B$62))^2)))</f>
        <v/>
      </c>
      <c r="CO71" s="26" t="str">
        <f aca="false">IF($CN71="","",Setup!$B$32*$CN71)</f>
        <v/>
      </c>
      <c r="CP71" s="9" t="n">
        <f aca="false">IF(OR(NOT(ISNUMBER($BJ71)),$EK71=1),$CP70,IF($BJ71&lt;=Setup!$B$26,$CP70+1,0))</f>
        <v>26</v>
      </c>
      <c r="CQ71" s="9" t="str">
        <f aca="false">IF($BT71="","",$A71)</f>
        <v/>
      </c>
      <c r="CR71" s="9" t="str">
        <f aca="false">IF($BW71="","",$A71)</f>
        <v/>
      </c>
      <c r="CS71" s="9" t="str">
        <f aca="false">IF($B71="","",IF(Setup!$A$37="",0,IF(ISNUMBER(SEARCH(Setup!$A$37,$B71)),37,0)))</f>
        <v/>
      </c>
      <c r="CT71" s="9" t="str">
        <f aca="false">IF($B71="","",IF(Setup!$A$38="",0,IF(ISNUMBER(SEARCH(Setup!$A$38,$B71)),38,0)))</f>
        <v/>
      </c>
      <c r="CU71" s="9" t="str">
        <f aca="false">IF($B71="","",IF(Setup!$A$39="",0,IF(ISNUMBER(SEARCH(Setup!$A$39,$B71)),39,0)))</f>
        <v/>
      </c>
      <c r="CV71" s="9" t="str">
        <f aca="false">IF($B71="","",IF(Setup!$A$40="",0,IF(ISNUMBER(SEARCH(Setup!$A$40,$B71)),40,0)))</f>
        <v/>
      </c>
      <c r="CW71" s="9" t="str">
        <f aca="false">IF($B71="","",IF(Setup!$A$41="",0,IF(ISNUMBER(SEARCH(Setup!$A$41,$B71)),41,0)))</f>
        <v/>
      </c>
      <c r="CX71" s="9" t="str">
        <f aca="false">IF($B71="","",IF(Setup!$A$42="",0,IF(ISNUMBER(SEARCH(Setup!$A$42,$B71)),42,0)))</f>
        <v/>
      </c>
      <c r="CY71" s="9" t="str">
        <f aca="false">IF($B71="","",IF(Setup!$A$43="",0,IF(ISNUMBER(SEARCH(Setup!$A$43,$B71)),43,0)))</f>
        <v/>
      </c>
      <c r="CZ71" s="9" t="str">
        <f aca="false">IF($B71="","",IF(Setup!$A$44="",0,IF(ISNUMBER(SEARCH(Setup!$A$44,$B71)),44,0)))</f>
        <v/>
      </c>
      <c r="DA71" s="9" t="str">
        <f aca="false">IF($B71="","",IF(Setup!$A$45="",0,IF(ISNUMBER(SEARCH(Setup!$A$45,$B71)),45,0)))</f>
        <v/>
      </c>
      <c r="DB71" s="9" t="str">
        <f aca="false">IF($B71="","",IF(Setup!$A$46="",0,IF(ISNUMBER(SEARCH(Setup!$A$46,$B71)),46,0)))</f>
        <v/>
      </c>
      <c r="DC71" s="9" t="str">
        <f aca="false">IF($B71="","",IF(Setup!$A$47="",0,IF(ISNUMBER(SEARCH(Setup!$A$47,$B71)),47,0)))</f>
        <v/>
      </c>
      <c r="DD71" s="9" t="str">
        <f aca="false">IF($B71="","",IF(Setup!$A$48="",0,IF(ISNUMBER(SEARCH(Setup!$A$48,$B71)),48,0)))</f>
        <v/>
      </c>
      <c r="DE71" s="9" t="str">
        <f aca="false">IF($B71="","",IF(Setup!$A$49="",0,IF(ISNUMBER(SEARCH(Setup!$A$49,$B71)),49,0)))</f>
        <v/>
      </c>
      <c r="DF71" s="9" t="e">
        <f aca="false">IF($B71="",NA(),$A71)</f>
        <v>#N/A</v>
      </c>
      <c r="DG71" s="9" t="e">
        <f aca="false">IF($BI71="",NA(),$BI71)</f>
        <v>#N/A</v>
      </c>
      <c r="DH71" s="9" t="e">
        <f aca="false">IF($N71="",NA(),$N71)</f>
        <v>#N/A</v>
      </c>
      <c r="DI71" s="9" t="e">
        <f aca="false">IF(AND($D71="Drift",$N71&lt;&gt;""),$N71,NA())</f>
        <v>#N/A</v>
      </c>
      <c r="DJ71" s="9" t="str">
        <f aca="false">IF(AND($D71="Drift",$N71&lt;&gt;""),$N71,"")</f>
        <v/>
      </c>
      <c r="DK71" s="9" t="str">
        <f aca="false">IF($DJ71="","",$A71)</f>
        <v/>
      </c>
      <c r="DL71" s="9" t="e">
        <f aca="false">IF($AN71="",NA(),$AM71)</f>
        <v>#N/A</v>
      </c>
      <c r="DM71" s="9" t="e">
        <f aca="false">IF($AN71="",NA(),$AN71)</f>
        <v>#N/A</v>
      </c>
      <c r="DN71" s="9" t="e">
        <f aca="false">IF(AND($D71="Sample",$L71&lt;&gt;""),$L71,NA())</f>
        <v>#N/A</v>
      </c>
      <c r="DO71" s="9" t="e">
        <f aca="false">IF(AND($D71="Sample",$L71&lt;&gt;"",Fits!$B$98&lt;&gt;""),Fits!$B$98,NA())</f>
        <v>#N/A</v>
      </c>
      <c r="DP71" s="9" t="e">
        <f aca="false">IF($AS71="",NA(),$AS71)</f>
        <v>#N/A</v>
      </c>
      <c r="DQ71" s="9" t="e">
        <f aca="false">IF(AND($D71="Drift",$AS71="",$X71&lt;&gt;""),$X71,NA())</f>
        <v>#N/A</v>
      </c>
      <c r="DR71" s="9" t="e">
        <f aca="false">IF(AND($D71="Drift",$Z71&lt;&gt;""),$Z71,NA())</f>
        <v>#N/A</v>
      </c>
      <c r="DS71" s="9" t="e">
        <f aca="false">IF(AND(OR($D71="Sample",$D71="Check"),$AA71&lt;&gt;""),$AA71,NA())</f>
        <v>#N/A</v>
      </c>
      <c r="DT71" s="9" t="e">
        <f aca="false">IF(OR($B71="",Fits!$B$138=""),NA(),Fits!$B$138)</f>
        <v>#N/A</v>
      </c>
      <c r="DU71" s="9" t="e">
        <f aca="false">IF(OR($B71="",Fits!$B$139=""),NA(),Fits!$B$139)</f>
        <v>#N/A</v>
      </c>
      <c r="DV71" s="9" t="e">
        <f aca="false">IF($BT71="",NA(),$BT71)</f>
        <v>#N/A</v>
      </c>
      <c r="DW71" s="9" t="e">
        <f aca="false">IF($AP71="",NA(),$AO71)</f>
        <v>#N/A</v>
      </c>
      <c r="DX71" s="9" t="e">
        <f aca="false">IF($AP71="",NA(),$AP71)</f>
        <v>#N/A</v>
      </c>
      <c r="DY71" s="9" t="e">
        <f aca="false">IF(AND($D71="Sample",$P71&lt;&gt;""),$P71,NA())</f>
        <v>#N/A</v>
      </c>
      <c r="DZ71" s="9" t="e">
        <f aca="false">IF(AND($D71="Sample",$P71&lt;&gt;"",Fits!$B$105&lt;&gt;""),Fits!$B$105,NA())</f>
        <v>#N/A</v>
      </c>
      <c r="EA71" s="9" t="e">
        <f aca="false">IF($AT71="",NA(),$AT71)</f>
        <v>#N/A</v>
      </c>
      <c r="EB71" s="9" t="e">
        <f aca="false">IF(AND($D71="Drift",$AT71="",$AC71&lt;&gt;""),$AC71,NA())</f>
        <v>#N/A</v>
      </c>
      <c r="EC71" s="9" t="e">
        <f aca="false">IF(AND($D71="Drift",$AE71&lt;&gt;""),$AE71,NA())</f>
        <v>#N/A</v>
      </c>
      <c r="ED71" s="9" t="e">
        <f aca="false">IF(AND(OR($D71="Sample",$D71="Check"),$AF71&lt;&gt;""),$AF71,NA())</f>
        <v>#N/A</v>
      </c>
      <c r="EE71" s="9" t="e">
        <f aca="false">IF(OR($B71="",Fits!$B$158=""),NA(),Fits!$B$158)</f>
        <v>#N/A</v>
      </c>
      <c r="EF71" s="9" t="e">
        <f aca="false">IF(OR($B71="",Fits!$B$159=""),NA(),Fits!$B$159)</f>
        <v>#N/A</v>
      </c>
      <c r="EG71" s="9" t="e">
        <f aca="false">IF($BW71="",NA(),$BW71)</f>
        <v>#N/A</v>
      </c>
      <c r="EH71" s="9" t="e">
        <f aca="false">IF(AND($EN71=1,ISNUMBER($N71)),$N71,NA())</f>
        <v>#N/A</v>
      </c>
      <c r="EI71" s="9" t="str">
        <f aca="false">IF($B71="","",$A71)</f>
        <v/>
      </c>
      <c r="EJ71" s="9" t="n">
        <f aca="false">IF(OR(AND(ISNUMBER($L71),Fits!$B$97&gt;0,$L71&gt;Fits!$B$97),AND(ISNUMBER($P71),Fits!$B$104&gt;0,$P71&gt;Fits!$B$104)),1,0)</f>
        <v>0</v>
      </c>
      <c r="EK71" s="9" t="n">
        <f aca="false">IF(OR($EJ70=1,$EJ69=1),1,0)</f>
        <v>0</v>
      </c>
      <c r="EL71" s="22" t="n">
        <f aca="false">IF(AND($EK71=0,ISNUMBER($N71)),$N71,$EL70)</f>
        <v>25.7</v>
      </c>
      <c r="EM71" s="9" t="str">
        <f aca="false">IF(AND($EK71=1,ISNUMBER($N71),ISNUMBER($EL71)),$N71-$EL71,"")</f>
        <v/>
      </c>
      <c r="EN71" s="9" t="n">
        <f aca="false">IF(Setup!$B$28="",0,IF(ISNUMBER($EM71),IF($EM71&gt;Setup!$B$28,1,0),0))</f>
        <v>0</v>
      </c>
      <c r="EO71" s="9" t="str">
        <f aca="false">IF($EN71=1,COUNTIF($EN$6:$EN71,1),"")</f>
        <v/>
      </c>
      <c r="EP71" s="9" t="n">
        <f aca="false">IF(AND($EJ70=1,OR($D71="Sample",$D71="Check")),1,0)</f>
        <v>0</v>
      </c>
      <c r="EQ71" s="9" t="str">
        <f aca="false">IF(ISNUMBER($BI71),IF(COUNT($BI$6:$BI71)&lt;=5,$BI71,""),"")</f>
        <v/>
      </c>
      <c r="ER71" s="9" t="n">
        <f aca="false">IF(OR(NOT(ISNUMBER($BJ71)),$EK71=1),$ER70,IF($BJ71&lt;=Setup!$B$26,IF($CP70=0,$A71,$ER70),""))</f>
        <v>27</v>
      </c>
    </row>
    <row r="72" customFormat="false" ht="15" hidden="false" customHeight="false" outlineLevel="0" collapsed="false">
      <c r="A72" s="8" t="n">
        <v>67</v>
      </c>
      <c r="B72" s="8" t="str">
        <f aca="false">IFERROR(INDEX(Raw!$B$2:$B$1001,MATCH($A72,Raw!$A$2:$A$1001,0)),"")</f>
        <v/>
      </c>
      <c r="C72" s="9" t="str">
        <f aca="false">IF($B72="","",MAX($CS72:$DE72))</f>
        <v/>
      </c>
      <c r="D72" s="8" t="str">
        <f aca="false">IF($B72="","",IF($C72=0,"Sample",INDEX(Setup!$B$37:$B$49,$C72-36)))</f>
        <v/>
      </c>
      <c r="E72" s="16" t="str">
        <f aca="false">IF($B72="","",IFERROR(IF(INDEX(Raw!$E$2:$E$1001,MATCH($A72,Raw!$A$2:$A$1001,0))=0,"",INDEX(Raw!$E$2:$E$1001,MATCH($A72,Raw!$A$2:$A$1001,0))),""))</f>
        <v/>
      </c>
      <c r="F72" s="18"/>
      <c r="G72" s="16" t="str">
        <f aca="false">IF($B72="","",IF($F72&lt;&gt;"",$F72,IF($E72="","",$E72)))</f>
        <v/>
      </c>
      <c r="H72" s="9" t="str">
        <f aca="false">IF($B72="","",SUMPRODUCT(MAX((Raw!$A$2:$A$1001=$A72)*(Raw!$R$2:$R$1001="N")*Raw!$D$2:$D$1001)))</f>
        <v/>
      </c>
      <c r="I72" s="9" t="str">
        <f aca="false">IF(OR($H72="",$H72=0),"",$A72&amp;"|N|"&amp;$H72)</f>
        <v/>
      </c>
      <c r="J72" s="9" t="str">
        <f aca="false">IF($B72="","",SUMPRODUCT(MIN((Raw!$A$2:$A$1001=$A72)*(Raw!$R$2:$R$1001="C")*Raw!$D$2:$D$1001+(1-(Raw!$A$2:$A$1001=$A72)*(Raw!$R$2:$R$1001="C"))*9999)))</f>
        <v/>
      </c>
      <c r="K72" s="9" t="str">
        <f aca="false">IF(OR($J72="",$J72=0,$J72=9999),"",$A72&amp;"|C|"&amp;$J72)</f>
        <v/>
      </c>
      <c r="L72" s="16" t="str">
        <f aca="false">IF($I72="","",IF(INDEX(Raw!$I$2:$I$1001,MATCH($I72,Raw!$S$2:$S$1001,0))&lt;&gt;0,"",INDEX(Raw!$H$2:$H$1001,MATCH($I72,Raw!$S$2:$S$1001,0))))</f>
        <v/>
      </c>
      <c r="M72" s="19" t="str">
        <f aca="false">IF($I72="","",IF(INDEX(Raw!$I$2:$I$1001,MATCH($I72,Raw!$S$2:$S$1001,0))&lt;&gt;0,"",INDEX(Raw!$F$2:$F$1001,MATCH($I72,Raw!$S$2:$S$1001,0))))</f>
        <v/>
      </c>
      <c r="N72" s="20" t="str">
        <f aca="false">IF($I72="","",IF(INDEX(Raw!$I$2:$I$1001,MATCH($I72,Raw!$S$2:$S$1001,0))&lt;&gt;0,"",INDEX(Raw!$G$2:$G$1001,MATCH($I72,Raw!$S$2:$S$1001,0))))</f>
        <v/>
      </c>
      <c r="O72" s="16" t="str">
        <f aca="false">IF($I72="","",IF(INDEX(Raw!$I$2:$I$1001,MATCH($I72,Raw!$S$2:$S$1001,0))&lt;&gt;0,"",INDEX(Raw!$N$2:$N$1001,MATCH($I72,Raw!$S$2:$S$1001,0))))</f>
        <v/>
      </c>
      <c r="P72" s="16" t="str">
        <f aca="false">IF($K72="","",IF(INDEX(Raw!$I$2:$I$1001,MATCH($K72,Raw!$S$2:$S$1001,0))&lt;&gt;0,"",INDEX(Raw!$K$2:$K$1001,MATCH($K72,Raw!$S$2:$S$1001,0))))</f>
        <v/>
      </c>
      <c r="Q72" s="19" t="str">
        <f aca="false">IF($K72="","",IF(INDEX(Raw!$I$2:$I$1001,MATCH($K72,Raw!$S$2:$S$1001,0))&lt;&gt;0,"",INDEX(Raw!$J$2:$J$1001,MATCH($K72,Raw!$S$2:$S$1001,0))))</f>
        <v/>
      </c>
      <c r="R72" s="16" t="str">
        <f aca="false">IF($K72="","",IF(INDEX(Raw!$I$2:$I$1001,MATCH($K72,Raw!$S$2:$S$1001,0))&lt;&gt;0,"",INDEX(Raw!$O$2:$O$1001,MATCH($K72,Raw!$S$2:$S$1001,0))))</f>
        <v/>
      </c>
      <c r="S72" s="21" t="str">
        <f aca="false">IF($B72="","",IF($C72=0,"",IF(INDEX(Setup!$D$37:$D$49,$C72-36)="","",INDEX(Setup!$D$37:$D$49,$C72-36))))</f>
        <v/>
      </c>
      <c r="T72" s="21" t="str">
        <f aca="false">IF($B72="","",IF($C72=0,"",IF(INDEX(Setup!$C$37:$C$49,$C72-36)="","",INDEX(Setup!$C$37:$C$49,$C72-36))))</f>
        <v/>
      </c>
      <c r="U72" s="21" t="str">
        <f aca="false">IF($B72="","",IF($C72=0,"",IF(INDEX(Setup!$F$37:$F$49,$C72-36)="","",INDEX(Setup!$F$37:$F$49,$C72-36))))</f>
        <v/>
      </c>
      <c r="V72" s="21" t="str">
        <f aca="false">IF($B72="","",IF($C72=0,"",IF(INDEX(Setup!$E$37:$E$49,$C72-36)="","",INDEX(Setup!$E$37:$E$49,$C72-36))))</f>
        <v/>
      </c>
      <c r="W72" s="16" t="str">
        <f aca="false">IF($O72="","",IF(OR(Fits!$C$5&lt;&gt;"Yes",$D72="Blank",$L72&lt;=Fits!$B$6),$O72,($L72*$O72-Fits!$B$6*Fits!$B$7)/($L72-Fits!$B$6)))</f>
        <v/>
      </c>
      <c r="X72" s="16" t="str">
        <f aca="false">IF($W72="","",$W72-Fits!$B$20*($L72-Fits!$B$16))</f>
        <v/>
      </c>
      <c r="Y72" s="22" t="str">
        <f aca="false">IF($W72="","",IF(OR(Fits!$B$38="Row",$BI72=""),$A72,$BI72))</f>
        <v/>
      </c>
      <c r="Z72" s="16" t="str">
        <f aca="false">IF($X72="","",$X72-Fits!$B$39*($Y72-Fits!$B$40))</f>
        <v/>
      </c>
      <c r="AA72" s="23" t="str">
        <f aca="false">IF(OR($Z72="",Fits!$B$55&lt;2),"",Fits!$B$56*$Z72+Fits!$B$57)</f>
        <v/>
      </c>
      <c r="AB72" s="16" t="str">
        <f aca="false">IF($R72="","",IF(OR(Fits!$C$9&lt;&gt;"Yes",$D72="Blank",$P72&lt;=Fits!$B$10),$R72,($P72*$R72-Fits!$B$10*Fits!$B$11)/($P72-Fits!$B$10)))</f>
        <v/>
      </c>
      <c r="AC72" s="16" t="str">
        <f aca="false">IF($AB72="","",$AB72-Fits!$B$28*($P72-Fits!$B$24))</f>
        <v/>
      </c>
      <c r="AD72" s="22" t="str">
        <f aca="false">IF($AB72="","",IF(OR(Fits!$B$50="Row",$BI72=""),$A72,$BI72))</f>
        <v/>
      </c>
      <c r="AE72" s="16" t="str">
        <f aca="false">IF($AC72="","",$AC72-Fits!$B$51*($AD72-Fits!$B$52))</f>
        <v/>
      </c>
      <c r="AF72" s="23" t="str">
        <f aca="false">IF(OR($AE72="",Fits!$B$62&lt;2),"",Fits!$B$63*$AE72+Fits!$B$64)</f>
        <v/>
      </c>
      <c r="AG72" s="21" t="str">
        <f aca="false">IF(OR($L72="",Fits!$B$69&lt;3),"",($L72-Fits!$B$71)/Fits!$B$70)</f>
        <v/>
      </c>
      <c r="AH72" s="21" t="str">
        <f aca="false">IF(OR($P72="",Fits!$B$75&lt;3),"",($P72-Fits!$B$77)/Fits!$B$76)</f>
        <v/>
      </c>
      <c r="AI72" s="23" t="str">
        <f aca="false">IF(OR($AG72="",$G72="",$G72=0),"",$AG72/($G72*1000)*100)</f>
        <v/>
      </c>
      <c r="AJ72" s="23" t="str">
        <f aca="false">IF(OR($AH72="",$G72="",$G72=0),"",$AH72/($G72*1000)*100)</f>
        <v/>
      </c>
      <c r="AK72" s="23" t="str">
        <f aca="false">IF(OR($AG72="",$AH72="",$AG72&lt;=0),"",($AH72/Setup!$B$52)/($AG72/Setup!$B$53))</f>
        <v/>
      </c>
      <c r="AL72" s="23" t="str">
        <f aca="false">IF(OR($AG72="",$AH72="",$AG72&lt;=0),"",$AH72/$AG72)</f>
        <v/>
      </c>
      <c r="AM72" s="9" t="str">
        <f aca="false">IF($D72="Linearity",IF($L72="","",$L72),"")</f>
        <v/>
      </c>
      <c r="AN72" s="9" t="str">
        <f aca="false">IF($D72="Linearity",IF($W72="","",$W72),"")</f>
        <v/>
      </c>
      <c r="AO72" s="9" t="str">
        <f aca="false">IF($D72="Linearity",IF($P72="","",$P72),"")</f>
        <v/>
      </c>
      <c r="AP72" s="9" t="str">
        <f aca="false">IF($D72="Linearity",IF($AB72="","",$AB72),"")</f>
        <v/>
      </c>
      <c r="AQ72" s="9" t="str">
        <f aca="false">IF($D72="Drift",IF($A72&lt;IF(Setup!$B$14="",0,Setup!$B$14),"",$A72),"")</f>
        <v/>
      </c>
      <c r="AR72" s="9" t="str">
        <f aca="false">IF($D72="Drift",IF($A72&lt;IF(Setup!$B$14="",0,Setup!$B$14),"",IF($BI72="","",$BI72)),"")</f>
        <v/>
      </c>
      <c r="AS72" s="9" t="str">
        <f aca="false">IF($D72="Drift",IF($A72&lt;IF(Setup!$B$14="",0,Setup!$B$14),"",IF(OR($X72="",$BX72=1),"",$X72)),"")</f>
        <v/>
      </c>
      <c r="AT72" s="9" t="str">
        <f aca="false">IF($D72="Drift",IF($A72&lt;IF(Setup!$B$14="",0,Setup!$B$14),"",IF(OR($AC72="",$BY72=1),"",$AC72)),"")</f>
        <v/>
      </c>
      <c r="AU72" s="9" t="str">
        <f aca="false">IF($D72="Anchor",IF(OR($Z72="",$S72=""),"",$Z72),"")</f>
        <v/>
      </c>
      <c r="AV72" s="9" t="str">
        <f aca="false">IF($D72="Anchor",IF(OR($Z72="",$S72=""),"",$S72),"")</f>
        <v/>
      </c>
      <c r="AW72" s="9" t="str">
        <f aca="false">IF($D72="Anchor",IF(OR($AE72="",$T72=""),"",$AE72),"")</f>
        <v/>
      </c>
      <c r="AX72" s="9" t="str">
        <f aca="false">IF($D72="Anchor",IF(OR($AE72="",$T72=""),"",$T72),"")</f>
        <v/>
      </c>
      <c r="AY72" s="9" t="str">
        <f aca="false">IF(OR($D72="Blank",$D72="Exclude",$D72="Sample",$D72="",$G72="",$U72="",$L72=""),"",$G72*1000*$U72/100)</f>
        <v/>
      </c>
      <c r="AZ72" s="9" t="str">
        <f aca="false">IF($AY72="","",$L72)</f>
        <v/>
      </c>
      <c r="BA72" s="9" t="str">
        <f aca="false">IF(OR($D72="Blank",$D72="Exclude",$D72="Sample",$D72="",$G72="",$V72="",$P72=""),"",$G72*1000*$V72/100)</f>
        <v/>
      </c>
      <c r="BB72" s="9" t="str">
        <f aca="false">IF($BA72="","",$P72)</f>
        <v/>
      </c>
      <c r="BC72" s="9" t="str">
        <f aca="false">IF(AND($D72="Blank",$L72&lt;&gt;""),$O72,"")</f>
        <v/>
      </c>
      <c r="BD72" s="9" t="str">
        <f aca="false">IF($BC72="","",$L72)</f>
        <v/>
      </c>
      <c r="BE72" s="9" t="str">
        <f aca="false">IF(AND($D72="Blank",$P72&lt;&gt;""),$R72,"")</f>
        <v/>
      </c>
      <c r="BF72" s="9" t="str">
        <f aca="false">IF($BE72="","",$P72)</f>
        <v/>
      </c>
      <c r="BG72" s="9" t="str">
        <f aca="false">IF(AND($D72="Drift",$BX72&lt;&gt;1),IF($AA72="","",$AA72),"")</f>
        <v/>
      </c>
      <c r="BH72" s="9" t="str">
        <f aca="false">IF(AND($D72="Drift",$BY72&lt;&gt;1),IF($AF72="","",$AF72),"")</f>
        <v/>
      </c>
      <c r="BI72" s="20" t="str">
        <f aca="false">IF($B72="","",IFERROR(INDEX(Raw!$G$2:$G$1001,MATCH($A72&amp;"|N|"&amp;SUMPRODUCT(MAX((Raw!$A$2:$A$1001=$A72)*(Raw!$R$2:$R$1001="N")*(Raw!$I$2:$I$1001=1)*Raw!$D$2:$D$1001)),Raw!$S$2:$S$1001,0)),""))</f>
        <v/>
      </c>
      <c r="BJ72" s="21" t="str">
        <f aca="false">IF(OR($BI72="",Fits!$B$85&lt;=0),"",($BI72-Fits!$B$83)/Fits!$B$85)</f>
        <v/>
      </c>
      <c r="BK72" s="9" t="str">
        <f aca="false">IF($AS72="","",IF($A72&gt;=Fits!$B$86,"",$A72))</f>
        <v/>
      </c>
      <c r="BL72" s="9" t="str">
        <f aca="false">IF($BK72="","",$X72)</f>
        <v/>
      </c>
      <c r="BM72" s="9" t="str">
        <f aca="false">IF($AS72="","",IF($A72&lt;Fits!$B$86,"",$A72))</f>
        <v/>
      </c>
      <c r="BN72" s="9" t="str">
        <f aca="false">IF($BM72="","",$X72)</f>
        <v/>
      </c>
      <c r="BO72" s="9" t="str">
        <f aca="false">IF(AND($D72="Drift",$BX72&lt;&gt;1),IF($O72="","",$O72),"")</f>
        <v/>
      </c>
      <c r="BP72" s="9" t="str">
        <f aca="false">IF(AND($D72="Drift",$BX72&lt;&gt;1),IF($W72="","",$W72),"")</f>
        <v/>
      </c>
      <c r="BQ72" s="9" t="str">
        <f aca="false">IF(AND($D72="Drift",$BX72&lt;&gt;1),IF($X72="","",$X72),"")</f>
        <v/>
      </c>
      <c r="BR72" s="9" t="str">
        <f aca="false">IF(AND($D72="Drift",$BX72&lt;&gt;1),IF($Z72="","",$Z72),"")</f>
        <v/>
      </c>
      <c r="BS72" s="9" t="str">
        <f aca="false">IF(OR($B72="",$H72=""),"",SUMPRODUCT(MIN((Raw!$A$2:$A$1001=$A72)*(Raw!$R$2:$R$1001="N")*(Raw!$I$2:$I$1001=0)*(Raw!$D$2:$D$1001&lt;$H72)*Raw!$D$2:$D$1001+(1-(Raw!$A$2:$A$1001=$A72)*(Raw!$R$2:$R$1001="N")*(Raw!$I$2:$I$1001=0)*(Raw!$D$2:$D$1001&lt;$H72))*9999)))</f>
        <v/>
      </c>
      <c r="BT72" s="16" t="str">
        <f aca="false">IF(OR($BS72="",$BS72=9999,$BS72=0),"",IFERROR(INDEX(Raw!$N$2:$N$1001,MATCH($A72&amp;"|N|"&amp;$BS72,Raw!$S$2:$S$1001,0)),""))</f>
        <v/>
      </c>
      <c r="BU72" s="9" t="str">
        <f aca="false">IF($B72="","",SUMPRODUCT(MIN((Raw!$A$2:$A$1001=$A72)*(Raw!$R$2:$R$1001="C")*(Raw!$I$2:$I$1001=1)*Raw!$D$2:$D$1001+(1-(Raw!$A$2:$A$1001=$A72)*(Raw!$R$2:$R$1001="C")*(Raw!$I$2:$I$1001=1))*9999)))</f>
        <v/>
      </c>
      <c r="BV72" s="9" t="str">
        <f aca="false">IF(OR($BU72="",$BU72=9999),"",SUMPRODUCT(MIN((Raw!$A$2:$A$1001=$A72)*(Raw!$R$2:$R$1001="C")*(Raw!$I$2:$I$1001=0)*(Raw!$D$2:$D$1001&gt;$BU72)*Raw!$D$2:$D$1001+(1-(Raw!$A$2:$A$1001=$A72)*(Raw!$R$2:$R$1001="C")*(Raw!$I$2:$I$1001=0)*(Raw!$D$2:$D$1001&gt;$BU72))*9999)))</f>
        <v/>
      </c>
      <c r="BW72" s="16" t="str">
        <f aca="false">IF(OR($BV72="",$BV72=9999,$BV72=0),"",IFERROR(INDEX(Raw!$O$2:$O$1001,MATCH($A72&amp;"|C|"&amp;$BV72,Raw!$S$2:$S$1001,0)),""))</f>
        <v/>
      </c>
      <c r="BX72" s="9" t="str">
        <f aca="false">IF($B72="","",IF(ISNUMBER(SEARCH(","&amp;$A72&amp;",",","&amp;SUBSTITUTE(Setup!$B$16," ","")&amp;",")),1,0))</f>
        <v/>
      </c>
      <c r="BY72" s="9" t="str">
        <f aca="false">IF($B72="","",IF(ISNUMBER(SEARCH(","&amp;$A72&amp;",",","&amp;SUBSTITUTE(Setup!$B$17," ","")&amp;",")),1,0))</f>
        <v/>
      </c>
      <c r="BZ72" s="22" t="str">
        <f aca="false">IF($AS72="","",IF(Fits!$B$38="Row",$AQ72,IF($AR72="","",$AR72)))</f>
        <v/>
      </c>
      <c r="CA72" s="22" t="str">
        <f aca="false">IF($AT72="","",IF(Fits!$B$50="Row",$AQ72,IF($AR72="","",$AR72)))</f>
        <v/>
      </c>
      <c r="CB72" s="20" t="str">
        <f aca="false">IF(OR($D72&lt;&gt;"Drift",$X72="",$A72&lt;IF(Setup!$B$14="",0,Setup!$B$14),Fits!$B$107&lt;3,Fits!$B$110="",Fits!$B$109=0,IF(Fits!$B$38="Row",$AQ72,$AR72)=""),"",IF($BX72=1,IF(OR(Fits!$B$111="",Fits!$B$111=0),"",($X72-(IF(Fits!$B$38="Row",Fits!$B$32,Fits!$B$35)*IF(Fits!$B$38="Row",$AQ72,$AR72)+Fits!$B$110))/(Fits!$B$111*SQRT(1+(1/Fits!$B$107+(IF(Fits!$B$38="Row",$AQ72,$AR72)-Fits!$B$108)^2/Fits!$B$109)))),IF(OR(Fits!$B$107&lt;4,(1/Fits!$B$107+(IF(Fits!$B$38="Row",$AQ72,$AR72)-Fits!$B$108)^2/Fits!$B$109)&gt;=1),"",IF((Fits!$B$116-($X72-(IF(Fits!$B$38="Row",Fits!$B$32,Fits!$B$35)*IF(Fits!$B$38="Row",$AQ72,$AR72)+Fits!$B$110))^2/(1-(1/Fits!$B$107+(IF(Fits!$B$38="Row",$AQ72,$AR72)-Fits!$B$108)^2/Fits!$B$109)))&lt;=0,"",($X72-(IF(Fits!$B$38="Row",Fits!$B$32,Fits!$B$35)*IF(Fits!$B$38="Row",$AQ72,$AR72)+Fits!$B$110))/(SQRT((Fits!$B$116-($X72-(IF(Fits!$B$38="Row",Fits!$B$32,Fits!$B$35)*IF(Fits!$B$38="Row",$AQ72,$AR72)+Fits!$B$110))^2/(1-(1/Fits!$B$107+(IF(Fits!$B$38="Row",$AQ72,$AR72)-Fits!$B$108)^2/Fits!$B$109)))/(Fits!$B$107-3))*SQRT(1-(1/Fits!$B$107+(IF(Fits!$B$38="Row",$AQ72,$AR72)-Fits!$B$108)^2/Fits!$B$109)))))))</f>
        <v/>
      </c>
      <c r="CC72" s="20" t="str">
        <f aca="false">IF(OR($D72&lt;&gt;"Drift",$AC72="",$A72&lt;IF(Setup!$B$14="",0,Setup!$B$14),Fits!$B$120&lt;3,Fits!$B$123="",Fits!$B$122=0,IF(Fits!$B$50="Row",$AQ72,$AR72)=""),"",IF($BY72=1,IF(OR(Fits!$B$124="",Fits!$B$124=0),"",($AC72-(IF(Fits!$B$50="Row",Fits!$B$44,Fits!$B$47)*IF(Fits!$B$50="Row",$AQ72,$AR72)+Fits!$B$123))/(Fits!$B$124*SQRT(1+(1/Fits!$B$120+(IF(Fits!$B$50="Row",$AQ72,$AR72)-Fits!$B$121)^2/Fits!$B$122)))),IF(OR(Fits!$B$120&lt;4,(1/Fits!$B$120+(IF(Fits!$B$50="Row",$AQ72,$AR72)-Fits!$B$121)^2/Fits!$B$122)&gt;=1),"",IF((Fits!$B$129-($AC72-(IF(Fits!$B$50="Row",Fits!$B$44,Fits!$B$47)*IF(Fits!$B$50="Row",$AQ72,$AR72)+Fits!$B$123))^2/(1-(1/Fits!$B$120+(IF(Fits!$B$50="Row",$AQ72,$AR72)-Fits!$B$121)^2/Fits!$B$122)))&lt;=0,"",($AC72-(IF(Fits!$B$50="Row",Fits!$B$44,Fits!$B$47)*IF(Fits!$B$50="Row",$AQ72,$AR72)+Fits!$B$123))/(SQRT((Fits!$B$129-($AC72-(IF(Fits!$B$50="Row",Fits!$B$44,Fits!$B$47)*IF(Fits!$B$50="Row",$AQ72,$AR72)+Fits!$B$123))^2/(1-(1/Fits!$B$120+(IF(Fits!$B$50="Row",$AQ72,$AR72)-Fits!$B$121)^2/Fits!$B$122)))/(Fits!$B$120-3))*SQRT(1-(1/Fits!$B$120+(IF(Fits!$B$50="Row",$AQ72,$AR72)-Fits!$B$121)^2/Fits!$B$122)))))))</f>
        <v/>
      </c>
      <c r="CD72" s="9" t="str">
        <f aca="false">IF($AU72="","",1)</f>
        <v/>
      </c>
      <c r="CE72" s="24" t="str">
        <f aca="false">IF($AU72="","",$AU72-Fits!$B$133)</f>
        <v/>
      </c>
      <c r="CF72" s="24" t="str">
        <f aca="false">IF($AU72="","",($AV72-(Fits!$B$56*$AU72+Fits!$B$57))-Fits!$B$56*($AU72-Fits!$B$133))</f>
        <v/>
      </c>
      <c r="CG72" s="25" t="str">
        <f aca="false">IF($AU72="","",$AU72^2)</f>
        <v/>
      </c>
      <c r="CH72" s="9" t="str">
        <f aca="false">IF($AW72="","",1)</f>
        <v/>
      </c>
      <c r="CI72" s="24" t="str">
        <f aca="false">IF($AW72="","",$AW72-Fits!$B$153)</f>
        <v/>
      </c>
      <c r="CJ72" s="24" t="str">
        <f aca="false">IF($AW72="","",($AX72-(Fits!$B$63*$AW72+Fits!$B$64))-Fits!$B$63*($AW72-Fits!$B$153))</f>
        <v/>
      </c>
      <c r="CK72" s="25" t="str">
        <f aca="false">IF($AW72="","",$AW72^2)</f>
        <v/>
      </c>
      <c r="CL72" s="26" t="str">
        <f aca="false">IF(OR($Z72="",Fits!$B$55&lt;3,Fits!$B$133="",Fits!$B$134="",Fits!$B$134=0,Fits!$B$136=""),"",SQRT((Fits!$B$136*Fits!$B$56)^2+SUMPRODUCT((Fits!$J$163:$J$175*(Fits!$B$163:$B$175/Fits!$B$55+Fits!$H$163:$H$175*($Z72-Fits!$B$133)/Fits!$B$134))^2)+SUMPRODUCT((Fits!$G$163:$G$175*(($Z72-Fits!$B$133)*Fits!$I$163:$I$175/Fits!$B$134-Fits!$B$163:$B$175*Fits!$B$56/Fits!$B$55))^2)))</f>
        <v/>
      </c>
      <c r="CM72" s="26" t="str">
        <f aca="false">IF($CL72="","",Setup!$B$32*$CL72)</f>
        <v/>
      </c>
      <c r="CN72" s="26" t="str">
        <f aca="false">IF(OR($AE72="",Fits!$B$62&lt;3,Fits!$B$153="",Fits!$B$154="",Fits!$B$154=0,Fits!$B$156=""),"",SQRT((Fits!$B$156*Fits!$B$63)^2+SUMPRODUCT((Fits!$J$183:$J$195*(Fits!$B$183:$B$195/Fits!$B$62+Fits!$H$183:$H$195*($AE72-Fits!$B$153)/Fits!$B$154))^2)+SUMPRODUCT((Fits!$G$183:$G$195*(($AE72-Fits!$B$153)*Fits!$I$183:$I$195/Fits!$B$154-Fits!$B$183:$B$195*Fits!$B$63/Fits!$B$62))^2)))</f>
        <v/>
      </c>
      <c r="CO72" s="26" t="str">
        <f aca="false">IF($CN72="","",Setup!$B$32*$CN72)</f>
        <v/>
      </c>
      <c r="CP72" s="9" t="n">
        <f aca="false">IF(OR(NOT(ISNUMBER($BJ72)),$EK72=1),$CP71,IF($BJ72&lt;=Setup!$B$26,$CP71+1,0))</f>
        <v>26</v>
      </c>
      <c r="CQ72" s="9" t="str">
        <f aca="false">IF($BT72="","",$A72)</f>
        <v/>
      </c>
      <c r="CR72" s="9" t="str">
        <f aca="false">IF($BW72="","",$A72)</f>
        <v/>
      </c>
      <c r="CS72" s="9" t="str">
        <f aca="false">IF($B72="","",IF(Setup!$A$37="",0,IF(ISNUMBER(SEARCH(Setup!$A$37,$B72)),37,0)))</f>
        <v/>
      </c>
      <c r="CT72" s="9" t="str">
        <f aca="false">IF($B72="","",IF(Setup!$A$38="",0,IF(ISNUMBER(SEARCH(Setup!$A$38,$B72)),38,0)))</f>
        <v/>
      </c>
      <c r="CU72" s="9" t="str">
        <f aca="false">IF($B72="","",IF(Setup!$A$39="",0,IF(ISNUMBER(SEARCH(Setup!$A$39,$B72)),39,0)))</f>
        <v/>
      </c>
      <c r="CV72" s="9" t="str">
        <f aca="false">IF($B72="","",IF(Setup!$A$40="",0,IF(ISNUMBER(SEARCH(Setup!$A$40,$B72)),40,0)))</f>
        <v/>
      </c>
      <c r="CW72" s="9" t="str">
        <f aca="false">IF($B72="","",IF(Setup!$A$41="",0,IF(ISNUMBER(SEARCH(Setup!$A$41,$B72)),41,0)))</f>
        <v/>
      </c>
      <c r="CX72" s="9" t="str">
        <f aca="false">IF($B72="","",IF(Setup!$A$42="",0,IF(ISNUMBER(SEARCH(Setup!$A$42,$B72)),42,0)))</f>
        <v/>
      </c>
      <c r="CY72" s="9" t="str">
        <f aca="false">IF($B72="","",IF(Setup!$A$43="",0,IF(ISNUMBER(SEARCH(Setup!$A$43,$B72)),43,0)))</f>
        <v/>
      </c>
      <c r="CZ72" s="9" t="str">
        <f aca="false">IF($B72="","",IF(Setup!$A$44="",0,IF(ISNUMBER(SEARCH(Setup!$A$44,$B72)),44,0)))</f>
        <v/>
      </c>
      <c r="DA72" s="9" t="str">
        <f aca="false">IF($B72="","",IF(Setup!$A$45="",0,IF(ISNUMBER(SEARCH(Setup!$A$45,$B72)),45,0)))</f>
        <v/>
      </c>
      <c r="DB72" s="9" t="str">
        <f aca="false">IF($B72="","",IF(Setup!$A$46="",0,IF(ISNUMBER(SEARCH(Setup!$A$46,$B72)),46,0)))</f>
        <v/>
      </c>
      <c r="DC72" s="9" t="str">
        <f aca="false">IF($B72="","",IF(Setup!$A$47="",0,IF(ISNUMBER(SEARCH(Setup!$A$47,$B72)),47,0)))</f>
        <v/>
      </c>
      <c r="DD72" s="9" t="str">
        <f aca="false">IF($B72="","",IF(Setup!$A$48="",0,IF(ISNUMBER(SEARCH(Setup!$A$48,$B72)),48,0)))</f>
        <v/>
      </c>
      <c r="DE72" s="9" t="str">
        <f aca="false">IF($B72="","",IF(Setup!$A$49="",0,IF(ISNUMBER(SEARCH(Setup!$A$49,$B72)),49,0)))</f>
        <v/>
      </c>
      <c r="DF72" s="9" t="e">
        <f aca="false">IF($B72="",NA(),$A72)</f>
        <v>#N/A</v>
      </c>
      <c r="DG72" s="9" t="e">
        <f aca="false">IF($BI72="",NA(),$BI72)</f>
        <v>#N/A</v>
      </c>
      <c r="DH72" s="9" t="e">
        <f aca="false">IF($N72="",NA(),$N72)</f>
        <v>#N/A</v>
      </c>
      <c r="DI72" s="9" t="e">
        <f aca="false">IF(AND($D72="Drift",$N72&lt;&gt;""),$N72,NA())</f>
        <v>#N/A</v>
      </c>
      <c r="DJ72" s="9" t="str">
        <f aca="false">IF(AND($D72="Drift",$N72&lt;&gt;""),$N72,"")</f>
        <v/>
      </c>
      <c r="DK72" s="9" t="str">
        <f aca="false">IF($DJ72="","",$A72)</f>
        <v/>
      </c>
      <c r="DL72" s="9" t="e">
        <f aca="false">IF($AN72="",NA(),$AM72)</f>
        <v>#N/A</v>
      </c>
      <c r="DM72" s="9" t="e">
        <f aca="false">IF($AN72="",NA(),$AN72)</f>
        <v>#N/A</v>
      </c>
      <c r="DN72" s="9" t="e">
        <f aca="false">IF(AND($D72="Sample",$L72&lt;&gt;""),$L72,NA())</f>
        <v>#N/A</v>
      </c>
      <c r="DO72" s="9" t="e">
        <f aca="false">IF(AND($D72="Sample",$L72&lt;&gt;"",Fits!$B$98&lt;&gt;""),Fits!$B$98,NA())</f>
        <v>#N/A</v>
      </c>
      <c r="DP72" s="9" t="e">
        <f aca="false">IF($AS72="",NA(),$AS72)</f>
        <v>#N/A</v>
      </c>
      <c r="DQ72" s="9" t="e">
        <f aca="false">IF(AND($D72="Drift",$AS72="",$X72&lt;&gt;""),$X72,NA())</f>
        <v>#N/A</v>
      </c>
      <c r="DR72" s="9" t="e">
        <f aca="false">IF(AND($D72="Drift",$Z72&lt;&gt;""),$Z72,NA())</f>
        <v>#N/A</v>
      </c>
      <c r="DS72" s="9" t="e">
        <f aca="false">IF(AND(OR($D72="Sample",$D72="Check"),$AA72&lt;&gt;""),$AA72,NA())</f>
        <v>#N/A</v>
      </c>
      <c r="DT72" s="9" t="e">
        <f aca="false">IF(OR($B72="",Fits!$B$138=""),NA(),Fits!$B$138)</f>
        <v>#N/A</v>
      </c>
      <c r="DU72" s="9" t="e">
        <f aca="false">IF(OR($B72="",Fits!$B$139=""),NA(),Fits!$B$139)</f>
        <v>#N/A</v>
      </c>
      <c r="DV72" s="9" t="e">
        <f aca="false">IF($BT72="",NA(),$BT72)</f>
        <v>#N/A</v>
      </c>
      <c r="DW72" s="9" t="e">
        <f aca="false">IF($AP72="",NA(),$AO72)</f>
        <v>#N/A</v>
      </c>
      <c r="DX72" s="9" t="e">
        <f aca="false">IF($AP72="",NA(),$AP72)</f>
        <v>#N/A</v>
      </c>
      <c r="DY72" s="9" t="e">
        <f aca="false">IF(AND($D72="Sample",$P72&lt;&gt;""),$P72,NA())</f>
        <v>#N/A</v>
      </c>
      <c r="DZ72" s="9" t="e">
        <f aca="false">IF(AND($D72="Sample",$P72&lt;&gt;"",Fits!$B$105&lt;&gt;""),Fits!$B$105,NA())</f>
        <v>#N/A</v>
      </c>
      <c r="EA72" s="9" t="e">
        <f aca="false">IF($AT72="",NA(),$AT72)</f>
        <v>#N/A</v>
      </c>
      <c r="EB72" s="9" t="e">
        <f aca="false">IF(AND($D72="Drift",$AT72="",$AC72&lt;&gt;""),$AC72,NA())</f>
        <v>#N/A</v>
      </c>
      <c r="EC72" s="9" t="e">
        <f aca="false">IF(AND($D72="Drift",$AE72&lt;&gt;""),$AE72,NA())</f>
        <v>#N/A</v>
      </c>
      <c r="ED72" s="9" t="e">
        <f aca="false">IF(AND(OR($D72="Sample",$D72="Check"),$AF72&lt;&gt;""),$AF72,NA())</f>
        <v>#N/A</v>
      </c>
      <c r="EE72" s="9" t="e">
        <f aca="false">IF(OR($B72="",Fits!$B$158=""),NA(),Fits!$B$158)</f>
        <v>#N/A</v>
      </c>
      <c r="EF72" s="9" t="e">
        <f aca="false">IF(OR($B72="",Fits!$B$159=""),NA(),Fits!$B$159)</f>
        <v>#N/A</v>
      </c>
      <c r="EG72" s="9" t="e">
        <f aca="false">IF($BW72="",NA(),$BW72)</f>
        <v>#N/A</v>
      </c>
      <c r="EH72" s="9" t="e">
        <f aca="false">IF(AND($EN72=1,ISNUMBER($N72)),$N72,NA())</f>
        <v>#N/A</v>
      </c>
      <c r="EI72" s="9" t="str">
        <f aca="false">IF($B72="","",$A72)</f>
        <v/>
      </c>
      <c r="EJ72" s="9" t="n">
        <f aca="false">IF(OR(AND(ISNUMBER($L72),Fits!$B$97&gt;0,$L72&gt;Fits!$B$97),AND(ISNUMBER($P72),Fits!$B$104&gt;0,$P72&gt;Fits!$B$104)),1,0)</f>
        <v>0</v>
      </c>
      <c r="EK72" s="9" t="n">
        <f aca="false">IF(OR($EJ71=1,$EJ70=1),1,0)</f>
        <v>0</v>
      </c>
      <c r="EL72" s="22" t="n">
        <f aca="false">IF(AND($EK72=0,ISNUMBER($N72)),$N72,$EL71)</f>
        <v>25.7</v>
      </c>
      <c r="EM72" s="9" t="str">
        <f aca="false">IF(AND($EK72=1,ISNUMBER($N72),ISNUMBER($EL72)),$N72-$EL72,"")</f>
        <v/>
      </c>
      <c r="EN72" s="9" t="n">
        <f aca="false">IF(Setup!$B$28="",0,IF(ISNUMBER($EM72),IF($EM72&gt;Setup!$B$28,1,0),0))</f>
        <v>0</v>
      </c>
      <c r="EO72" s="9" t="str">
        <f aca="false">IF($EN72=1,COUNTIF($EN$6:$EN72,1),"")</f>
        <v/>
      </c>
      <c r="EP72" s="9" t="n">
        <f aca="false">IF(AND($EJ71=1,OR($D72="Sample",$D72="Check")),1,0)</f>
        <v>0</v>
      </c>
      <c r="EQ72" s="9" t="str">
        <f aca="false">IF(ISNUMBER($BI72),IF(COUNT($BI$6:$BI72)&lt;=5,$BI72,""),"")</f>
        <v/>
      </c>
      <c r="ER72" s="9" t="n">
        <f aca="false">IF(OR(NOT(ISNUMBER($BJ72)),$EK72=1),$ER71,IF($BJ72&lt;=Setup!$B$26,IF($CP71=0,$A72,$ER71),""))</f>
        <v>27</v>
      </c>
    </row>
    <row r="73" customFormat="false" ht="15" hidden="false" customHeight="false" outlineLevel="0" collapsed="false">
      <c r="A73" s="8" t="n">
        <v>68</v>
      </c>
      <c r="B73" s="8" t="str">
        <f aca="false">IFERROR(INDEX(Raw!$B$2:$B$1001,MATCH($A73,Raw!$A$2:$A$1001,0)),"")</f>
        <v/>
      </c>
      <c r="C73" s="9" t="str">
        <f aca="false">IF($B73="","",MAX($CS73:$DE73))</f>
        <v/>
      </c>
      <c r="D73" s="8" t="str">
        <f aca="false">IF($B73="","",IF($C73=0,"Sample",INDEX(Setup!$B$37:$B$49,$C73-36)))</f>
        <v/>
      </c>
      <c r="E73" s="16" t="str">
        <f aca="false">IF($B73="","",IFERROR(IF(INDEX(Raw!$E$2:$E$1001,MATCH($A73,Raw!$A$2:$A$1001,0))=0,"",INDEX(Raw!$E$2:$E$1001,MATCH($A73,Raw!$A$2:$A$1001,0))),""))</f>
        <v/>
      </c>
      <c r="F73" s="18"/>
      <c r="G73" s="16" t="str">
        <f aca="false">IF($B73="","",IF($F73&lt;&gt;"",$F73,IF($E73="","",$E73)))</f>
        <v/>
      </c>
      <c r="H73" s="9" t="str">
        <f aca="false">IF($B73="","",SUMPRODUCT(MAX((Raw!$A$2:$A$1001=$A73)*(Raw!$R$2:$R$1001="N")*Raw!$D$2:$D$1001)))</f>
        <v/>
      </c>
      <c r="I73" s="9" t="str">
        <f aca="false">IF(OR($H73="",$H73=0),"",$A73&amp;"|N|"&amp;$H73)</f>
        <v/>
      </c>
      <c r="J73" s="9" t="str">
        <f aca="false">IF($B73="","",SUMPRODUCT(MIN((Raw!$A$2:$A$1001=$A73)*(Raw!$R$2:$R$1001="C")*Raw!$D$2:$D$1001+(1-(Raw!$A$2:$A$1001=$A73)*(Raw!$R$2:$R$1001="C"))*9999)))</f>
        <v/>
      </c>
      <c r="K73" s="9" t="str">
        <f aca="false">IF(OR($J73="",$J73=0,$J73=9999),"",$A73&amp;"|C|"&amp;$J73)</f>
        <v/>
      </c>
      <c r="L73" s="16" t="str">
        <f aca="false">IF($I73="","",IF(INDEX(Raw!$I$2:$I$1001,MATCH($I73,Raw!$S$2:$S$1001,0))&lt;&gt;0,"",INDEX(Raw!$H$2:$H$1001,MATCH($I73,Raw!$S$2:$S$1001,0))))</f>
        <v/>
      </c>
      <c r="M73" s="19" t="str">
        <f aca="false">IF($I73="","",IF(INDEX(Raw!$I$2:$I$1001,MATCH($I73,Raw!$S$2:$S$1001,0))&lt;&gt;0,"",INDEX(Raw!$F$2:$F$1001,MATCH($I73,Raw!$S$2:$S$1001,0))))</f>
        <v/>
      </c>
      <c r="N73" s="20" t="str">
        <f aca="false">IF($I73="","",IF(INDEX(Raw!$I$2:$I$1001,MATCH($I73,Raw!$S$2:$S$1001,0))&lt;&gt;0,"",INDEX(Raw!$G$2:$G$1001,MATCH($I73,Raw!$S$2:$S$1001,0))))</f>
        <v/>
      </c>
      <c r="O73" s="16" t="str">
        <f aca="false">IF($I73="","",IF(INDEX(Raw!$I$2:$I$1001,MATCH($I73,Raw!$S$2:$S$1001,0))&lt;&gt;0,"",INDEX(Raw!$N$2:$N$1001,MATCH($I73,Raw!$S$2:$S$1001,0))))</f>
        <v/>
      </c>
      <c r="P73" s="16" t="str">
        <f aca="false">IF($K73="","",IF(INDEX(Raw!$I$2:$I$1001,MATCH($K73,Raw!$S$2:$S$1001,0))&lt;&gt;0,"",INDEX(Raw!$K$2:$K$1001,MATCH($K73,Raw!$S$2:$S$1001,0))))</f>
        <v/>
      </c>
      <c r="Q73" s="19" t="str">
        <f aca="false">IF($K73="","",IF(INDEX(Raw!$I$2:$I$1001,MATCH($K73,Raw!$S$2:$S$1001,0))&lt;&gt;0,"",INDEX(Raw!$J$2:$J$1001,MATCH($K73,Raw!$S$2:$S$1001,0))))</f>
        <v/>
      </c>
      <c r="R73" s="16" t="str">
        <f aca="false">IF($K73="","",IF(INDEX(Raw!$I$2:$I$1001,MATCH($K73,Raw!$S$2:$S$1001,0))&lt;&gt;0,"",INDEX(Raw!$O$2:$O$1001,MATCH($K73,Raw!$S$2:$S$1001,0))))</f>
        <v/>
      </c>
      <c r="S73" s="21" t="str">
        <f aca="false">IF($B73="","",IF($C73=0,"",IF(INDEX(Setup!$D$37:$D$49,$C73-36)="","",INDEX(Setup!$D$37:$D$49,$C73-36))))</f>
        <v/>
      </c>
      <c r="T73" s="21" t="str">
        <f aca="false">IF($B73="","",IF($C73=0,"",IF(INDEX(Setup!$C$37:$C$49,$C73-36)="","",INDEX(Setup!$C$37:$C$49,$C73-36))))</f>
        <v/>
      </c>
      <c r="U73" s="21" t="str">
        <f aca="false">IF($B73="","",IF($C73=0,"",IF(INDEX(Setup!$F$37:$F$49,$C73-36)="","",INDEX(Setup!$F$37:$F$49,$C73-36))))</f>
        <v/>
      </c>
      <c r="V73" s="21" t="str">
        <f aca="false">IF($B73="","",IF($C73=0,"",IF(INDEX(Setup!$E$37:$E$49,$C73-36)="","",INDEX(Setup!$E$37:$E$49,$C73-36))))</f>
        <v/>
      </c>
      <c r="W73" s="16" t="str">
        <f aca="false">IF($O73="","",IF(OR(Fits!$C$5&lt;&gt;"Yes",$D73="Blank",$L73&lt;=Fits!$B$6),$O73,($L73*$O73-Fits!$B$6*Fits!$B$7)/($L73-Fits!$B$6)))</f>
        <v/>
      </c>
      <c r="X73" s="16" t="str">
        <f aca="false">IF($W73="","",$W73-Fits!$B$20*($L73-Fits!$B$16))</f>
        <v/>
      </c>
      <c r="Y73" s="22" t="str">
        <f aca="false">IF($W73="","",IF(OR(Fits!$B$38="Row",$BI73=""),$A73,$BI73))</f>
        <v/>
      </c>
      <c r="Z73" s="16" t="str">
        <f aca="false">IF($X73="","",$X73-Fits!$B$39*($Y73-Fits!$B$40))</f>
        <v/>
      </c>
      <c r="AA73" s="23" t="str">
        <f aca="false">IF(OR($Z73="",Fits!$B$55&lt;2),"",Fits!$B$56*$Z73+Fits!$B$57)</f>
        <v/>
      </c>
      <c r="AB73" s="16" t="str">
        <f aca="false">IF($R73="","",IF(OR(Fits!$C$9&lt;&gt;"Yes",$D73="Blank",$P73&lt;=Fits!$B$10),$R73,($P73*$R73-Fits!$B$10*Fits!$B$11)/($P73-Fits!$B$10)))</f>
        <v/>
      </c>
      <c r="AC73" s="16" t="str">
        <f aca="false">IF($AB73="","",$AB73-Fits!$B$28*($P73-Fits!$B$24))</f>
        <v/>
      </c>
      <c r="AD73" s="22" t="str">
        <f aca="false">IF($AB73="","",IF(OR(Fits!$B$50="Row",$BI73=""),$A73,$BI73))</f>
        <v/>
      </c>
      <c r="AE73" s="16" t="str">
        <f aca="false">IF($AC73="","",$AC73-Fits!$B$51*($AD73-Fits!$B$52))</f>
        <v/>
      </c>
      <c r="AF73" s="23" t="str">
        <f aca="false">IF(OR($AE73="",Fits!$B$62&lt;2),"",Fits!$B$63*$AE73+Fits!$B$64)</f>
        <v/>
      </c>
      <c r="AG73" s="21" t="str">
        <f aca="false">IF(OR($L73="",Fits!$B$69&lt;3),"",($L73-Fits!$B$71)/Fits!$B$70)</f>
        <v/>
      </c>
      <c r="AH73" s="21" t="str">
        <f aca="false">IF(OR($P73="",Fits!$B$75&lt;3),"",($P73-Fits!$B$77)/Fits!$B$76)</f>
        <v/>
      </c>
      <c r="AI73" s="23" t="str">
        <f aca="false">IF(OR($AG73="",$G73="",$G73=0),"",$AG73/($G73*1000)*100)</f>
        <v/>
      </c>
      <c r="AJ73" s="23" t="str">
        <f aca="false">IF(OR($AH73="",$G73="",$G73=0),"",$AH73/($G73*1000)*100)</f>
        <v/>
      </c>
      <c r="AK73" s="23" t="str">
        <f aca="false">IF(OR($AG73="",$AH73="",$AG73&lt;=0),"",($AH73/Setup!$B$52)/($AG73/Setup!$B$53))</f>
        <v/>
      </c>
      <c r="AL73" s="23" t="str">
        <f aca="false">IF(OR($AG73="",$AH73="",$AG73&lt;=0),"",$AH73/$AG73)</f>
        <v/>
      </c>
      <c r="AM73" s="9" t="str">
        <f aca="false">IF($D73="Linearity",IF($L73="","",$L73),"")</f>
        <v/>
      </c>
      <c r="AN73" s="9" t="str">
        <f aca="false">IF($D73="Linearity",IF($W73="","",$W73),"")</f>
        <v/>
      </c>
      <c r="AO73" s="9" t="str">
        <f aca="false">IF($D73="Linearity",IF($P73="","",$P73),"")</f>
        <v/>
      </c>
      <c r="AP73" s="9" t="str">
        <f aca="false">IF($D73="Linearity",IF($AB73="","",$AB73),"")</f>
        <v/>
      </c>
      <c r="AQ73" s="9" t="str">
        <f aca="false">IF($D73="Drift",IF($A73&lt;IF(Setup!$B$14="",0,Setup!$B$14),"",$A73),"")</f>
        <v/>
      </c>
      <c r="AR73" s="9" t="str">
        <f aca="false">IF($D73="Drift",IF($A73&lt;IF(Setup!$B$14="",0,Setup!$B$14),"",IF($BI73="","",$BI73)),"")</f>
        <v/>
      </c>
      <c r="AS73" s="9" t="str">
        <f aca="false">IF($D73="Drift",IF($A73&lt;IF(Setup!$B$14="",0,Setup!$B$14),"",IF(OR($X73="",$BX73=1),"",$X73)),"")</f>
        <v/>
      </c>
      <c r="AT73" s="9" t="str">
        <f aca="false">IF($D73="Drift",IF($A73&lt;IF(Setup!$B$14="",0,Setup!$B$14),"",IF(OR($AC73="",$BY73=1),"",$AC73)),"")</f>
        <v/>
      </c>
      <c r="AU73" s="9" t="str">
        <f aca="false">IF($D73="Anchor",IF(OR($Z73="",$S73=""),"",$Z73),"")</f>
        <v/>
      </c>
      <c r="AV73" s="9" t="str">
        <f aca="false">IF($D73="Anchor",IF(OR($Z73="",$S73=""),"",$S73),"")</f>
        <v/>
      </c>
      <c r="AW73" s="9" t="str">
        <f aca="false">IF($D73="Anchor",IF(OR($AE73="",$T73=""),"",$AE73),"")</f>
        <v/>
      </c>
      <c r="AX73" s="9" t="str">
        <f aca="false">IF($D73="Anchor",IF(OR($AE73="",$T73=""),"",$T73),"")</f>
        <v/>
      </c>
      <c r="AY73" s="9" t="str">
        <f aca="false">IF(OR($D73="Blank",$D73="Exclude",$D73="Sample",$D73="",$G73="",$U73="",$L73=""),"",$G73*1000*$U73/100)</f>
        <v/>
      </c>
      <c r="AZ73" s="9" t="str">
        <f aca="false">IF($AY73="","",$L73)</f>
        <v/>
      </c>
      <c r="BA73" s="9" t="str">
        <f aca="false">IF(OR($D73="Blank",$D73="Exclude",$D73="Sample",$D73="",$G73="",$V73="",$P73=""),"",$G73*1000*$V73/100)</f>
        <v/>
      </c>
      <c r="BB73" s="9" t="str">
        <f aca="false">IF($BA73="","",$P73)</f>
        <v/>
      </c>
      <c r="BC73" s="9" t="str">
        <f aca="false">IF(AND($D73="Blank",$L73&lt;&gt;""),$O73,"")</f>
        <v/>
      </c>
      <c r="BD73" s="9" t="str">
        <f aca="false">IF($BC73="","",$L73)</f>
        <v/>
      </c>
      <c r="BE73" s="9" t="str">
        <f aca="false">IF(AND($D73="Blank",$P73&lt;&gt;""),$R73,"")</f>
        <v/>
      </c>
      <c r="BF73" s="9" t="str">
        <f aca="false">IF($BE73="","",$P73)</f>
        <v/>
      </c>
      <c r="BG73" s="9" t="str">
        <f aca="false">IF(AND($D73="Drift",$BX73&lt;&gt;1),IF($AA73="","",$AA73),"")</f>
        <v/>
      </c>
      <c r="BH73" s="9" t="str">
        <f aca="false">IF(AND($D73="Drift",$BY73&lt;&gt;1),IF($AF73="","",$AF73),"")</f>
        <v/>
      </c>
      <c r="BI73" s="20" t="str">
        <f aca="false">IF($B73="","",IFERROR(INDEX(Raw!$G$2:$G$1001,MATCH($A73&amp;"|N|"&amp;SUMPRODUCT(MAX((Raw!$A$2:$A$1001=$A73)*(Raw!$R$2:$R$1001="N")*(Raw!$I$2:$I$1001=1)*Raw!$D$2:$D$1001)),Raw!$S$2:$S$1001,0)),""))</f>
        <v/>
      </c>
      <c r="BJ73" s="21" t="str">
        <f aca="false">IF(OR($BI73="",Fits!$B$85&lt;=0),"",($BI73-Fits!$B$83)/Fits!$B$85)</f>
        <v/>
      </c>
      <c r="BK73" s="9" t="str">
        <f aca="false">IF($AS73="","",IF($A73&gt;=Fits!$B$86,"",$A73))</f>
        <v/>
      </c>
      <c r="BL73" s="9" t="str">
        <f aca="false">IF($BK73="","",$X73)</f>
        <v/>
      </c>
      <c r="BM73" s="9" t="str">
        <f aca="false">IF($AS73="","",IF($A73&lt;Fits!$B$86,"",$A73))</f>
        <v/>
      </c>
      <c r="BN73" s="9" t="str">
        <f aca="false">IF($BM73="","",$X73)</f>
        <v/>
      </c>
      <c r="BO73" s="9" t="str">
        <f aca="false">IF(AND($D73="Drift",$BX73&lt;&gt;1),IF($O73="","",$O73),"")</f>
        <v/>
      </c>
      <c r="BP73" s="9" t="str">
        <f aca="false">IF(AND($D73="Drift",$BX73&lt;&gt;1),IF($W73="","",$W73),"")</f>
        <v/>
      </c>
      <c r="BQ73" s="9" t="str">
        <f aca="false">IF(AND($D73="Drift",$BX73&lt;&gt;1),IF($X73="","",$X73),"")</f>
        <v/>
      </c>
      <c r="BR73" s="9" t="str">
        <f aca="false">IF(AND($D73="Drift",$BX73&lt;&gt;1),IF($Z73="","",$Z73),"")</f>
        <v/>
      </c>
      <c r="BS73" s="9" t="str">
        <f aca="false">IF(OR($B73="",$H73=""),"",SUMPRODUCT(MIN((Raw!$A$2:$A$1001=$A73)*(Raw!$R$2:$R$1001="N")*(Raw!$I$2:$I$1001=0)*(Raw!$D$2:$D$1001&lt;$H73)*Raw!$D$2:$D$1001+(1-(Raw!$A$2:$A$1001=$A73)*(Raw!$R$2:$R$1001="N")*(Raw!$I$2:$I$1001=0)*(Raw!$D$2:$D$1001&lt;$H73))*9999)))</f>
        <v/>
      </c>
      <c r="BT73" s="16" t="str">
        <f aca="false">IF(OR($BS73="",$BS73=9999,$BS73=0),"",IFERROR(INDEX(Raw!$N$2:$N$1001,MATCH($A73&amp;"|N|"&amp;$BS73,Raw!$S$2:$S$1001,0)),""))</f>
        <v/>
      </c>
      <c r="BU73" s="9" t="str">
        <f aca="false">IF($B73="","",SUMPRODUCT(MIN((Raw!$A$2:$A$1001=$A73)*(Raw!$R$2:$R$1001="C")*(Raw!$I$2:$I$1001=1)*Raw!$D$2:$D$1001+(1-(Raw!$A$2:$A$1001=$A73)*(Raw!$R$2:$R$1001="C")*(Raw!$I$2:$I$1001=1))*9999)))</f>
        <v/>
      </c>
      <c r="BV73" s="9" t="str">
        <f aca="false">IF(OR($BU73="",$BU73=9999),"",SUMPRODUCT(MIN((Raw!$A$2:$A$1001=$A73)*(Raw!$R$2:$R$1001="C")*(Raw!$I$2:$I$1001=0)*(Raw!$D$2:$D$1001&gt;$BU73)*Raw!$D$2:$D$1001+(1-(Raw!$A$2:$A$1001=$A73)*(Raw!$R$2:$R$1001="C")*(Raw!$I$2:$I$1001=0)*(Raw!$D$2:$D$1001&gt;$BU73))*9999)))</f>
        <v/>
      </c>
      <c r="BW73" s="16" t="str">
        <f aca="false">IF(OR($BV73="",$BV73=9999,$BV73=0),"",IFERROR(INDEX(Raw!$O$2:$O$1001,MATCH($A73&amp;"|C|"&amp;$BV73,Raw!$S$2:$S$1001,0)),""))</f>
        <v/>
      </c>
      <c r="BX73" s="9" t="str">
        <f aca="false">IF($B73="","",IF(ISNUMBER(SEARCH(","&amp;$A73&amp;",",","&amp;SUBSTITUTE(Setup!$B$16," ","")&amp;",")),1,0))</f>
        <v/>
      </c>
      <c r="BY73" s="9" t="str">
        <f aca="false">IF($B73="","",IF(ISNUMBER(SEARCH(","&amp;$A73&amp;",",","&amp;SUBSTITUTE(Setup!$B$17," ","")&amp;",")),1,0))</f>
        <v/>
      </c>
      <c r="BZ73" s="22" t="str">
        <f aca="false">IF($AS73="","",IF(Fits!$B$38="Row",$AQ73,IF($AR73="","",$AR73)))</f>
        <v/>
      </c>
      <c r="CA73" s="22" t="str">
        <f aca="false">IF($AT73="","",IF(Fits!$B$50="Row",$AQ73,IF($AR73="","",$AR73)))</f>
        <v/>
      </c>
      <c r="CB73" s="20" t="str">
        <f aca="false">IF(OR($D73&lt;&gt;"Drift",$X73="",$A73&lt;IF(Setup!$B$14="",0,Setup!$B$14),Fits!$B$107&lt;3,Fits!$B$110="",Fits!$B$109=0,IF(Fits!$B$38="Row",$AQ73,$AR73)=""),"",IF($BX73=1,IF(OR(Fits!$B$111="",Fits!$B$111=0),"",($X73-(IF(Fits!$B$38="Row",Fits!$B$32,Fits!$B$35)*IF(Fits!$B$38="Row",$AQ73,$AR73)+Fits!$B$110))/(Fits!$B$111*SQRT(1+(1/Fits!$B$107+(IF(Fits!$B$38="Row",$AQ73,$AR73)-Fits!$B$108)^2/Fits!$B$109)))),IF(OR(Fits!$B$107&lt;4,(1/Fits!$B$107+(IF(Fits!$B$38="Row",$AQ73,$AR73)-Fits!$B$108)^2/Fits!$B$109)&gt;=1),"",IF((Fits!$B$116-($X73-(IF(Fits!$B$38="Row",Fits!$B$32,Fits!$B$35)*IF(Fits!$B$38="Row",$AQ73,$AR73)+Fits!$B$110))^2/(1-(1/Fits!$B$107+(IF(Fits!$B$38="Row",$AQ73,$AR73)-Fits!$B$108)^2/Fits!$B$109)))&lt;=0,"",($X73-(IF(Fits!$B$38="Row",Fits!$B$32,Fits!$B$35)*IF(Fits!$B$38="Row",$AQ73,$AR73)+Fits!$B$110))/(SQRT((Fits!$B$116-($X73-(IF(Fits!$B$38="Row",Fits!$B$32,Fits!$B$35)*IF(Fits!$B$38="Row",$AQ73,$AR73)+Fits!$B$110))^2/(1-(1/Fits!$B$107+(IF(Fits!$B$38="Row",$AQ73,$AR73)-Fits!$B$108)^2/Fits!$B$109)))/(Fits!$B$107-3))*SQRT(1-(1/Fits!$B$107+(IF(Fits!$B$38="Row",$AQ73,$AR73)-Fits!$B$108)^2/Fits!$B$109)))))))</f>
        <v/>
      </c>
      <c r="CC73" s="20" t="str">
        <f aca="false">IF(OR($D73&lt;&gt;"Drift",$AC73="",$A73&lt;IF(Setup!$B$14="",0,Setup!$B$14),Fits!$B$120&lt;3,Fits!$B$123="",Fits!$B$122=0,IF(Fits!$B$50="Row",$AQ73,$AR73)=""),"",IF($BY73=1,IF(OR(Fits!$B$124="",Fits!$B$124=0),"",($AC73-(IF(Fits!$B$50="Row",Fits!$B$44,Fits!$B$47)*IF(Fits!$B$50="Row",$AQ73,$AR73)+Fits!$B$123))/(Fits!$B$124*SQRT(1+(1/Fits!$B$120+(IF(Fits!$B$50="Row",$AQ73,$AR73)-Fits!$B$121)^2/Fits!$B$122)))),IF(OR(Fits!$B$120&lt;4,(1/Fits!$B$120+(IF(Fits!$B$50="Row",$AQ73,$AR73)-Fits!$B$121)^2/Fits!$B$122)&gt;=1),"",IF((Fits!$B$129-($AC73-(IF(Fits!$B$50="Row",Fits!$B$44,Fits!$B$47)*IF(Fits!$B$50="Row",$AQ73,$AR73)+Fits!$B$123))^2/(1-(1/Fits!$B$120+(IF(Fits!$B$50="Row",$AQ73,$AR73)-Fits!$B$121)^2/Fits!$B$122)))&lt;=0,"",($AC73-(IF(Fits!$B$50="Row",Fits!$B$44,Fits!$B$47)*IF(Fits!$B$50="Row",$AQ73,$AR73)+Fits!$B$123))/(SQRT((Fits!$B$129-($AC73-(IF(Fits!$B$50="Row",Fits!$B$44,Fits!$B$47)*IF(Fits!$B$50="Row",$AQ73,$AR73)+Fits!$B$123))^2/(1-(1/Fits!$B$120+(IF(Fits!$B$50="Row",$AQ73,$AR73)-Fits!$B$121)^2/Fits!$B$122)))/(Fits!$B$120-3))*SQRT(1-(1/Fits!$B$120+(IF(Fits!$B$50="Row",$AQ73,$AR73)-Fits!$B$121)^2/Fits!$B$122)))))))</f>
        <v/>
      </c>
      <c r="CD73" s="9" t="str">
        <f aca="false">IF($AU73="","",1)</f>
        <v/>
      </c>
      <c r="CE73" s="24" t="str">
        <f aca="false">IF($AU73="","",$AU73-Fits!$B$133)</f>
        <v/>
      </c>
      <c r="CF73" s="24" t="str">
        <f aca="false">IF($AU73="","",($AV73-(Fits!$B$56*$AU73+Fits!$B$57))-Fits!$B$56*($AU73-Fits!$B$133))</f>
        <v/>
      </c>
      <c r="CG73" s="25" t="str">
        <f aca="false">IF($AU73="","",$AU73^2)</f>
        <v/>
      </c>
      <c r="CH73" s="9" t="str">
        <f aca="false">IF($AW73="","",1)</f>
        <v/>
      </c>
      <c r="CI73" s="24" t="str">
        <f aca="false">IF($AW73="","",$AW73-Fits!$B$153)</f>
        <v/>
      </c>
      <c r="CJ73" s="24" t="str">
        <f aca="false">IF($AW73="","",($AX73-(Fits!$B$63*$AW73+Fits!$B$64))-Fits!$B$63*($AW73-Fits!$B$153))</f>
        <v/>
      </c>
      <c r="CK73" s="25" t="str">
        <f aca="false">IF($AW73="","",$AW73^2)</f>
        <v/>
      </c>
      <c r="CL73" s="26" t="str">
        <f aca="false">IF(OR($Z73="",Fits!$B$55&lt;3,Fits!$B$133="",Fits!$B$134="",Fits!$B$134=0,Fits!$B$136=""),"",SQRT((Fits!$B$136*Fits!$B$56)^2+SUMPRODUCT((Fits!$J$163:$J$175*(Fits!$B$163:$B$175/Fits!$B$55+Fits!$H$163:$H$175*($Z73-Fits!$B$133)/Fits!$B$134))^2)+SUMPRODUCT((Fits!$G$163:$G$175*(($Z73-Fits!$B$133)*Fits!$I$163:$I$175/Fits!$B$134-Fits!$B$163:$B$175*Fits!$B$56/Fits!$B$55))^2)))</f>
        <v/>
      </c>
      <c r="CM73" s="26" t="str">
        <f aca="false">IF($CL73="","",Setup!$B$32*$CL73)</f>
        <v/>
      </c>
      <c r="CN73" s="26" t="str">
        <f aca="false">IF(OR($AE73="",Fits!$B$62&lt;3,Fits!$B$153="",Fits!$B$154="",Fits!$B$154=0,Fits!$B$156=""),"",SQRT((Fits!$B$156*Fits!$B$63)^2+SUMPRODUCT((Fits!$J$183:$J$195*(Fits!$B$183:$B$195/Fits!$B$62+Fits!$H$183:$H$195*($AE73-Fits!$B$153)/Fits!$B$154))^2)+SUMPRODUCT((Fits!$G$183:$G$195*(($AE73-Fits!$B$153)*Fits!$I$183:$I$195/Fits!$B$154-Fits!$B$183:$B$195*Fits!$B$63/Fits!$B$62))^2)))</f>
        <v/>
      </c>
      <c r="CO73" s="26" t="str">
        <f aca="false">IF($CN73="","",Setup!$B$32*$CN73)</f>
        <v/>
      </c>
      <c r="CP73" s="9" t="n">
        <f aca="false">IF(OR(NOT(ISNUMBER($BJ73)),$EK73=1),$CP72,IF($BJ73&lt;=Setup!$B$26,$CP72+1,0))</f>
        <v>26</v>
      </c>
      <c r="CQ73" s="9" t="str">
        <f aca="false">IF($BT73="","",$A73)</f>
        <v/>
      </c>
      <c r="CR73" s="9" t="str">
        <f aca="false">IF($BW73="","",$A73)</f>
        <v/>
      </c>
      <c r="CS73" s="9" t="str">
        <f aca="false">IF($B73="","",IF(Setup!$A$37="",0,IF(ISNUMBER(SEARCH(Setup!$A$37,$B73)),37,0)))</f>
        <v/>
      </c>
      <c r="CT73" s="9" t="str">
        <f aca="false">IF($B73="","",IF(Setup!$A$38="",0,IF(ISNUMBER(SEARCH(Setup!$A$38,$B73)),38,0)))</f>
        <v/>
      </c>
      <c r="CU73" s="9" t="str">
        <f aca="false">IF($B73="","",IF(Setup!$A$39="",0,IF(ISNUMBER(SEARCH(Setup!$A$39,$B73)),39,0)))</f>
        <v/>
      </c>
      <c r="CV73" s="9" t="str">
        <f aca="false">IF($B73="","",IF(Setup!$A$40="",0,IF(ISNUMBER(SEARCH(Setup!$A$40,$B73)),40,0)))</f>
        <v/>
      </c>
      <c r="CW73" s="9" t="str">
        <f aca="false">IF($B73="","",IF(Setup!$A$41="",0,IF(ISNUMBER(SEARCH(Setup!$A$41,$B73)),41,0)))</f>
        <v/>
      </c>
      <c r="CX73" s="9" t="str">
        <f aca="false">IF($B73="","",IF(Setup!$A$42="",0,IF(ISNUMBER(SEARCH(Setup!$A$42,$B73)),42,0)))</f>
        <v/>
      </c>
      <c r="CY73" s="9" t="str">
        <f aca="false">IF($B73="","",IF(Setup!$A$43="",0,IF(ISNUMBER(SEARCH(Setup!$A$43,$B73)),43,0)))</f>
        <v/>
      </c>
      <c r="CZ73" s="9" t="str">
        <f aca="false">IF($B73="","",IF(Setup!$A$44="",0,IF(ISNUMBER(SEARCH(Setup!$A$44,$B73)),44,0)))</f>
        <v/>
      </c>
      <c r="DA73" s="9" t="str">
        <f aca="false">IF($B73="","",IF(Setup!$A$45="",0,IF(ISNUMBER(SEARCH(Setup!$A$45,$B73)),45,0)))</f>
        <v/>
      </c>
      <c r="DB73" s="9" t="str">
        <f aca="false">IF($B73="","",IF(Setup!$A$46="",0,IF(ISNUMBER(SEARCH(Setup!$A$46,$B73)),46,0)))</f>
        <v/>
      </c>
      <c r="DC73" s="9" t="str">
        <f aca="false">IF($B73="","",IF(Setup!$A$47="",0,IF(ISNUMBER(SEARCH(Setup!$A$47,$B73)),47,0)))</f>
        <v/>
      </c>
      <c r="DD73" s="9" t="str">
        <f aca="false">IF($B73="","",IF(Setup!$A$48="",0,IF(ISNUMBER(SEARCH(Setup!$A$48,$B73)),48,0)))</f>
        <v/>
      </c>
      <c r="DE73" s="9" t="str">
        <f aca="false">IF($B73="","",IF(Setup!$A$49="",0,IF(ISNUMBER(SEARCH(Setup!$A$49,$B73)),49,0)))</f>
        <v/>
      </c>
      <c r="DF73" s="9" t="e">
        <f aca="false">IF($B73="",NA(),$A73)</f>
        <v>#N/A</v>
      </c>
      <c r="DG73" s="9" t="e">
        <f aca="false">IF($BI73="",NA(),$BI73)</f>
        <v>#N/A</v>
      </c>
      <c r="DH73" s="9" t="e">
        <f aca="false">IF($N73="",NA(),$N73)</f>
        <v>#N/A</v>
      </c>
      <c r="DI73" s="9" t="e">
        <f aca="false">IF(AND($D73="Drift",$N73&lt;&gt;""),$N73,NA())</f>
        <v>#N/A</v>
      </c>
      <c r="DJ73" s="9" t="str">
        <f aca="false">IF(AND($D73="Drift",$N73&lt;&gt;""),$N73,"")</f>
        <v/>
      </c>
      <c r="DK73" s="9" t="str">
        <f aca="false">IF($DJ73="","",$A73)</f>
        <v/>
      </c>
      <c r="DL73" s="9" t="e">
        <f aca="false">IF($AN73="",NA(),$AM73)</f>
        <v>#N/A</v>
      </c>
      <c r="DM73" s="9" t="e">
        <f aca="false">IF($AN73="",NA(),$AN73)</f>
        <v>#N/A</v>
      </c>
      <c r="DN73" s="9" t="e">
        <f aca="false">IF(AND($D73="Sample",$L73&lt;&gt;""),$L73,NA())</f>
        <v>#N/A</v>
      </c>
      <c r="DO73" s="9" t="e">
        <f aca="false">IF(AND($D73="Sample",$L73&lt;&gt;"",Fits!$B$98&lt;&gt;""),Fits!$B$98,NA())</f>
        <v>#N/A</v>
      </c>
      <c r="DP73" s="9" t="e">
        <f aca="false">IF($AS73="",NA(),$AS73)</f>
        <v>#N/A</v>
      </c>
      <c r="DQ73" s="9" t="e">
        <f aca="false">IF(AND($D73="Drift",$AS73="",$X73&lt;&gt;""),$X73,NA())</f>
        <v>#N/A</v>
      </c>
      <c r="DR73" s="9" t="e">
        <f aca="false">IF(AND($D73="Drift",$Z73&lt;&gt;""),$Z73,NA())</f>
        <v>#N/A</v>
      </c>
      <c r="DS73" s="9" t="e">
        <f aca="false">IF(AND(OR($D73="Sample",$D73="Check"),$AA73&lt;&gt;""),$AA73,NA())</f>
        <v>#N/A</v>
      </c>
      <c r="DT73" s="9" t="e">
        <f aca="false">IF(OR($B73="",Fits!$B$138=""),NA(),Fits!$B$138)</f>
        <v>#N/A</v>
      </c>
      <c r="DU73" s="9" t="e">
        <f aca="false">IF(OR($B73="",Fits!$B$139=""),NA(),Fits!$B$139)</f>
        <v>#N/A</v>
      </c>
      <c r="DV73" s="9" t="e">
        <f aca="false">IF($BT73="",NA(),$BT73)</f>
        <v>#N/A</v>
      </c>
      <c r="DW73" s="9" t="e">
        <f aca="false">IF($AP73="",NA(),$AO73)</f>
        <v>#N/A</v>
      </c>
      <c r="DX73" s="9" t="e">
        <f aca="false">IF($AP73="",NA(),$AP73)</f>
        <v>#N/A</v>
      </c>
      <c r="DY73" s="9" t="e">
        <f aca="false">IF(AND($D73="Sample",$P73&lt;&gt;""),$P73,NA())</f>
        <v>#N/A</v>
      </c>
      <c r="DZ73" s="9" t="e">
        <f aca="false">IF(AND($D73="Sample",$P73&lt;&gt;"",Fits!$B$105&lt;&gt;""),Fits!$B$105,NA())</f>
        <v>#N/A</v>
      </c>
      <c r="EA73" s="9" t="e">
        <f aca="false">IF($AT73="",NA(),$AT73)</f>
        <v>#N/A</v>
      </c>
      <c r="EB73" s="9" t="e">
        <f aca="false">IF(AND($D73="Drift",$AT73="",$AC73&lt;&gt;""),$AC73,NA())</f>
        <v>#N/A</v>
      </c>
      <c r="EC73" s="9" t="e">
        <f aca="false">IF(AND($D73="Drift",$AE73&lt;&gt;""),$AE73,NA())</f>
        <v>#N/A</v>
      </c>
      <c r="ED73" s="9" t="e">
        <f aca="false">IF(AND(OR($D73="Sample",$D73="Check"),$AF73&lt;&gt;""),$AF73,NA())</f>
        <v>#N/A</v>
      </c>
      <c r="EE73" s="9" t="e">
        <f aca="false">IF(OR($B73="",Fits!$B$158=""),NA(),Fits!$B$158)</f>
        <v>#N/A</v>
      </c>
      <c r="EF73" s="9" t="e">
        <f aca="false">IF(OR($B73="",Fits!$B$159=""),NA(),Fits!$B$159)</f>
        <v>#N/A</v>
      </c>
      <c r="EG73" s="9" t="e">
        <f aca="false">IF($BW73="",NA(),$BW73)</f>
        <v>#N/A</v>
      </c>
      <c r="EH73" s="9" t="e">
        <f aca="false">IF(AND($EN73=1,ISNUMBER($N73)),$N73,NA())</f>
        <v>#N/A</v>
      </c>
      <c r="EI73" s="9" t="str">
        <f aca="false">IF($B73="","",$A73)</f>
        <v/>
      </c>
      <c r="EJ73" s="9" t="n">
        <f aca="false">IF(OR(AND(ISNUMBER($L73),Fits!$B$97&gt;0,$L73&gt;Fits!$B$97),AND(ISNUMBER($P73),Fits!$B$104&gt;0,$P73&gt;Fits!$B$104)),1,0)</f>
        <v>0</v>
      </c>
      <c r="EK73" s="9" t="n">
        <f aca="false">IF(OR($EJ72=1,$EJ71=1),1,0)</f>
        <v>0</v>
      </c>
      <c r="EL73" s="22" t="n">
        <f aca="false">IF(AND($EK73=0,ISNUMBER($N73)),$N73,$EL72)</f>
        <v>25.7</v>
      </c>
      <c r="EM73" s="9" t="str">
        <f aca="false">IF(AND($EK73=1,ISNUMBER($N73),ISNUMBER($EL73)),$N73-$EL73,"")</f>
        <v/>
      </c>
      <c r="EN73" s="9" t="n">
        <f aca="false">IF(Setup!$B$28="",0,IF(ISNUMBER($EM73),IF($EM73&gt;Setup!$B$28,1,0),0))</f>
        <v>0</v>
      </c>
      <c r="EO73" s="9" t="str">
        <f aca="false">IF($EN73=1,COUNTIF($EN$6:$EN73,1),"")</f>
        <v/>
      </c>
      <c r="EP73" s="9" t="n">
        <f aca="false">IF(AND($EJ72=1,OR($D73="Sample",$D73="Check")),1,0)</f>
        <v>0</v>
      </c>
      <c r="EQ73" s="9" t="str">
        <f aca="false">IF(ISNUMBER($BI73),IF(COUNT($BI$6:$BI73)&lt;=5,$BI73,""),"")</f>
        <v/>
      </c>
      <c r="ER73" s="9" t="n">
        <f aca="false">IF(OR(NOT(ISNUMBER($BJ73)),$EK73=1),$ER72,IF($BJ73&lt;=Setup!$B$26,IF($CP72=0,$A73,$ER72),""))</f>
        <v>27</v>
      </c>
    </row>
    <row r="74" customFormat="false" ht="15" hidden="false" customHeight="false" outlineLevel="0" collapsed="false">
      <c r="A74" s="8" t="n">
        <v>69</v>
      </c>
      <c r="B74" s="8" t="str">
        <f aca="false">IFERROR(INDEX(Raw!$B$2:$B$1001,MATCH($A74,Raw!$A$2:$A$1001,0)),"")</f>
        <v/>
      </c>
      <c r="C74" s="9" t="str">
        <f aca="false">IF($B74="","",MAX($CS74:$DE74))</f>
        <v/>
      </c>
      <c r="D74" s="8" t="str">
        <f aca="false">IF($B74="","",IF($C74=0,"Sample",INDEX(Setup!$B$37:$B$49,$C74-36)))</f>
        <v/>
      </c>
      <c r="E74" s="16" t="str">
        <f aca="false">IF($B74="","",IFERROR(IF(INDEX(Raw!$E$2:$E$1001,MATCH($A74,Raw!$A$2:$A$1001,0))=0,"",INDEX(Raw!$E$2:$E$1001,MATCH($A74,Raw!$A$2:$A$1001,0))),""))</f>
        <v/>
      </c>
      <c r="F74" s="18"/>
      <c r="G74" s="16" t="str">
        <f aca="false">IF($B74="","",IF($F74&lt;&gt;"",$F74,IF($E74="","",$E74)))</f>
        <v/>
      </c>
      <c r="H74" s="9" t="str">
        <f aca="false">IF($B74="","",SUMPRODUCT(MAX((Raw!$A$2:$A$1001=$A74)*(Raw!$R$2:$R$1001="N")*Raw!$D$2:$D$1001)))</f>
        <v/>
      </c>
      <c r="I74" s="9" t="str">
        <f aca="false">IF(OR($H74="",$H74=0),"",$A74&amp;"|N|"&amp;$H74)</f>
        <v/>
      </c>
      <c r="J74" s="9" t="str">
        <f aca="false">IF($B74="","",SUMPRODUCT(MIN((Raw!$A$2:$A$1001=$A74)*(Raw!$R$2:$R$1001="C")*Raw!$D$2:$D$1001+(1-(Raw!$A$2:$A$1001=$A74)*(Raw!$R$2:$R$1001="C"))*9999)))</f>
        <v/>
      </c>
      <c r="K74" s="9" t="str">
        <f aca="false">IF(OR($J74="",$J74=0,$J74=9999),"",$A74&amp;"|C|"&amp;$J74)</f>
        <v/>
      </c>
      <c r="L74" s="16" t="str">
        <f aca="false">IF($I74="","",IF(INDEX(Raw!$I$2:$I$1001,MATCH($I74,Raw!$S$2:$S$1001,0))&lt;&gt;0,"",INDEX(Raw!$H$2:$H$1001,MATCH($I74,Raw!$S$2:$S$1001,0))))</f>
        <v/>
      </c>
      <c r="M74" s="19" t="str">
        <f aca="false">IF($I74="","",IF(INDEX(Raw!$I$2:$I$1001,MATCH($I74,Raw!$S$2:$S$1001,0))&lt;&gt;0,"",INDEX(Raw!$F$2:$F$1001,MATCH($I74,Raw!$S$2:$S$1001,0))))</f>
        <v/>
      </c>
      <c r="N74" s="20" t="str">
        <f aca="false">IF($I74="","",IF(INDEX(Raw!$I$2:$I$1001,MATCH($I74,Raw!$S$2:$S$1001,0))&lt;&gt;0,"",INDEX(Raw!$G$2:$G$1001,MATCH($I74,Raw!$S$2:$S$1001,0))))</f>
        <v/>
      </c>
      <c r="O74" s="16" t="str">
        <f aca="false">IF($I74="","",IF(INDEX(Raw!$I$2:$I$1001,MATCH($I74,Raw!$S$2:$S$1001,0))&lt;&gt;0,"",INDEX(Raw!$N$2:$N$1001,MATCH($I74,Raw!$S$2:$S$1001,0))))</f>
        <v/>
      </c>
      <c r="P74" s="16" t="str">
        <f aca="false">IF($K74="","",IF(INDEX(Raw!$I$2:$I$1001,MATCH($K74,Raw!$S$2:$S$1001,0))&lt;&gt;0,"",INDEX(Raw!$K$2:$K$1001,MATCH($K74,Raw!$S$2:$S$1001,0))))</f>
        <v/>
      </c>
      <c r="Q74" s="19" t="str">
        <f aca="false">IF($K74="","",IF(INDEX(Raw!$I$2:$I$1001,MATCH($K74,Raw!$S$2:$S$1001,0))&lt;&gt;0,"",INDEX(Raw!$J$2:$J$1001,MATCH($K74,Raw!$S$2:$S$1001,0))))</f>
        <v/>
      </c>
      <c r="R74" s="16" t="str">
        <f aca="false">IF($K74="","",IF(INDEX(Raw!$I$2:$I$1001,MATCH($K74,Raw!$S$2:$S$1001,0))&lt;&gt;0,"",INDEX(Raw!$O$2:$O$1001,MATCH($K74,Raw!$S$2:$S$1001,0))))</f>
        <v/>
      </c>
      <c r="S74" s="21" t="str">
        <f aca="false">IF($B74="","",IF($C74=0,"",IF(INDEX(Setup!$D$37:$D$49,$C74-36)="","",INDEX(Setup!$D$37:$D$49,$C74-36))))</f>
        <v/>
      </c>
      <c r="T74" s="21" t="str">
        <f aca="false">IF($B74="","",IF($C74=0,"",IF(INDEX(Setup!$C$37:$C$49,$C74-36)="","",INDEX(Setup!$C$37:$C$49,$C74-36))))</f>
        <v/>
      </c>
      <c r="U74" s="21" t="str">
        <f aca="false">IF($B74="","",IF($C74=0,"",IF(INDEX(Setup!$F$37:$F$49,$C74-36)="","",INDEX(Setup!$F$37:$F$49,$C74-36))))</f>
        <v/>
      </c>
      <c r="V74" s="21" t="str">
        <f aca="false">IF($B74="","",IF($C74=0,"",IF(INDEX(Setup!$E$37:$E$49,$C74-36)="","",INDEX(Setup!$E$37:$E$49,$C74-36))))</f>
        <v/>
      </c>
      <c r="W74" s="16" t="str">
        <f aca="false">IF($O74="","",IF(OR(Fits!$C$5&lt;&gt;"Yes",$D74="Blank",$L74&lt;=Fits!$B$6),$O74,($L74*$O74-Fits!$B$6*Fits!$B$7)/($L74-Fits!$B$6)))</f>
        <v/>
      </c>
      <c r="X74" s="16" t="str">
        <f aca="false">IF($W74="","",$W74-Fits!$B$20*($L74-Fits!$B$16))</f>
        <v/>
      </c>
      <c r="Y74" s="22" t="str">
        <f aca="false">IF($W74="","",IF(OR(Fits!$B$38="Row",$BI74=""),$A74,$BI74))</f>
        <v/>
      </c>
      <c r="Z74" s="16" t="str">
        <f aca="false">IF($X74="","",$X74-Fits!$B$39*($Y74-Fits!$B$40))</f>
        <v/>
      </c>
      <c r="AA74" s="23" t="str">
        <f aca="false">IF(OR($Z74="",Fits!$B$55&lt;2),"",Fits!$B$56*$Z74+Fits!$B$57)</f>
        <v/>
      </c>
      <c r="AB74" s="16" t="str">
        <f aca="false">IF($R74="","",IF(OR(Fits!$C$9&lt;&gt;"Yes",$D74="Blank",$P74&lt;=Fits!$B$10),$R74,($P74*$R74-Fits!$B$10*Fits!$B$11)/($P74-Fits!$B$10)))</f>
        <v/>
      </c>
      <c r="AC74" s="16" t="str">
        <f aca="false">IF($AB74="","",$AB74-Fits!$B$28*($P74-Fits!$B$24))</f>
        <v/>
      </c>
      <c r="AD74" s="22" t="str">
        <f aca="false">IF($AB74="","",IF(OR(Fits!$B$50="Row",$BI74=""),$A74,$BI74))</f>
        <v/>
      </c>
      <c r="AE74" s="16" t="str">
        <f aca="false">IF($AC74="","",$AC74-Fits!$B$51*($AD74-Fits!$B$52))</f>
        <v/>
      </c>
      <c r="AF74" s="23" t="str">
        <f aca="false">IF(OR($AE74="",Fits!$B$62&lt;2),"",Fits!$B$63*$AE74+Fits!$B$64)</f>
        <v/>
      </c>
      <c r="AG74" s="21" t="str">
        <f aca="false">IF(OR($L74="",Fits!$B$69&lt;3),"",($L74-Fits!$B$71)/Fits!$B$70)</f>
        <v/>
      </c>
      <c r="AH74" s="21" t="str">
        <f aca="false">IF(OR($P74="",Fits!$B$75&lt;3),"",($P74-Fits!$B$77)/Fits!$B$76)</f>
        <v/>
      </c>
      <c r="AI74" s="23" t="str">
        <f aca="false">IF(OR($AG74="",$G74="",$G74=0),"",$AG74/($G74*1000)*100)</f>
        <v/>
      </c>
      <c r="AJ74" s="23" t="str">
        <f aca="false">IF(OR($AH74="",$G74="",$G74=0),"",$AH74/($G74*1000)*100)</f>
        <v/>
      </c>
      <c r="AK74" s="23" t="str">
        <f aca="false">IF(OR($AG74="",$AH74="",$AG74&lt;=0),"",($AH74/Setup!$B$52)/($AG74/Setup!$B$53))</f>
        <v/>
      </c>
      <c r="AL74" s="23" t="str">
        <f aca="false">IF(OR($AG74="",$AH74="",$AG74&lt;=0),"",$AH74/$AG74)</f>
        <v/>
      </c>
      <c r="AM74" s="9" t="str">
        <f aca="false">IF($D74="Linearity",IF($L74="","",$L74),"")</f>
        <v/>
      </c>
      <c r="AN74" s="9" t="str">
        <f aca="false">IF($D74="Linearity",IF($W74="","",$W74),"")</f>
        <v/>
      </c>
      <c r="AO74" s="9" t="str">
        <f aca="false">IF($D74="Linearity",IF($P74="","",$P74),"")</f>
        <v/>
      </c>
      <c r="AP74" s="9" t="str">
        <f aca="false">IF($D74="Linearity",IF($AB74="","",$AB74),"")</f>
        <v/>
      </c>
      <c r="AQ74" s="9" t="str">
        <f aca="false">IF($D74="Drift",IF($A74&lt;IF(Setup!$B$14="",0,Setup!$B$14),"",$A74),"")</f>
        <v/>
      </c>
      <c r="AR74" s="9" t="str">
        <f aca="false">IF($D74="Drift",IF($A74&lt;IF(Setup!$B$14="",0,Setup!$B$14),"",IF($BI74="","",$BI74)),"")</f>
        <v/>
      </c>
      <c r="AS74" s="9" t="str">
        <f aca="false">IF($D74="Drift",IF($A74&lt;IF(Setup!$B$14="",0,Setup!$B$14),"",IF(OR($X74="",$BX74=1),"",$X74)),"")</f>
        <v/>
      </c>
      <c r="AT74" s="9" t="str">
        <f aca="false">IF($D74="Drift",IF($A74&lt;IF(Setup!$B$14="",0,Setup!$B$14),"",IF(OR($AC74="",$BY74=1),"",$AC74)),"")</f>
        <v/>
      </c>
      <c r="AU74" s="9" t="str">
        <f aca="false">IF($D74="Anchor",IF(OR($Z74="",$S74=""),"",$Z74),"")</f>
        <v/>
      </c>
      <c r="AV74" s="9" t="str">
        <f aca="false">IF($D74="Anchor",IF(OR($Z74="",$S74=""),"",$S74),"")</f>
        <v/>
      </c>
      <c r="AW74" s="9" t="str">
        <f aca="false">IF($D74="Anchor",IF(OR($AE74="",$T74=""),"",$AE74),"")</f>
        <v/>
      </c>
      <c r="AX74" s="9" t="str">
        <f aca="false">IF($D74="Anchor",IF(OR($AE74="",$T74=""),"",$T74),"")</f>
        <v/>
      </c>
      <c r="AY74" s="9" t="str">
        <f aca="false">IF(OR($D74="Blank",$D74="Exclude",$D74="Sample",$D74="",$G74="",$U74="",$L74=""),"",$G74*1000*$U74/100)</f>
        <v/>
      </c>
      <c r="AZ74" s="9" t="str">
        <f aca="false">IF($AY74="","",$L74)</f>
        <v/>
      </c>
      <c r="BA74" s="9" t="str">
        <f aca="false">IF(OR($D74="Blank",$D74="Exclude",$D74="Sample",$D74="",$G74="",$V74="",$P74=""),"",$G74*1000*$V74/100)</f>
        <v/>
      </c>
      <c r="BB74" s="9" t="str">
        <f aca="false">IF($BA74="","",$P74)</f>
        <v/>
      </c>
      <c r="BC74" s="9" t="str">
        <f aca="false">IF(AND($D74="Blank",$L74&lt;&gt;""),$O74,"")</f>
        <v/>
      </c>
      <c r="BD74" s="9" t="str">
        <f aca="false">IF($BC74="","",$L74)</f>
        <v/>
      </c>
      <c r="BE74" s="9" t="str">
        <f aca="false">IF(AND($D74="Blank",$P74&lt;&gt;""),$R74,"")</f>
        <v/>
      </c>
      <c r="BF74" s="9" t="str">
        <f aca="false">IF($BE74="","",$P74)</f>
        <v/>
      </c>
      <c r="BG74" s="9" t="str">
        <f aca="false">IF(AND($D74="Drift",$BX74&lt;&gt;1),IF($AA74="","",$AA74),"")</f>
        <v/>
      </c>
      <c r="BH74" s="9" t="str">
        <f aca="false">IF(AND($D74="Drift",$BY74&lt;&gt;1),IF($AF74="","",$AF74),"")</f>
        <v/>
      </c>
      <c r="BI74" s="20" t="str">
        <f aca="false">IF($B74="","",IFERROR(INDEX(Raw!$G$2:$G$1001,MATCH($A74&amp;"|N|"&amp;SUMPRODUCT(MAX((Raw!$A$2:$A$1001=$A74)*(Raw!$R$2:$R$1001="N")*(Raw!$I$2:$I$1001=1)*Raw!$D$2:$D$1001)),Raw!$S$2:$S$1001,0)),""))</f>
        <v/>
      </c>
      <c r="BJ74" s="21" t="str">
        <f aca="false">IF(OR($BI74="",Fits!$B$85&lt;=0),"",($BI74-Fits!$B$83)/Fits!$B$85)</f>
        <v/>
      </c>
      <c r="BK74" s="9" t="str">
        <f aca="false">IF($AS74="","",IF($A74&gt;=Fits!$B$86,"",$A74))</f>
        <v/>
      </c>
      <c r="BL74" s="9" t="str">
        <f aca="false">IF($BK74="","",$X74)</f>
        <v/>
      </c>
      <c r="BM74" s="9" t="str">
        <f aca="false">IF($AS74="","",IF($A74&lt;Fits!$B$86,"",$A74))</f>
        <v/>
      </c>
      <c r="BN74" s="9" t="str">
        <f aca="false">IF($BM74="","",$X74)</f>
        <v/>
      </c>
      <c r="BO74" s="9" t="str">
        <f aca="false">IF(AND($D74="Drift",$BX74&lt;&gt;1),IF($O74="","",$O74),"")</f>
        <v/>
      </c>
      <c r="BP74" s="9" t="str">
        <f aca="false">IF(AND($D74="Drift",$BX74&lt;&gt;1),IF($W74="","",$W74),"")</f>
        <v/>
      </c>
      <c r="BQ74" s="9" t="str">
        <f aca="false">IF(AND($D74="Drift",$BX74&lt;&gt;1),IF($X74="","",$X74),"")</f>
        <v/>
      </c>
      <c r="BR74" s="9" t="str">
        <f aca="false">IF(AND($D74="Drift",$BX74&lt;&gt;1),IF($Z74="","",$Z74),"")</f>
        <v/>
      </c>
      <c r="BS74" s="9" t="str">
        <f aca="false">IF(OR($B74="",$H74=""),"",SUMPRODUCT(MIN((Raw!$A$2:$A$1001=$A74)*(Raw!$R$2:$R$1001="N")*(Raw!$I$2:$I$1001=0)*(Raw!$D$2:$D$1001&lt;$H74)*Raw!$D$2:$D$1001+(1-(Raw!$A$2:$A$1001=$A74)*(Raw!$R$2:$R$1001="N")*(Raw!$I$2:$I$1001=0)*(Raw!$D$2:$D$1001&lt;$H74))*9999)))</f>
        <v/>
      </c>
      <c r="BT74" s="16" t="str">
        <f aca="false">IF(OR($BS74="",$BS74=9999,$BS74=0),"",IFERROR(INDEX(Raw!$N$2:$N$1001,MATCH($A74&amp;"|N|"&amp;$BS74,Raw!$S$2:$S$1001,0)),""))</f>
        <v/>
      </c>
      <c r="BU74" s="9" t="str">
        <f aca="false">IF($B74="","",SUMPRODUCT(MIN((Raw!$A$2:$A$1001=$A74)*(Raw!$R$2:$R$1001="C")*(Raw!$I$2:$I$1001=1)*Raw!$D$2:$D$1001+(1-(Raw!$A$2:$A$1001=$A74)*(Raw!$R$2:$R$1001="C")*(Raw!$I$2:$I$1001=1))*9999)))</f>
        <v/>
      </c>
      <c r="BV74" s="9" t="str">
        <f aca="false">IF(OR($BU74="",$BU74=9999),"",SUMPRODUCT(MIN((Raw!$A$2:$A$1001=$A74)*(Raw!$R$2:$R$1001="C")*(Raw!$I$2:$I$1001=0)*(Raw!$D$2:$D$1001&gt;$BU74)*Raw!$D$2:$D$1001+(1-(Raw!$A$2:$A$1001=$A74)*(Raw!$R$2:$R$1001="C")*(Raw!$I$2:$I$1001=0)*(Raw!$D$2:$D$1001&gt;$BU74))*9999)))</f>
        <v/>
      </c>
      <c r="BW74" s="16" t="str">
        <f aca="false">IF(OR($BV74="",$BV74=9999,$BV74=0),"",IFERROR(INDEX(Raw!$O$2:$O$1001,MATCH($A74&amp;"|C|"&amp;$BV74,Raw!$S$2:$S$1001,0)),""))</f>
        <v/>
      </c>
      <c r="BX74" s="9" t="str">
        <f aca="false">IF($B74="","",IF(ISNUMBER(SEARCH(","&amp;$A74&amp;",",","&amp;SUBSTITUTE(Setup!$B$16," ","")&amp;",")),1,0))</f>
        <v/>
      </c>
      <c r="BY74" s="9" t="str">
        <f aca="false">IF($B74="","",IF(ISNUMBER(SEARCH(","&amp;$A74&amp;",",","&amp;SUBSTITUTE(Setup!$B$17," ","")&amp;",")),1,0))</f>
        <v/>
      </c>
      <c r="BZ74" s="22" t="str">
        <f aca="false">IF($AS74="","",IF(Fits!$B$38="Row",$AQ74,IF($AR74="","",$AR74)))</f>
        <v/>
      </c>
      <c r="CA74" s="22" t="str">
        <f aca="false">IF($AT74="","",IF(Fits!$B$50="Row",$AQ74,IF($AR74="","",$AR74)))</f>
        <v/>
      </c>
      <c r="CB74" s="20" t="str">
        <f aca="false">IF(OR($D74&lt;&gt;"Drift",$X74="",$A74&lt;IF(Setup!$B$14="",0,Setup!$B$14),Fits!$B$107&lt;3,Fits!$B$110="",Fits!$B$109=0,IF(Fits!$B$38="Row",$AQ74,$AR74)=""),"",IF($BX74=1,IF(OR(Fits!$B$111="",Fits!$B$111=0),"",($X74-(IF(Fits!$B$38="Row",Fits!$B$32,Fits!$B$35)*IF(Fits!$B$38="Row",$AQ74,$AR74)+Fits!$B$110))/(Fits!$B$111*SQRT(1+(1/Fits!$B$107+(IF(Fits!$B$38="Row",$AQ74,$AR74)-Fits!$B$108)^2/Fits!$B$109)))),IF(OR(Fits!$B$107&lt;4,(1/Fits!$B$107+(IF(Fits!$B$38="Row",$AQ74,$AR74)-Fits!$B$108)^2/Fits!$B$109)&gt;=1),"",IF((Fits!$B$116-($X74-(IF(Fits!$B$38="Row",Fits!$B$32,Fits!$B$35)*IF(Fits!$B$38="Row",$AQ74,$AR74)+Fits!$B$110))^2/(1-(1/Fits!$B$107+(IF(Fits!$B$38="Row",$AQ74,$AR74)-Fits!$B$108)^2/Fits!$B$109)))&lt;=0,"",($X74-(IF(Fits!$B$38="Row",Fits!$B$32,Fits!$B$35)*IF(Fits!$B$38="Row",$AQ74,$AR74)+Fits!$B$110))/(SQRT((Fits!$B$116-($X74-(IF(Fits!$B$38="Row",Fits!$B$32,Fits!$B$35)*IF(Fits!$B$38="Row",$AQ74,$AR74)+Fits!$B$110))^2/(1-(1/Fits!$B$107+(IF(Fits!$B$38="Row",$AQ74,$AR74)-Fits!$B$108)^2/Fits!$B$109)))/(Fits!$B$107-3))*SQRT(1-(1/Fits!$B$107+(IF(Fits!$B$38="Row",$AQ74,$AR74)-Fits!$B$108)^2/Fits!$B$109)))))))</f>
        <v/>
      </c>
      <c r="CC74" s="20" t="str">
        <f aca="false">IF(OR($D74&lt;&gt;"Drift",$AC74="",$A74&lt;IF(Setup!$B$14="",0,Setup!$B$14),Fits!$B$120&lt;3,Fits!$B$123="",Fits!$B$122=0,IF(Fits!$B$50="Row",$AQ74,$AR74)=""),"",IF($BY74=1,IF(OR(Fits!$B$124="",Fits!$B$124=0),"",($AC74-(IF(Fits!$B$50="Row",Fits!$B$44,Fits!$B$47)*IF(Fits!$B$50="Row",$AQ74,$AR74)+Fits!$B$123))/(Fits!$B$124*SQRT(1+(1/Fits!$B$120+(IF(Fits!$B$50="Row",$AQ74,$AR74)-Fits!$B$121)^2/Fits!$B$122)))),IF(OR(Fits!$B$120&lt;4,(1/Fits!$B$120+(IF(Fits!$B$50="Row",$AQ74,$AR74)-Fits!$B$121)^2/Fits!$B$122)&gt;=1),"",IF((Fits!$B$129-($AC74-(IF(Fits!$B$50="Row",Fits!$B$44,Fits!$B$47)*IF(Fits!$B$50="Row",$AQ74,$AR74)+Fits!$B$123))^2/(1-(1/Fits!$B$120+(IF(Fits!$B$50="Row",$AQ74,$AR74)-Fits!$B$121)^2/Fits!$B$122)))&lt;=0,"",($AC74-(IF(Fits!$B$50="Row",Fits!$B$44,Fits!$B$47)*IF(Fits!$B$50="Row",$AQ74,$AR74)+Fits!$B$123))/(SQRT((Fits!$B$129-($AC74-(IF(Fits!$B$50="Row",Fits!$B$44,Fits!$B$47)*IF(Fits!$B$50="Row",$AQ74,$AR74)+Fits!$B$123))^2/(1-(1/Fits!$B$120+(IF(Fits!$B$50="Row",$AQ74,$AR74)-Fits!$B$121)^2/Fits!$B$122)))/(Fits!$B$120-3))*SQRT(1-(1/Fits!$B$120+(IF(Fits!$B$50="Row",$AQ74,$AR74)-Fits!$B$121)^2/Fits!$B$122)))))))</f>
        <v/>
      </c>
      <c r="CD74" s="9" t="str">
        <f aca="false">IF($AU74="","",1)</f>
        <v/>
      </c>
      <c r="CE74" s="24" t="str">
        <f aca="false">IF($AU74="","",$AU74-Fits!$B$133)</f>
        <v/>
      </c>
      <c r="CF74" s="24" t="str">
        <f aca="false">IF($AU74="","",($AV74-(Fits!$B$56*$AU74+Fits!$B$57))-Fits!$B$56*($AU74-Fits!$B$133))</f>
        <v/>
      </c>
      <c r="CG74" s="25" t="str">
        <f aca="false">IF($AU74="","",$AU74^2)</f>
        <v/>
      </c>
      <c r="CH74" s="9" t="str">
        <f aca="false">IF($AW74="","",1)</f>
        <v/>
      </c>
      <c r="CI74" s="24" t="str">
        <f aca="false">IF($AW74="","",$AW74-Fits!$B$153)</f>
        <v/>
      </c>
      <c r="CJ74" s="24" t="str">
        <f aca="false">IF($AW74="","",($AX74-(Fits!$B$63*$AW74+Fits!$B$64))-Fits!$B$63*($AW74-Fits!$B$153))</f>
        <v/>
      </c>
      <c r="CK74" s="25" t="str">
        <f aca="false">IF($AW74="","",$AW74^2)</f>
        <v/>
      </c>
      <c r="CL74" s="26" t="str">
        <f aca="false">IF(OR($Z74="",Fits!$B$55&lt;3,Fits!$B$133="",Fits!$B$134="",Fits!$B$134=0,Fits!$B$136=""),"",SQRT((Fits!$B$136*Fits!$B$56)^2+SUMPRODUCT((Fits!$J$163:$J$175*(Fits!$B$163:$B$175/Fits!$B$55+Fits!$H$163:$H$175*($Z74-Fits!$B$133)/Fits!$B$134))^2)+SUMPRODUCT((Fits!$G$163:$G$175*(($Z74-Fits!$B$133)*Fits!$I$163:$I$175/Fits!$B$134-Fits!$B$163:$B$175*Fits!$B$56/Fits!$B$55))^2)))</f>
        <v/>
      </c>
      <c r="CM74" s="26" t="str">
        <f aca="false">IF($CL74="","",Setup!$B$32*$CL74)</f>
        <v/>
      </c>
      <c r="CN74" s="26" t="str">
        <f aca="false">IF(OR($AE74="",Fits!$B$62&lt;3,Fits!$B$153="",Fits!$B$154="",Fits!$B$154=0,Fits!$B$156=""),"",SQRT((Fits!$B$156*Fits!$B$63)^2+SUMPRODUCT((Fits!$J$183:$J$195*(Fits!$B$183:$B$195/Fits!$B$62+Fits!$H$183:$H$195*($AE74-Fits!$B$153)/Fits!$B$154))^2)+SUMPRODUCT((Fits!$G$183:$G$195*(($AE74-Fits!$B$153)*Fits!$I$183:$I$195/Fits!$B$154-Fits!$B$183:$B$195*Fits!$B$63/Fits!$B$62))^2)))</f>
        <v/>
      </c>
      <c r="CO74" s="26" t="str">
        <f aca="false">IF($CN74="","",Setup!$B$32*$CN74)</f>
        <v/>
      </c>
      <c r="CP74" s="9" t="n">
        <f aca="false">IF(OR(NOT(ISNUMBER($BJ74)),$EK74=1),$CP73,IF($BJ74&lt;=Setup!$B$26,$CP73+1,0))</f>
        <v>26</v>
      </c>
      <c r="CQ74" s="9" t="str">
        <f aca="false">IF($BT74="","",$A74)</f>
        <v/>
      </c>
      <c r="CR74" s="9" t="str">
        <f aca="false">IF($BW74="","",$A74)</f>
        <v/>
      </c>
      <c r="CS74" s="9" t="str">
        <f aca="false">IF($B74="","",IF(Setup!$A$37="",0,IF(ISNUMBER(SEARCH(Setup!$A$37,$B74)),37,0)))</f>
        <v/>
      </c>
      <c r="CT74" s="9" t="str">
        <f aca="false">IF($B74="","",IF(Setup!$A$38="",0,IF(ISNUMBER(SEARCH(Setup!$A$38,$B74)),38,0)))</f>
        <v/>
      </c>
      <c r="CU74" s="9" t="str">
        <f aca="false">IF($B74="","",IF(Setup!$A$39="",0,IF(ISNUMBER(SEARCH(Setup!$A$39,$B74)),39,0)))</f>
        <v/>
      </c>
      <c r="CV74" s="9" t="str">
        <f aca="false">IF($B74="","",IF(Setup!$A$40="",0,IF(ISNUMBER(SEARCH(Setup!$A$40,$B74)),40,0)))</f>
        <v/>
      </c>
      <c r="CW74" s="9" t="str">
        <f aca="false">IF($B74="","",IF(Setup!$A$41="",0,IF(ISNUMBER(SEARCH(Setup!$A$41,$B74)),41,0)))</f>
        <v/>
      </c>
      <c r="CX74" s="9" t="str">
        <f aca="false">IF($B74="","",IF(Setup!$A$42="",0,IF(ISNUMBER(SEARCH(Setup!$A$42,$B74)),42,0)))</f>
        <v/>
      </c>
      <c r="CY74" s="9" t="str">
        <f aca="false">IF($B74="","",IF(Setup!$A$43="",0,IF(ISNUMBER(SEARCH(Setup!$A$43,$B74)),43,0)))</f>
        <v/>
      </c>
      <c r="CZ74" s="9" t="str">
        <f aca="false">IF($B74="","",IF(Setup!$A$44="",0,IF(ISNUMBER(SEARCH(Setup!$A$44,$B74)),44,0)))</f>
        <v/>
      </c>
      <c r="DA74" s="9" t="str">
        <f aca="false">IF($B74="","",IF(Setup!$A$45="",0,IF(ISNUMBER(SEARCH(Setup!$A$45,$B74)),45,0)))</f>
        <v/>
      </c>
      <c r="DB74" s="9" t="str">
        <f aca="false">IF($B74="","",IF(Setup!$A$46="",0,IF(ISNUMBER(SEARCH(Setup!$A$46,$B74)),46,0)))</f>
        <v/>
      </c>
      <c r="DC74" s="9" t="str">
        <f aca="false">IF($B74="","",IF(Setup!$A$47="",0,IF(ISNUMBER(SEARCH(Setup!$A$47,$B74)),47,0)))</f>
        <v/>
      </c>
      <c r="DD74" s="9" t="str">
        <f aca="false">IF($B74="","",IF(Setup!$A$48="",0,IF(ISNUMBER(SEARCH(Setup!$A$48,$B74)),48,0)))</f>
        <v/>
      </c>
      <c r="DE74" s="9" t="str">
        <f aca="false">IF($B74="","",IF(Setup!$A$49="",0,IF(ISNUMBER(SEARCH(Setup!$A$49,$B74)),49,0)))</f>
        <v/>
      </c>
      <c r="DF74" s="9" t="e">
        <f aca="false">IF($B74="",NA(),$A74)</f>
        <v>#N/A</v>
      </c>
      <c r="DG74" s="9" t="e">
        <f aca="false">IF($BI74="",NA(),$BI74)</f>
        <v>#N/A</v>
      </c>
      <c r="DH74" s="9" t="e">
        <f aca="false">IF($N74="",NA(),$N74)</f>
        <v>#N/A</v>
      </c>
      <c r="DI74" s="9" t="e">
        <f aca="false">IF(AND($D74="Drift",$N74&lt;&gt;""),$N74,NA())</f>
        <v>#N/A</v>
      </c>
      <c r="DJ74" s="9" t="str">
        <f aca="false">IF(AND($D74="Drift",$N74&lt;&gt;""),$N74,"")</f>
        <v/>
      </c>
      <c r="DK74" s="9" t="str">
        <f aca="false">IF($DJ74="","",$A74)</f>
        <v/>
      </c>
      <c r="DL74" s="9" t="e">
        <f aca="false">IF($AN74="",NA(),$AM74)</f>
        <v>#N/A</v>
      </c>
      <c r="DM74" s="9" t="e">
        <f aca="false">IF($AN74="",NA(),$AN74)</f>
        <v>#N/A</v>
      </c>
      <c r="DN74" s="9" t="e">
        <f aca="false">IF(AND($D74="Sample",$L74&lt;&gt;""),$L74,NA())</f>
        <v>#N/A</v>
      </c>
      <c r="DO74" s="9" t="e">
        <f aca="false">IF(AND($D74="Sample",$L74&lt;&gt;"",Fits!$B$98&lt;&gt;""),Fits!$B$98,NA())</f>
        <v>#N/A</v>
      </c>
      <c r="DP74" s="9" t="e">
        <f aca="false">IF($AS74="",NA(),$AS74)</f>
        <v>#N/A</v>
      </c>
      <c r="DQ74" s="9" t="e">
        <f aca="false">IF(AND($D74="Drift",$AS74="",$X74&lt;&gt;""),$X74,NA())</f>
        <v>#N/A</v>
      </c>
      <c r="DR74" s="9" t="e">
        <f aca="false">IF(AND($D74="Drift",$Z74&lt;&gt;""),$Z74,NA())</f>
        <v>#N/A</v>
      </c>
      <c r="DS74" s="9" t="e">
        <f aca="false">IF(AND(OR($D74="Sample",$D74="Check"),$AA74&lt;&gt;""),$AA74,NA())</f>
        <v>#N/A</v>
      </c>
      <c r="DT74" s="9" t="e">
        <f aca="false">IF(OR($B74="",Fits!$B$138=""),NA(),Fits!$B$138)</f>
        <v>#N/A</v>
      </c>
      <c r="DU74" s="9" t="e">
        <f aca="false">IF(OR($B74="",Fits!$B$139=""),NA(),Fits!$B$139)</f>
        <v>#N/A</v>
      </c>
      <c r="DV74" s="9" t="e">
        <f aca="false">IF($BT74="",NA(),$BT74)</f>
        <v>#N/A</v>
      </c>
      <c r="DW74" s="9" t="e">
        <f aca="false">IF($AP74="",NA(),$AO74)</f>
        <v>#N/A</v>
      </c>
      <c r="DX74" s="9" t="e">
        <f aca="false">IF($AP74="",NA(),$AP74)</f>
        <v>#N/A</v>
      </c>
      <c r="DY74" s="9" t="e">
        <f aca="false">IF(AND($D74="Sample",$P74&lt;&gt;""),$P74,NA())</f>
        <v>#N/A</v>
      </c>
      <c r="DZ74" s="9" t="e">
        <f aca="false">IF(AND($D74="Sample",$P74&lt;&gt;"",Fits!$B$105&lt;&gt;""),Fits!$B$105,NA())</f>
        <v>#N/A</v>
      </c>
      <c r="EA74" s="9" t="e">
        <f aca="false">IF($AT74="",NA(),$AT74)</f>
        <v>#N/A</v>
      </c>
      <c r="EB74" s="9" t="e">
        <f aca="false">IF(AND($D74="Drift",$AT74="",$AC74&lt;&gt;""),$AC74,NA())</f>
        <v>#N/A</v>
      </c>
      <c r="EC74" s="9" t="e">
        <f aca="false">IF(AND($D74="Drift",$AE74&lt;&gt;""),$AE74,NA())</f>
        <v>#N/A</v>
      </c>
      <c r="ED74" s="9" t="e">
        <f aca="false">IF(AND(OR($D74="Sample",$D74="Check"),$AF74&lt;&gt;""),$AF74,NA())</f>
        <v>#N/A</v>
      </c>
      <c r="EE74" s="9" t="e">
        <f aca="false">IF(OR($B74="",Fits!$B$158=""),NA(),Fits!$B$158)</f>
        <v>#N/A</v>
      </c>
      <c r="EF74" s="9" t="e">
        <f aca="false">IF(OR($B74="",Fits!$B$159=""),NA(),Fits!$B$159)</f>
        <v>#N/A</v>
      </c>
      <c r="EG74" s="9" t="e">
        <f aca="false">IF($BW74="",NA(),$BW74)</f>
        <v>#N/A</v>
      </c>
      <c r="EH74" s="9" t="e">
        <f aca="false">IF(AND($EN74=1,ISNUMBER($N74)),$N74,NA())</f>
        <v>#N/A</v>
      </c>
      <c r="EI74" s="9" t="str">
        <f aca="false">IF($B74="","",$A74)</f>
        <v/>
      </c>
      <c r="EJ74" s="9" t="n">
        <f aca="false">IF(OR(AND(ISNUMBER($L74),Fits!$B$97&gt;0,$L74&gt;Fits!$B$97),AND(ISNUMBER($P74),Fits!$B$104&gt;0,$P74&gt;Fits!$B$104)),1,0)</f>
        <v>0</v>
      </c>
      <c r="EK74" s="9" t="n">
        <f aca="false">IF(OR($EJ73=1,$EJ72=1),1,0)</f>
        <v>0</v>
      </c>
      <c r="EL74" s="22" t="n">
        <f aca="false">IF(AND($EK74=0,ISNUMBER($N74)),$N74,$EL73)</f>
        <v>25.7</v>
      </c>
      <c r="EM74" s="9" t="str">
        <f aca="false">IF(AND($EK74=1,ISNUMBER($N74),ISNUMBER($EL74)),$N74-$EL74,"")</f>
        <v/>
      </c>
      <c r="EN74" s="9" t="n">
        <f aca="false">IF(Setup!$B$28="",0,IF(ISNUMBER($EM74),IF($EM74&gt;Setup!$B$28,1,0),0))</f>
        <v>0</v>
      </c>
      <c r="EO74" s="9" t="str">
        <f aca="false">IF($EN74=1,COUNTIF($EN$6:$EN74,1),"")</f>
        <v/>
      </c>
      <c r="EP74" s="9" t="n">
        <f aca="false">IF(AND($EJ73=1,OR($D74="Sample",$D74="Check")),1,0)</f>
        <v>0</v>
      </c>
      <c r="EQ74" s="9" t="str">
        <f aca="false">IF(ISNUMBER($BI74),IF(COUNT($BI$6:$BI74)&lt;=5,$BI74,""),"")</f>
        <v/>
      </c>
      <c r="ER74" s="9" t="n">
        <f aca="false">IF(OR(NOT(ISNUMBER($BJ74)),$EK74=1),$ER73,IF($BJ74&lt;=Setup!$B$26,IF($CP73=0,$A74,$ER73),""))</f>
        <v>27</v>
      </c>
    </row>
    <row r="75" customFormat="false" ht="15" hidden="false" customHeight="false" outlineLevel="0" collapsed="false">
      <c r="A75" s="8" t="n">
        <v>70</v>
      </c>
      <c r="B75" s="8" t="str">
        <f aca="false">IFERROR(INDEX(Raw!$B$2:$B$1001,MATCH($A75,Raw!$A$2:$A$1001,0)),"")</f>
        <v/>
      </c>
      <c r="C75" s="9" t="str">
        <f aca="false">IF($B75="","",MAX($CS75:$DE75))</f>
        <v/>
      </c>
      <c r="D75" s="8" t="str">
        <f aca="false">IF($B75="","",IF($C75=0,"Sample",INDEX(Setup!$B$37:$B$49,$C75-36)))</f>
        <v/>
      </c>
      <c r="E75" s="16" t="str">
        <f aca="false">IF($B75="","",IFERROR(IF(INDEX(Raw!$E$2:$E$1001,MATCH($A75,Raw!$A$2:$A$1001,0))=0,"",INDEX(Raw!$E$2:$E$1001,MATCH($A75,Raw!$A$2:$A$1001,0))),""))</f>
        <v/>
      </c>
      <c r="F75" s="18"/>
      <c r="G75" s="16" t="str">
        <f aca="false">IF($B75="","",IF($F75&lt;&gt;"",$F75,IF($E75="","",$E75)))</f>
        <v/>
      </c>
      <c r="H75" s="9" t="str">
        <f aca="false">IF($B75="","",SUMPRODUCT(MAX((Raw!$A$2:$A$1001=$A75)*(Raw!$R$2:$R$1001="N")*Raw!$D$2:$D$1001)))</f>
        <v/>
      </c>
      <c r="I75" s="9" t="str">
        <f aca="false">IF(OR($H75="",$H75=0),"",$A75&amp;"|N|"&amp;$H75)</f>
        <v/>
      </c>
      <c r="J75" s="9" t="str">
        <f aca="false">IF($B75="","",SUMPRODUCT(MIN((Raw!$A$2:$A$1001=$A75)*(Raw!$R$2:$R$1001="C")*Raw!$D$2:$D$1001+(1-(Raw!$A$2:$A$1001=$A75)*(Raw!$R$2:$R$1001="C"))*9999)))</f>
        <v/>
      </c>
      <c r="K75" s="9" t="str">
        <f aca="false">IF(OR($J75="",$J75=0,$J75=9999),"",$A75&amp;"|C|"&amp;$J75)</f>
        <v/>
      </c>
      <c r="L75" s="16" t="str">
        <f aca="false">IF($I75="","",IF(INDEX(Raw!$I$2:$I$1001,MATCH($I75,Raw!$S$2:$S$1001,0))&lt;&gt;0,"",INDEX(Raw!$H$2:$H$1001,MATCH($I75,Raw!$S$2:$S$1001,0))))</f>
        <v/>
      </c>
      <c r="M75" s="19" t="str">
        <f aca="false">IF($I75="","",IF(INDEX(Raw!$I$2:$I$1001,MATCH($I75,Raw!$S$2:$S$1001,0))&lt;&gt;0,"",INDEX(Raw!$F$2:$F$1001,MATCH($I75,Raw!$S$2:$S$1001,0))))</f>
        <v/>
      </c>
      <c r="N75" s="20" t="str">
        <f aca="false">IF($I75="","",IF(INDEX(Raw!$I$2:$I$1001,MATCH($I75,Raw!$S$2:$S$1001,0))&lt;&gt;0,"",INDEX(Raw!$G$2:$G$1001,MATCH($I75,Raw!$S$2:$S$1001,0))))</f>
        <v/>
      </c>
      <c r="O75" s="16" t="str">
        <f aca="false">IF($I75="","",IF(INDEX(Raw!$I$2:$I$1001,MATCH($I75,Raw!$S$2:$S$1001,0))&lt;&gt;0,"",INDEX(Raw!$N$2:$N$1001,MATCH($I75,Raw!$S$2:$S$1001,0))))</f>
        <v/>
      </c>
      <c r="P75" s="16" t="str">
        <f aca="false">IF($K75="","",IF(INDEX(Raw!$I$2:$I$1001,MATCH($K75,Raw!$S$2:$S$1001,0))&lt;&gt;0,"",INDEX(Raw!$K$2:$K$1001,MATCH($K75,Raw!$S$2:$S$1001,0))))</f>
        <v/>
      </c>
      <c r="Q75" s="19" t="str">
        <f aca="false">IF($K75="","",IF(INDEX(Raw!$I$2:$I$1001,MATCH($K75,Raw!$S$2:$S$1001,0))&lt;&gt;0,"",INDEX(Raw!$J$2:$J$1001,MATCH($K75,Raw!$S$2:$S$1001,0))))</f>
        <v/>
      </c>
      <c r="R75" s="16" t="str">
        <f aca="false">IF($K75="","",IF(INDEX(Raw!$I$2:$I$1001,MATCH($K75,Raw!$S$2:$S$1001,0))&lt;&gt;0,"",INDEX(Raw!$O$2:$O$1001,MATCH($K75,Raw!$S$2:$S$1001,0))))</f>
        <v/>
      </c>
      <c r="S75" s="21" t="str">
        <f aca="false">IF($B75="","",IF($C75=0,"",IF(INDEX(Setup!$D$37:$D$49,$C75-36)="","",INDEX(Setup!$D$37:$D$49,$C75-36))))</f>
        <v/>
      </c>
      <c r="T75" s="21" t="str">
        <f aca="false">IF($B75="","",IF($C75=0,"",IF(INDEX(Setup!$C$37:$C$49,$C75-36)="","",INDEX(Setup!$C$37:$C$49,$C75-36))))</f>
        <v/>
      </c>
      <c r="U75" s="21" t="str">
        <f aca="false">IF($B75="","",IF($C75=0,"",IF(INDEX(Setup!$F$37:$F$49,$C75-36)="","",INDEX(Setup!$F$37:$F$49,$C75-36))))</f>
        <v/>
      </c>
      <c r="V75" s="21" t="str">
        <f aca="false">IF($B75="","",IF($C75=0,"",IF(INDEX(Setup!$E$37:$E$49,$C75-36)="","",INDEX(Setup!$E$37:$E$49,$C75-36))))</f>
        <v/>
      </c>
      <c r="W75" s="16" t="str">
        <f aca="false">IF($O75="","",IF(OR(Fits!$C$5&lt;&gt;"Yes",$D75="Blank",$L75&lt;=Fits!$B$6),$O75,($L75*$O75-Fits!$B$6*Fits!$B$7)/($L75-Fits!$B$6)))</f>
        <v/>
      </c>
      <c r="X75" s="16" t="str">
        <f aca="false">IF($W75="","",$W75-Fits!$B$20*($L75-Fits!$B$16))</f>
        <v/>
      </c>
      <c r="Y75" s="22" t="str">
        <f aca="false">IF($W75="","",IF(OR(Fits!$B$38="Row",$BI75=""),$A75,$BI75))</f>
        <v/>
      </c>
      <c r="Z75" s="16" t="str">
        <f aca="false">IF($X75="","",$X75-Fits!$B$39*($Y75-Fits!$B$40))</f>
        <v/>
      </c>
      <c r="AA75" s="23" t="str">
        <f aca="false">IF(OR($Z75="",Fits!$B$55&lt;2),"",Fits!$B$56*$Z75+Fits!$B$57)</f>
        <v/>
      </c>
      <c r="AB75" s="16" t="str">
        <f aca="false">IF($R75="","",IF(OR(Fits!$C$9&lt;&gt;"Yes",$D75="Blank",$P75&lt;=Fits!$B$10),$R75,($P75*$R75-Fits!$B$10*Fits!$B$11)/($P75-Fits!$B$10)))</f>
        <v/>
      </c>
      <c r="AC75" s="16" t="str">
        <f aca="false">IF($AB75="","",$AB75-Fits!$B$28*($P75-Fits!$B$24))</f>
        <v/>
      </c>
      <c r="AD75" s="22" t="str">
        <f aca="false">IF($AB75="","",IF(OR(Fits!$B$50="Row",$BI75=""),$A75,$BI75))</f>
        <v/>
      </c>
      <c r="AE75" s="16" t="str">
        <f aca="false">IF($AC75="","",$AC75-Fits!$B$51*($AD75-Fits!$B$52))</f>
        <v/>
      </c>
      <c r="AF75" s="23" t="str">
        <f aca="false">IF(OR($AE75="",Fits!$B$62&lt;2),"",Fits!$B$63*$AE75+Fits!$B$64)</f>
        <v/>
      </c>
      <c r="AG75" s="21" t="str">
        <f aca="false">IF(OR($L75="",Fits!$B$69&lt;3),"",($L75-Fits!$B$71)/Fits!$B$70)</f>
        <v/>
      </c>
      <c r="AH75" s="21" t="str">
        <f aca="false">IF(OR($P75="",Fits!$B$75&lt;3),"",($P75-Fits!$B$77)/Fits!$B$76)</f>
        <v/>
      </c>
      <c r="AI75" s="23" t="str">
        <f aca="false">IF(OR($AG75="",$G75="",$G75=0),"",$AG75/($G75*1000)*100)</f>
        <v/>
      </c>
      <c r="AJ75" s="23" t="str">
        <f aca="false">IF(OR($AH75="",$G75="",$G75=0),"",$AH75/($G75*1000)*100)</f>
        <v/>
      </c>
      <c r="AK75" s="23" t="str">
        <f aca="false">IF(OR($AG75="",$AH75="",$AG75&lt;=0),"",($AH75/Setup!$B$52)/($AG75/Setup!$B$53))</f>
        <v/>
      </c>
      <c r="AL75" s="23" t="str">
        <f aca="false">IF(OR($AG75="",$AH75="",$AG75&lt;=0),"",$AH75/$AG75)</f>
        <v/>
      </c>
      <c r="AM75" s="9" t="str">
        <f aca="false">IF($D75="Linearity",IF($L75="","",$L75),"")</f>
        <v/>
      </c>
      <c r="AN75" s="9" t="str">
        <f aca="false">IF($D75="Linearity",IF($W75="","",$W75),"")</f>
        <v/>
      </c>
      <c r="AO75" s="9" t="str">
        <f aca="false">IF($D75="Linearity",IF($P75="","",$P75),"")</f>
        <v/>
      </c>
      <c r="AP75" s="9" t="str">
        <f aca="false">IF($D75="Linearity",IF($AB75="","",$AB75),"")</f>
        <v/>
      </c>
      <c r="AQ75" s="9" t="str">
        <f aca="false">IF($D75="Drift",IF($A75&lt;IF(Setup!$B$14="",0,Setup!$B$14),"",$A75),"")</f>
        <v/>
      </c>
      <c r="AR75" s="9" t="str">
        <f aca="false">IF($D75="Drift",IF($A75&lt;IF(Setup!$B$14="",0,Setup!$B$14),"",IF($BI75="","",$BI75)),"")</f>
        <v/>
      </c>
      <c r="AS75" s="9" t="str">
        <f aca="false">IF($D75="Drift",IF($A75&lt;IF(Setup!$B$14="",0,Setup!$B$14),"",IF(OR($X75="",$BX75=1),"",$X75)),"")</f>
        <v/>
      </c>
      <c r="AT75" s="9" t="str">
        <f aca="false">IF($D75="Drift",IF($A75&lt;IF(Setup!$B$14="",0,Setup!$B$14),"",IF(OR($AC75="",$BY75=1),"",$AC75)),"")</f>
        <v/>
      </c>
      <c r="AU75" s="9" t="str">
        <f aca="false">IF($D75="Anchor",IF(OR($Z75="",$S75=""),"",$Z75),"")</f>
        <v/>
      </c>
      <c r="AV75" s="9" t="str">
        <f aca="false">IF($D75="Anchor",IF(OR($Z75="",$S75=""),"",$S75),"")</f>
        <v/>
      </c>
      <c r="AW75" s="9" t="str">
        <f aca="false">IF($D75="Anchor",IF(OR($AE75="",$T75=""),"",$AE75),"")</f>
        <v/>
      </c>
      <c r="AX75" s="9" t="str">
        <f aca="false">IF($D75="Anchor",IF(OR($AE75="",$T75=""),"",$T75),"")</f>
        <v/>
      </c>
      <c r="AY75" s="9" t="str">
        <f aca="false">IF(OR($D75="Blank",$D75="Exclude",$D75="Sample",$D75="",$G75="",$U75="",$L75=""),"",$G75*1000*$U75/100)</f>
        <v/>
      </c>
      <c r="AZ75" s="9" t="str">
        <f aca="false">IF($AY75="","",$L75)</f>
        <v/>
      </c>
      <c r="BA75" s="9" t="str">
        <f aca="false">IF(OR($D75="Blank",$D75="Exclude",$D75="Sample",$D75="",$G75="",$V75="",$P75=""),"",$G75*1000*$V75/100)</f>
        <v/>
      </c>
      <c r="BB75" s="9" t="str">
        <f aca="false">IF($BA75="","",$P75)</f>
        <v/>
      </c>
      <c r="BC75" s="9" t="str">
        <f aca="false">IF(AND($D75="Blank",$L75&lt;&gt;""),$O75,"")</f>
        <v/>
      </c>
      <c r="BD75" s="9" t="str">
        <f aca="false">IF($BC75="","",$L75)</f>
        <v/>
      </c>
      <c r="BE75" s="9" t="str">
        <f aca="false">IF(AND($D75="Blank",$P75&lt;&gt;""),$R75,"")</f>
        <v/>
      </c>
      <c r="BF75" s="9" t="str">
        <f aca="false">IF($BE75="","",$P75)</f>
        <v/>
      </c>
      <c r="BG75" s="9" t="str">
        <f aca="false">IF(AND($D75="Drift",$BX75&lt;&gt;1),IF($AA75="","",$AA75),"")</f>
        <v/>
      </c>
      <c r="BH75" s="9" t="str">
        <f aca="false">IF(AND($D75="Drift",$BY75&lt;&gt;1),IF($AF75="","",$AF75),"")</f>
        <v/>
      </c>
      <c r="BI75" s="20" t="str">
        <f aca="false">IF($B75="","",IFERROR(INDEX(Raw!$G$2:$G$1001,MATCH($A75&amp;"|N|"&amp;SUMPRODUCT(MAX((Raw!$A$2:$A$1001=$A75)*(Raw!$R$2:$R$1001="N")*(Raw!$I$2:$I$1001=1)*Raw!$D$2:$D$1001)),Raw!$S$2:$S$1001,0)),""))</f>
        <v/>
      </c>
      <c r="BJ75" s="21" t="str">
        <f aca="false">IF(OR($BI75="",Fits!$B$85&lt;=0),"",($BI75-Fits!$B$83)/Fits!$B$85)</f>
        <v/>
      </c>
      <c r="BK75" s="9" t="str">
        <f aca="false">IF($AS75="","",IF($A75&gt;=Fits!$B$86,"",$A75))</f>
        <v/>
      </c>
      <c r="BL75" s="9" t="str">
        <f aca="false">IF($BK75="","",$X75)</f>
        <v/>
      </c>
      <c r="BM75" s="9" t="str">
        <f aca="false">IF($AS75="","",IF($A75&lt;Fits!$B$86,"",$A75))</f>
        <v/>
      </c>
      <c r="BN75" s="9" t="str">
        <f aca="false">IF($BM75="","",$X75)</f>
        <v/>
      </c>
      <c r="BO75" s="9" t="str">
        <f aca="false">IF(AND($D75="Drift",$BX75&lt;&gt;1),IF($O75="","",$O75),"")</f>
        <v/>
      </c>
      <c r="BP75" s="9" t="str">
        <f aca="false">IF(AND($D75="Drift",$BX75&lt;&gt;1),IF($W75="","",$W75),"")</f>
        <v/>
      </c>
      <c r="BQ75" s="9" t="str">
        <f aca="false">IF(AND($D75="Drift",$BX75&lt;&gt;1),IF($X75="","",$X75),"")</f>
        <v/>
      </c>
      <c r="BR75" s="9" t="str">
        <f aca="false">IF(AND($D75="Drift",$BX75&lt;&gt;1),IF($Z75="","",$Z75),"")</f>
        <v/>
      </c>
      <c r="BS75" s="9" t="str">
        <f aca="false">IF(OR($B75="",$H75=""),"",SUMPRODUCT(MIN((Raw!$A$2:$A$1001=$A75)*(Raw!$R$2:$R$1001="N")*(Raw!$I$2:$I$1001=0)*(Raw!$D$2:$D$1001&lt;$H75)*Raw!$D$2:$D$1001+(1-(Raw!$A$2:$A$1001=$A75)*(Raw!$R$2:$R$1001="N")*(Raw!$I$2:$I$1001=0)*(Raw!$D$2:$D$1001&lt;$H75))*9999)))</f>
        <v/>
      </c>
      <c r="BT75" s="16" t="str">
        <f aca="false">IF(OR($BS75="",$BS75=9999,$BS75=0),"",IFERROR(INDEX(Raw!$N$2:$N$1001,MATCH($A75&amp;"|N|"&amp;$BS75,Raw!$S$2:$S$1001,0)),""))</f>
        <v/>
      </c>
      <c r="BU75" s="9" t="str">
        <f aca="false">IF($B75="","",SUMPRODUCT(MIN((Raw!$A$2:$A$1001=$A75)*(Raw!$R$2:$R$1001="C")*(Raw!$I$2:$I$1001=1)*Raw!$D$2:$D$1001+(1-(Raw!$A$2:$A$1001=$A75)*(Raw!$R$2:$R$1001="C")*(Raw!$I$2:$I$1001=1))*9999)))</f>
        <v/>
      </c>
      <c r="BV75" s="9" t="str">
        <f aca="false">IF(OR($BU75="",$BU75=9999),"",SUMPRODUCT(MIN((Raw!$A$2:$A$1001=$A75)*(Raw!$R$2:$R$1001="C")*(Raw!$I$2:$I$1001=0)*(Raw!$D$2:$D$1001&gt;$BU75)*Raw!$D$2:$D$1001+(1-(Raw!$A$2:$A$1001=$A75)*(Raw!$R$2:$R$1001="C")*(Raw!$I$2:$I$1001=0)*(Raw!$D$2:$D$1001&gt;$BU75))*9999)))</f>
        <v/>
      </c>
      <c r="BW75" s="16" t="str">
        <f aca="false">IF(OR($BV75="",$BV75=9999,$BV75=0),"",IFERROR(INDEX(Raw!$O$2:$O$1001,MATCH($A75&amp;"|C|"&amp;$BV75,Raw!$S$2:$S$1001,0)),""))</f>
        <v/>
      </c>
      <c r="BX75" s="9" t="str">
        <f aca="false">IF($B75="","",IF(ISNUMBER(SEARCH(","&amp;$A75&amp;",",","&amp;SUBSTITUTE(Setup!$B$16," ","")&amp;",")),1,0))</f>
        <v/>
      </c>
      <c r="BY75" s="9" t="str">
        <f aca="false">IF($B75="","",IF(ISNUMBER(SEARCH(","&amp;$A75&amp;",",","&amp;SUBSTITUTE(Setup!$B$17," ","")&amp;",")),1,0))</f>
        <v/>
      </c>
      <c r="BZ75" s="22" t="str">
        <f aca="false">IF($AS75="","",IF(Fits!$B$38="Row",$AQ75,IF($AR75="","",$AR75)))</f>
        <v/>
      </c>
      <c r="CA75" s="22" t="str">
        <f aca="false">IF($AT75="","",IF(Fits!$B$50="Row",$AQ75,IF($AR75="","",$AR75)))</f>
        <v/>
      </c>
      <c r="CB75" s="20" t="str">
        <f aca="false">IF(OR($D75&lt;&gt;"Drift",$X75="",$A75&lt;IF(Setup!$B$14="",0,Setup!$B$14),Fits!$B$107&lt;3,Fits!$B$110="",Fits!$B$109=0,IF(Fits!$B$38="Row",$AQ75,$AR75)=""),"",IF($BX75=1,IF(OR(Fits!$B$111="",Fits!$B$111=0),"",($X75-(IF(Fits!$B$38="Row",Fits!$B$32,Fits!$B$35)*IF(Fits!$B$38="Row",$AQ75,$AR75)+Fits!$B$110))/(Fits!$B$111*SQRT(1+(1/Fits!$B$107+(IF(Fits!$B$38="Row",$AQ75,$AR75)-Fits!$B$108)^2/Fits!$B$109)))),IF(OR(Fits!$B$107&lt;4,(1/Fits!$B$107+(IF(Fits!$B$38="Row",$AQ75,$AR75)-Fits!$B$108)^2/Fits!$B$109)&gt;=1),"",IF((Fits!$B$116-($X75-(IF(Fits!$B$38="Row",Fits!$B$32,Fits!$B$35)*IF(Fits!$B$38="Row",$AQ75,$AR75)+Fits!$B$110))^2/(1-(1/Fits!$B$107+(IF(Fits!$B$38="Row",$AQ75,$AR75)-Fits!$B$108)^2/Fits!$B$109)))&lt;=0,"",($X75-(IF(Fits!$B$38="Row",Fits!$B$32,Fits!$B$35)*IF(Fits!$B$38="Row",$AQ75,$AR75)+Fits!$B$110))/(SQRT((Fits!$B$116-($X75-(IF(Fits!$B$38="Row",Fits!$B$32,Fits!$B$35)*IF(Fits!$B$38="Row",$AQ75,$AR75)+Fits!$B$110))^2/(1-(1/Fits!$B$107+(IF(Fits!$B$38="Row",$AQ75,$AR75)-Fits!$B$108)^2/Fits!$B$109)))/(Fits!$B$107-3))*SQRT(1-(1/Fits!$B$107+(IF(Fits!$B$38="Row",$AQ75,$AR75)-Fits!$B$108)^2/Fits!$B$109)))))))</f>
        <v/>
      </c>
      <c r="CC75" s="20" t="str">
        <f aca="false">IF(OR($D75&lt;&gt;"Drift",$AC75="",$A75&lt;IF(Setup!$B$14="",0,Setup!$B$14),Fits!$B$120&lt;3,Fits!$B$123="",Fits!$B$122=0,IF(Fits!$B$50="Row",$AQ75,$AR75)=""),"",IF($BY75=1,IF(OR(Fits!$B$124="",Fits!$B$124=0),"",($AC75-(IF(Fits!$B$50="Row",Fits!$B$44,Fits!$B$47)*IF(Fits!$B$50="Row",$AQ75,$AR75)+Fits!$B$123))/(Fits!$B$124*SQRT(1+(1/Fits!$B$120+(IF(Fits!$B$50="Row",$AQ75,$AR75)-Fits!$B$121)^2/Fits!$B$122)))),IF(OR(Fits!$B$120&lt;4,(1/Fits!$B$120+(IF(Fits!$B$50="Row",$AQ75,$AR75)-Fits!$B$121)^2/Fits!$B$122)&gt;=1),"",IF((Fits!$B$129-($AC75-(IF(Fits!$B$50="Row",Fits!$B$44,Fits!$B$47)*IF(Fits!$B$50="Row",$AQ75,$AR75)+Fits!$B$123))^2/(1-(1/Fits!$B$120+(IF(Fits!$B$50="Row",$AQ75,$AR75)-Fits!$B$121)^2/Fits!$B$122)))&lt;=0,"",($AC75-(IF(Fits!$B$50="Row",Fits!$B$44,Fits!$B$47)*IF(Fits!$B$50="Row",$AQ75,$AR75)+Fits!$B$123))/(SQRT((Fits!$B$129-($AC75-(IF(Fits!$B$50="Row",Fits!$B$44,Fits!$B$47)*IF(Fits!$B$50="Row",$AQ75,$AR75)+Fits!$B$123))^2/(1-(1/Fits!$B$120+(IF(Fits!$B$50="Row",$AQ75,$AR75)-Fits!$B$121)^2/Fits!$B$122)))/(Fits!$B$120-3))*SQRT(1-(1/Fits!$B$120+(IF(Fits!$B$50="Row",$AQ75,$AR75)-Fits!$B$121)^2/Fits!$B$122)))))))</f>
        <v/>
      </c>
      <c r="CD75" s="9" t="str">
        <f aca="false">IF($AU75="","",1)</f>
        <v/>
      </c>
      <c r="CE75" s="24" t="str">
        <f aca="false">IF($AU75="","",$AU75-Fits!$B$133)</f>
        <v/>
      </c>
      <c r="CF75" s="24" t="str">
        <f aca="false">IF($AU75="","",($AV75-(Fits!$B$56*$AU75+Fits!$B$57))-Fits!$B$56*($AU75-Fits!$B$133))</f>
        <v/>
      </c>
      <c r="CG75" s="25" t="str">
        <f aca="false">IF($AU75="","",$AU75^2)</f>
        <v/>
      </c>
      <c r="CH75" s="9" t="str">
        <f aca="false">IF($AW75="","",1)</f>
        <v/>
      </c>
      <c r="CI75" s="24" t="str">
        <f aca="false">IF($AW75="","",$AW75-Fits!$B$153)</f>
        <v/>
      </c>
      <c r="CJ75" s="24" t="str">
        <f aca="false">IF($AW75="","",($AX75-(Fits!$B$63*$AW75+Fits!$B$64))-Fits!$B$63*($AW75-Fits!$B$153))</f>
        <v/>
      </c>
      <c r="CK75" s="25" t="str">
        <f aca="false">IF($AW75="","",$AW75^2)</f>
        <v/>
      </c>
      <c r="CL75" s="26" t="str">
        <f aca="false">IF(OR($Z75="",Fits!$B$55&lt;3,Fits!$B$133="",Fits!$B$134="",Fits!$B$134=0,Fits!$B$136=""),"",SQRT((Fits!$B$136*Fits!$B$56)^2+SUMPRODUCT((Fits!$J$163:$J$175*(Fits!$B$163:$B$175/Fits!$B$55+Fits!$H$163:$H$175*($Z75-Fits!$B$133)/Fits!$B$134))^2)+SUMPRODUCT((Fits!$G$163:$G$175*(($Z75-Fits!$B$133)*Fits!$I$163:$I$175/Fits!$B$134-Fits!$B$163:$B$175*Fits!$B$56/Fits!$B$55))^2)))</f>
        <v/>
      </c>
      <c r="CM75" s="26" t="str">
        <f aca="false">IF($CL75="","",Setup!$B$32*$CL75)</f>
        <v/>
      </c>
      <c r="CN75" s="26" t="str">
        <f aca="false">IF(OR($AE75="",Fits!$B$62&lt;3,Fits!$B$153="",Fits!$B$154="",Fits!$B$154=0,Fits!$B$156=""),"",SQRT((Fits!$B$156*Fits!$B$63)^2+SUMPRODUCT((Fits!$J$183:$J$195*(Fits!$B$183:$B$195/Fits!$B$62+Fits!$H$183:$H$195*($AE75-Fits!$B$153)/Fits!$B$154))^2)+SUMPRODUCT((Fits!$G$183:$G$195*(($AE75-Fits!$B$153)*Fits!$I$183:$I$195/Fits!$B$154-Fits!$B$183:$B$195*Fits!$B$63/Fits!$B$62))^2)))</f>
        <v/>
      </c>
      <c r="CO75" s="26" t="str">
        <f aca="false">IF($CN75="","",Setup!$B$32*$CN75)</f>
        <v/>
      </c>
      <c r="CP75" s="9" t="n">
        <f aca="false">IF(OR(NOT(ISNUMBER($BJ75)),$EK75=1),$CP74,IF($BJ75&lt;=Setup!$B$26,$CP74+1,0))</f>
        <v>26</v>
      </c>
      <c r="CQ75" s="9" t="str">
        <f aca="false">IF($BT75="","",$A75)</f>
        <v/>
      </c>
      <c r="CR75" s="9" t="str">
        <f aca="false">IF($BW75="","",$A75)</f>
        <v/>
      </c>
      <c r="CS75" s="9" t="str">
        <f aca="false">IF($B75="","",IF(Setup!$A$37="",0,IF(ISNUMBER(SEARCH(Setup!$A$37,$B75)),37,0)))</f>
        <v/>
      </c>
      <c r="CT75" s="9" t="str">
        <f aca="false">IF($B75="","",IF(Setup!$A$38="",0,IF(ISNUMBER(SEARCH(Setup!$A$38,$B75)),38,0)))</f>
        <v/>
      </c>
      <c r="CU75" s="9" t="str">
        <f aca="false">IF($B75="","",IF(Setup!$A$39="",0,IF(ISNUMBER(SEARCH(Setup!$A$39,$B75)),39,0)))</f>
        <v/>
      </c>
      <c r="CV75" s="9" t="str">
        <f aca="false">IF($B75="","",IF(Setup!$A$40="",0,IF(ISNUMBER(SEARCH(Setup!$A$40,$B75)),40,0)))</f>
        <v/>
      </c>
      <c r="CW75" s="9" t="str">
        <f aca="false">IF($B75="","",IF(Setup!$A$41="",0,IF(ISNUMBER(SEARCH(Setup!$A$41,$B75)),41,0)))</f>
        <v/>
      </c>
      <c r="CX75" s="9" t="str">
        <f aca="false">IF($B75="","",IF(Setup!$A$42="",0,IF(ISNUMBER(SEARCH(Setup!$A$42,$B75)),42,0)))</f>
        <v/>
      </c>
      <c r="CY75" s="9" t="str">
        <f aca="false">IF($B75="","",IF(Setup!$A$43="",0,IF(ISNUMBER(SEARCH(Setup!$A$43,$B75)),43,0)))</f>
        <v/>
      </c>
      <c r="CZ75" s="9" t="str">
        <f aca="false">IF($B75="","",IF(Setup!$A$44="",0,IF(ISNUMBER(SEARCH(Setup!$A$44,$B75)),44,0)))</f>
        <v/>
      </c>
      <c r="DA75" s="9" t="str">
        <f aca="false">IF($B75="","",IF(Setup!$A$45="",0,IF(ISNUMBER(SEARCH(Setup!$A$45,$B75)),45,0)))</f>
        <v/>
      </c>
      <c r="DB75" s="9" t="str">
        <f aca="false">IF($B75="","",IF(Setup!$A$46="",0,IF(ISNUMBER(SEARCH(Setup!$A$46,$B75)),46,0)))</f>
        <v/>
      </c>
      <c r="DC75" s="9" t="str">
        <f aca="false">IF($B75="","",IF(Setup!$A$47="",0,IF(ISNUMBER(SEARCH(Setup!$A$47,$B75)),47,0)))</f>
        <v/>
      </c>
      <c r="DD75" s="9" t="str">
        <f aca="false">IF($B75="","",IF(Setup!$A$48="",0,IF(ISNUMBER(SEARCH(Setup!$A$48,$B75)),48,0)))</f>
        <v/>
      </c>
      <c r="DE75" s="9" t="str">
        <f aca="false">IF($B75="","",IF(Setup!$A$49="",0,IF(ISNUMBER(SEARCH(Setup!$A$49,$B75)),49,0)))</f>
        <v/>
      </c>
      <c r="DF75" s="9" t="e">
        <f aca="false">IF($B75="",NA(),$A75)</f>
        <v>#N/A</v>
      </c>
      <c r="DG75" s="9" t="e">
        <f aca="false">IF($BI75="",NA(),$BI75)</f>
        <v>#N/A</v>
      </c>
      <c r="DH75" s="9" t="e">
        <f aca="false">IF($N75="",NA(),$N75)</f>
        <v>#N/A</v>
      </c>
      <c r="DI75" s="9" t="e">
        <f aca="false">IF(AND($D75="Drift",$N75&lt;&gt;""),$N75,NA())</f>
        <v>#N/A</v>
      </c>
      <c r="DJ75" s="9" t="str">
        <f aca="false">IF(AND($D75="Drift",$N75&lt;&gt;""),$N75,"")</f>
        <v/>
      </c>
      <c r="DK75" s="9" t="str">
        <f aca="false">IF($DJ75="","",$A75)</f>
        <v/>
      </c>
      <c r="DL75" s="9" t="e">
        <f aca="false">IF($AN75="",NA(),$AM75)</f>
        <v>#N/A</v>
      </c>
      <c r="DM75" s="9" t="e">
        <f aca="false">IF($AN75="",NA(),$AN75)</f>
        <v>#N/A</v>
      </c>
      <c r="DN75" s="9" t="e">
        <f aca="false">IF(AND($D75="Sample",$L75&lt;&gt;""),$L75,NA())</f>
        <v>#N/A</v>
      </c>
      <c r="DO75" s="9" t="e">
        <f aca="false">IF(AND($D75="Sample",$L75&lt;&gt;"",Fits!$B$98&lt;&gt;""),Fits!$B$98,NA())</f>
        <v>#N/A</v>
      </c>
      <c r="DP75" s="9" t="e">
        <f aca="false">IF($AS75="",NA(),$AS75)</f>
        <v>#N/A</v>
      </c>
      <c r="DQ75" s="9" t="e">
        <f aca="false">IF(AND($D75="Drift",$AS75="",$X75&lt;&gt;""),$X75,NA())</f>
        <v>#N/A</v>
      </c>
      <c r="DR75" s="9" t="e">
        <f aca="false">IF(AND($D75="Drift",$Z75&lt;&gt;""),$Z75,NA())</f>
        <v>#N/A</v>
      </c>
      <c r="DS75" s="9" t="e">
        <f aca="false">IF(AND(OR($D75="Sample",$D75="Check"),$AA75&lt;&gt;""),$AA75,NA())</f>
        <v>#N/A</v>
      </c>
      <c r="DT75" s="9" t="e">
        <f aca="false">IF(OR($B75="",Fits!$B$138=""),NA(),Fits!$B$138)</f>
        <v>#N/A</v>
      </c>
      <c r="DU75" s="9" t="e">
        <f aca="false">IF(OR($B75="",Fits!$B$139=""),NA(),Fits!$B$139)</f>
        <v>#N/A</v>
      </c>
      <c r="DV75" s="9" t="e">
        <f aca="false">IF($BT75="",NA(),$BT75)</f>
        <v>#N/A</v>
      </c>
      <c r="DW75" s="9" t="e">
        <f aca="false">IF($AP75="",NA(),$AO75)</f>
        <v>#N/A</v>
      </c>
      <c r="DX75" s="9" t="e">
        <f aca="false">IF($AP75="",NA(),$AP75)</f>
        <v>#N/A</v>
      </c>
      <c r="DY75" s="9" t="e">
        <f aca="false">IF(AND($D75="Sample",$P75&lt;&gt;""),$P75,NA())</f>
        <v>#N/A</v>
      </c>
      <c r="DZ75" s="9" t="e">
        <f aca="false">IF(AND($D75="Sample",$P75&lt;&gt;"",Fits!$B$105&lt;&gt;""),Fits!$B$105,NA())</f>
        <v>#N/A</v>
      </c>
      <c r="EA75" s="9" t="e">
        <f aca="false">IF($AT75="",NA(),$AT75)</f>
        <v>#N/A</v>
      </c>
      <c r="EB75" s="9" t="e">
        <f aca="false">IF(AND($D75="Drift",$AT75="",$AC75&lt;&gt;""),$AC75,NA())</f>
        <v>#N/A</v>
      </c>
      <c r="EC75" s="9" t="e">
        <f aca="false">IF(AND($D75="Drift",$AE75&lt;&gt;""),$AE75,NA())</f>
        <v>#N/A</v>
      </c>
      <c r="ED75" s="9" t="e">
        <f aca="false">IF(AND(OR($D75="Sample",$D75="Check"),$AF75&lt;&gt;""),$AF75,NA())</f>
        <v>#N/A</v>
      </c>
      <c r="EE75" s="9" t="e">
        <f aca="false">IF(OR($B75="",Fits!$B$158=""),NA(),Fits!$B$158)</f>
        <v>#N/A</v>
      </c>
      <c r="EF75" s="9" t="e">
        <f aca="false">IF(OR($B75="",Fits!$B$159=""),NA(),Fits!$B$159)</f>
        <v>#N/A</v>
      </c>
      <c r="EG75" s="9" t="e">
        <f aca="false">IF($BW75="",NA(),$BW75)</f>
        <v>#N/A</v>
      </c>
      <c r="EH75" s="9" t="e">
        <f aca="false">IF(AND($EN75=1,ISNUMBER($N75)),$N75,NA())</f>
        <v>#N/A</v>
      </c>
      <c r="EI75" s="9" t="str">
        <f aca="false">IF($B75="","",$A75)</f>
        <v/>
      </c>
      <c r="EJ75" s="9" t="n">
        <f aca="false">IF(OR(AND(ISNUMBER($L75),Fits!$B$97&gt;0,$L75&gt;Fits!$B$97),AND(ISNUMBER($P75),Fits!$B$104&gt;0,$P75&gt;Fits!$B$104)),1,0)</f>
        <v>0</v>
      </c>
      <c r="EK75" s="9" t="n">
        <f aca="false">IF(OR($EJ74=1,$EJ73=1),1,0)</f>
        <v>0</v>
      </c>
      <c r="EL75" s="22" t="n">
        <f aca="false">IF(AND($EK75=0,ISNUMBER($N75)),$N75,$EL74)</f>
        <v>25.7</v>
      </c>
      <c r="EM75" s="9" t="str">
        <f aca="false">IF(AND($EK75=1,ISNUMBER($N75),ISNUMBER($EL75)),$N75-$EL75,"")</f>
        <v/>
      </c>
      <c r="EN75" s="9" t="n">
        <f aca="false">IF(Setup!$B$28="",0,IF(ISNUMBER($EM75),IF($EM75&gt;Setup!$B$28,1,0),0))</f>
        <v>0</v>
      </c>
      <c r="EO75" s="9" t="str">
        <f aca="false">IF($EN75=1,COUNTIF($EN$6:$EN75,1),"")</f>
        <v/>
      </c>
      <c r="EP75" s="9" t="n">
        <f aca="false">IF(AND($EJ74=1,OR($D75="Sample",$D75="Check")),1,0)</f>
        <v>0</v>
      </c>
      <c r="EQ75" s="9" t="str">
        <f aca="false">IF(ISNUMBER($BI75),IF(COUNT($BI$6:$BI75)&lt;=5,$BI75,""),"")</f>
        <v/>
      </c>
      <c r="ER75" s="9" t="n">
        <f aca="false">IF(OR(NOT(ISNUMBER($BJ75)),$EK75=1),$ER74,IF($BJ75&lt;=Setup!$B$26,IF($CP74=0,$A75,$ER74),""))</f>
        <v>27</v>
      </c>
    </row>
    <row r="76" customFormat="false" ht="15" hidden="false" customHeight="false" outlineLevel="0" collapsed="false">
      <c r="A76" s="8" t="n">
        <v>71</v>
      </c>
      <c r="B76" s="8" t="str">
        <f aca="false">IFERROR(INDEX(Raw!$B$2:$B$1001,MATCH($A76,Raw!$A$2:$A$1001,0)),"")</f>
        <v/>
      </c>
      <c r="C76" s="9" t="str">
        <f aca="false">IF($B76="","",MAX($CS76:$DE76))</f>
        <v/>
      </c>
      <c r="D76" s="8" t="str">
        <f aca="false">IF($B76="","",IF($C76=0,"Sample",INDEX(Setup!$B$37:$B$49,$C76-36)))</f>
        <v/>
      </c>
      <c r="E76" s="16" t="str">
        <f aca="false">IF($B76="","",IFERROR(IF(INDEX(Raw!$E$2:$E$1001,MATCH($A76,Raw!$A$2:$A$1001,0))=0,"",INDEX(Raw!$E$2:$E$1001,MATCH($A76,Raw!$A$2:$A$1001,0))),""))</f>
        <v/>
      </c>
      <c r="F76" s="18"/>
      <c r="G76" s="16" t="str">
        <f aca="false">IF($B76="","",IF($F76&lt;&gt;"",$F76,IF($E76="","",$E76)))</f>
        <v/>
      </c>
      <c r="H76" s="9" t="str">
        <f aca="false">IF($B76="","",SUMPRODUCT(MAX((Raw!$A$2:$A$1001=$A76)*(Raw!$R$2:$R$1001="N")*Raw!$D$2:$D$1001)))</f>
        <v/>
      </c>
      <c r="I76" s="9" t="str">
        <f aca="false">IF(OR($H76="",$H76=0),"",$A76&amp;"|N|"&amp;$H76)</f>
        <v/>
      </c>
      <c r="J76" s="9" t="str">
        <f aca="false">IF($B76="","",SUMPRODUCT(MIN((Raw!$A$2:$A$1001=$A76)*(Raw!$R$2:$R$1001="C")*Raw!$D$2:$D$1001+(1-(Raw!$A$2:$A$1001=$A76)*(Raw!$R$2:$R$1001="C"))*9999)))</f>
        <v/>
      </c>
      <c r="K76" s="9" t="str">
        <f aca="false">IF(OR($J76="",$J76=0,$J76=9999),"",$A76&amp;"|C|"&amp;$J76)</f>
        <v/>
      </c>
      <c r="L76" s="16" t="str">
        <f aca="false">IF($I76="","",IF(INDEX(Raw!$I$2:$I$1001,MATCH($I76,Raw!$S$2:$S$1001,0))&lt;&gt;0,"",INDEX(Raw!$H$2:$H$1001,MATCH($I76,Raw!$S$2:$S$1001,0))))</f>
        <v/>
      </c>
      <c r="M76" s="19" t="str">
        <f aca="false">IF($I76="","",IF(INDEX(Raw!$I$2:$I$1001,MATCH($I76,Raw!$S$2:$S$1001,0))&lt;&gt;0,"",INDEX(Raw!$F$2:$F$1001,MATCH($I76,Raw!$S$2:$S$1001,0))))</f>
        <v/>
      </c>
      <c r="N76" s="20" t="str">
        <f aca="false">IF($I76="","",IF(INDEX(Raw!$I$2:$I$1001,MATCH($I76,Raw!$S$2:$S$1001,0))&lt;&gt;0,"",INDEX(Raw!$G$2:$G$1001,MATCH($I76,Raw!$S$2:$S$1001,0))))</f>
        <v/>
      </c>
      <c r="O76" s="16" t="str">
        <f aca="false">IF($I76="","",IF(INDEX(Raw!$I$2:$I$1001,MATCH($I76,Raw!$S$2:$S$1001,0))&lt;&gt;0,"",INDEX(Raw!$N$2:$N$1001,MATCH($I76,Raw!$S$2:$S$1001,0))))</f>
        <v/>
      </c>
      <c r="P76" s="16" t="str">
        <f aca="false">IF($K76="","",IF(INDEX(Raw!$I$2:$I$1001,MATCH($K76,Raw!$S$2:$S$1001,0))&lt;&gt;0,"",INDEX(Raw!$K$2:$K$1001,MATCH($K76,Raw!$S$2:$S$1001,0))))</f>
        <v/>
      </c>
      <c r="Q76" s="19" t="str">
        <f aca="false">IF($K76="","",IF(INDEX(Raw!$I$2:$I$1001,MATCH($K76,Raw!$S$2:$S$1001,0))&lt;&gt;0,"",INDEX(Raw!$J$2:$J$1001,MATCH($K76,Raw!$S$2:$S$1001,0))))</f>
        <v/>
      </c>
      <c r="R76" s="16" t="str">
        <f aca="false">IF($K76="","",IF(INDEX(Raw!$I$2:$I$1001,MATCH($K76,Raw!$S$2:$S$1001,0))&lt;&gt;0,"",INDEX(Raw!$O$2:$O$1001,MATCH($K76,Raw!$S$2:$S$1001,0))))</f>
        <v/>
      </c>
      <c r="S76" s="21" t="str">
        <f aca="false">IF($B76="","",IF($C76=0,"",IF(INDEX(Setup!$D$37:$D$49,$C76-36)="","",INDEX(Setup!$D$37:$D$49,$C76-36))))</f>
        <v/>
      </c>
      <c r="T76" s="21" t="str">
        <f aca="false">IF($B76="","",IF($C76=0,"",IF(INDEX(Setup!$C$37:$C$49,$C76-36)="","",INDEX(Setup!$C$37:$C$49,$C76-36))))</f>
        <v/>
      </c>
      <c r="U76" s="21" t="str">
        <f aca="false">IF($B76="","",IF($C76=0,"",IF(INDEX(Setup!$F$37:$F$49,$C76-36)="","",INDEX(Setup!$F$37:$F$49,$C76-36))))</f>
        <v/>
      </c>
      <c r="V76" s="21" t="str">
        <f aca="false">IF($B76="","",IF($C76=0,"",IF(INDEX(Setup!$E$37:$E$49,$C76-36)="","",INDEX(Setup!$E$37:$E$49,$C76-36))))</f>
        <v/>
      </c>
      <c r="W76" s="16" t="str">
        <f aca="false">IF($O76="","",IF(OR(Fits!$C$5&lt;&gt;"Yes",$D76="Blank",$L76&lt;=Fits!$B$6),$O76,($L76*$O76-Fits!$B$6*Fits!$B$7)/($L76-Fits!$B$6)))</f>
        <v/>
      </c>
      <c r="X76" s="16" t="str">
        <f aca="false">IF($W76="","",$W76-Fits!$B$20*($L76-Fits!$B$16))</f>
        <v/>
      </c>
      <c r="Y76" s="22" t="str">
        <f aca="false">IF($W76="","",IF(OR(Fits!$B$38="Row",$BI76=""),$A76,$BI76))</f>
        <v/>
      </c>
      <c r="Z76" s="16" t="str">
        <f aca="false">IF($X76="","",$X76-Fits!$B$39*($Y76-Fits!$B$40))</f>
        <v/>
      </c>
      <c r="AA76" s="23" t="str">
        <f aca="false">IF(OR($Z76="",Fits!$B$55&lt;2),"",Fits!$B$56*$Z76+Fits!$B$57)</f>
        <v/>
      </c>
      <c r="AB76" s="16" t="str">
        <f aca="false">IF($R76="","",IF(OR(Fits!$C$9&lt;&gt;"Yes",$D76="Blank",$P76&lt;=Fits!$B$10),$R76,($P76*$R76-Fits!$B$10*Fits!$B$11)/($P76-Fits!$B$10)))</f>
        <v/>
      </c>
      <c r="AC76" s="16" t="str">
        <f aca="false">IF($AB76="","",$AB76-Fits!$B$28*($P76-Fits!$B$24))</f>
        <v/>
      </c>
      <c r="AD76" s="22" t="str">
        <f aca="false">IF($AB76="","",IF(OR(Fits!$B$50="Row",$BI76=""),$A76,$BI76))</f>
        <v/>
      </c>
      <c r="AE76" s="16" t="str">
        <f aca="false">IF($AC76="","",$AC76-Fits!$B$51*($AD76-Fits!$B$52))</f>
        <v/>
      </c>
      <c r="AF76" s="23" t="str">
        <f aca="false">IF(OR($AE76="",Fits!$B$62&lt;2),"",Fits!$B$63*$AE76+Fits!$B$64)</f>
        <v/>
      </c>
      <c r="AG76" s="21" t="str">
        <f aca="false">IF(OR($L76="",Fits!$B$69&lt;3),"",($L76-Fits!$B$71)/Fits!$B$70)</f>
        <v/>
      </c>
      <c r="AH76" s="21" t="str">
        <f aca="false">IF(OR($P76="",Fits!$B$75&lt;3),"",($P76-Fits!$B$77)/Fits!$B$76)</f>
        <v/>
      </c>
      <c r="AI76" s="23" t="str">
        <f aca="false">IF(OR($AG76="",$G76="",$G76=0),"",$AG76/($G76*1000)*100)</f>
        <v/>
      </c>
      <c r="AJ76" s="23" t="str">
        <f aca="false">IF(OR($AH76="",$G76="",$G76=0),"",$AH76/($G76*1000)*100)</f>
        <v/>
      </c>
      <c r="AK76" s="23" t="str">
        <f aca="false">IF(OR($AG76="",$AH76="",$AG76&lt;=0),"",($AH76/Setup!$B$52)/($AG76/Setup!$B$53))</f>
        <v/>
      </c>
      <c r="AL76" s="23" t="str">
        <f aca="false">IF(OR($AG76="",$AH76="",$AG76&lt;=0),"",$AH76/$AG76)</f>
        <v/>
      </c>
      <c r="AM76" s="9" t="str">
        <f aca="false">IF($D76="Linearity",IF($L76="","",$L76),"")</f>
        <v/>
      </c>
      <c r="AN76" s="9" t="str">
        <f aca="false">IF($D76="Linearity",IF($W76="","",$W76),"")</f>
        <v/>
      </c>
      <c r="AO76" s="9" t="str">
        <f aca="false">IF($D76="Linearity",IF($P76="","",$P76),"")</f>
        <v/>
      </c>
      <c r="AP76" s="9" t="str">
        <f aca="false">IF($D76="Linearity",IF($AB76="","",$AB76),"")</f>
        <v/>
      </c>
      <c r="AQ76" s="9" t="str">
        <f aca="false">IF($D76="Drift",IF($A76&lt;IF(Setup!$B$14="",0,Setup!$B$14),"",$A76),"")</f>
        <v/>
      </c>
      <c r="AR76" s="9" t="str">
        <f aca="false">IF($D76="Drift",IF($A76&lt;IF(Setup!$B$14="",0,Setup!$B$14),"",IF($BI76="","",$BI76)),"")</f>
        <v/>
      </c>
      <c r="AS76" s="9" t="str">
        <f aca="false">IF($D76="Drift",IF($A76&lt;IF(Setup!$B$14="",0,Setup!$B$14),"",IF(OR($X76="",$BX76=1),"",$X76)),"")</f>
        <v/>
      </c>
      <c r="AT76" s="9" t="str">
        <f aca="false">IF($D76="Drift",IF($A76&lt;IF(Setup!$B$14="",0,Setup!$B$14),"",IF(OR($AC76="",$BY76=1),"",$AC76)),"")</f>
        <v/>
      </c>
      <c r="AU76" s="9" t="str">
        <f aca="false">IF($D76="Anchor",IF(OR($Z76="",$S76=""),"",$Z76),"")</f>
        <v/>
      </c>
      <c r="AV76" s="9" t="str">
        <f aca="false">IF($D76="Anchor",IF(OR($Z76="",$S76=""),"",$S76),"")</f>
        <v/>
      </c>
      <c r="AW76" s="9" t="str">
        <f aca="false">IF($D76="Anchor",IF(OR($AE76="",$T76=""),"",$AE76),"")</f>
        <v/>
      </c>
      <c r="AX76" s="9" t="str">
        <f aca="false">IF($D76="Anchor",IF(OR($AE76="",$T76=""),"",$T76),"")</f>
        <v/>
      </c>
      <c r="AY76" s="9" t="str">
        <f aca="false">IF(OR($D76="Blank",$D76="Exclude",$D76="Sample",$D76="",$G76="",$U76="",$L76=""),"",$G76*1000*$U76/100)</f>
        <v/>
      </c>
      <c r="AZ76" s="9" t="str">
        <f aca="false">IF($AY76="","",$L76)</f>
        <v/>
      </c>
      <c r="BA76" s="9" t="str">
        <f aca="false">IF(OR($D76="Blank",$D76="Exclude",$D76="Sample",$D76="",$G76="",$V76="",$P76=""),"",$G76*1000*$V76/100)</f>
        <v/>
      </c>
      <c r="BB76" s="9" t="str">
        <f aca="false">IF($BA76="","",$P76)</f>
        <v/>
      </c>
      <c r="BC76" s="9" t="str">
        <f aca="false">IF(AND($D76="Blank",$L76&lt;&gt;""),$O76,"")</f>
        <v/>
      </c>
      <c r="BD76" s="9" t="str">
        <f aca="false">IF($BC76="","",$L76)</f>
        <v/>
      </c>
      <c r="BE76" s="9" t="str">
        <f aca="false">IF(AND($D76="Blank",$P76&lt;&gt;""),$R76,"")</f>
        <v/>
      </c>
      <c r="BF76" s="9" t="str">
        <f aca="false">IF($BE76="","",$P76)</f>
        <v/>
      </c>
      <c r="BG76" s="9" t="str">
        <f aca="false">IF(AND($D76="Drift",$BX76&lt;&gt;1),IF($AA76="","",$AA76),"")</f>
        <v/>
      </c>
      <c r="BH76" s="9" t="str">
        <f aca="false">IF(AND($D76="Drift",$BY76&lt;&gt;1),IF($AF76="","",$AF76),"")</f>
        <v/>
      </c>
      <c r="BI76" s="20" t="str">
        <f aca="false">IF($B76="","",IFERROR(INDEX(Raw!$G$2:$G$1001,MATCH($A76&amp;"|N|"&amp;SUMPRODUCT(MAX((Raw!$A$2:$A$1001=$A76)*(Raw!$R$2:$R$1001="N")*(Raw!$I$2:$I$1001=1)*Raw!$D$2:$D$1001)),Raw!$S$2:$S$1001,0)),""))</f>
        <v/>
      </c>
      <c r="BJ76" s="21" t="str">
        <f aca="false">IF(OR($BI76="",Fits!$B$85&lt;=0),"",($BI76-Fits!$B$83)/Fits!$B$85)</f>
        <v/>
      </c>
      <c r="BK76" s="9" t="str">
        <f aca="false">IF($AS76="","",IF($A76&gt;=Fits!$B$86,"",$A76))</f>
        <v/>
      </c>
      <c r="BL76" s="9" t="str">
        <f aca="false">IF($BK76="","",$X76)</f>
        <v/>
      </c>
      <c r="BM76" s="9" t="str">
        <f aca="false">IF($AS76="","",IF($A76&lt;Fits!$B$86,"",$A76))</f>
        <v/>
      </c>
      <c r="BN76" s="9" t="str">
        <f aca="false">IF($BM76="","",$X76)</f>
        <v/>
      </c>
      <c r="BO76" s="9" t="str">
        <f aca="false">IF(AND($D76="Drift",$BX76&lt;&gt;1),IF($O76="","",$O76),"")</f>
        <v/>
      </c>
      <c r="BP76" s="9" t="str">
        <f aca="false">IF(AND($D76="Drift",$BX76&lt;&gt;1),IF($W76="","",$W76),"")</f>
        <v/>
      </c>
      <c r="BQ76" s="9" t="str">
        <f aca="false">IF(AND($D76="Drift",$BX76&lt;&gt;1),IF($X76="","",$X76),"")</f>
        <v/>
      </c>
      <c r="BR76" s="9" t="str">
        <f aca="false">IF(AND($D76="Drift",$BX76&lt;&gt;1),IF($Z76="","",$Z76),"")</f>
        <v/>
      </c>
      <c r="BS76" s="9" t="str">
        <f aca="false">IF(OR($B76="",$H76=""),"",SUMPRODUCT(MIN((Raw!$A$2:$A$1001=$A76)*(Raw!$R$2:$R$1001="N")*(Raw!$I$2:$I$1001=0)*(Raw!$D$2:$D$1001&lt;$H76)*Raw!$D$2:$D$1001+(1-(Raw!$A$2:$A$1001=$A76)*(Raw!$R$2:$R$1001="N")*(Raw!$I$2:$I$1001=0)*(Raw!$D$2:$D$1001&lt;$H76))*9999)))</f>
        <v/>
      </c>
      <c r="BT76" s="16" t="str">
        <f aca="false">IF(OR($BS76="",$BS76=9999,$BS76=0),"",IFERROR(INDEX(Raw!$N$2:$N$1001,MATCH($A76&amp;"|N|"&amp;$BS76,Raw!$S$2:$S$1001,0)),""))</f>
        <v/>
      </c>
      <c r="BU76" s="9" t="str">
        <f aca="false">IF($B76="","",SUMPRODUCT(MIN((Raw!$A$2:$A$1001=$A76)*(Raw!$R$2:$R$1001="C")*(Raw!$I$2:$I$1001=1)*Raw!$D$2:$D$1001+(1-(Raw!$A$2:$A$1001=$A76)*(Raw!$R$2:$R$1001="C")*(Raw!$I$2:$I$1001=1))*9999)))</f>
        <v/>
      </c>
      <c r="BV76" s="9" t="str">
        <f aca="false">IF(OR($BU76="",$BU76=9999),"",SUMPRODUCT(MIN((Raw!$A$2:$A$1001=$A76)*(Raw!$R$2:$R$1001="C")*(Raw!$I$2:$I$1001=0)*(Raw!$D$2:$D$1001&gt;$BU76)*Raw!$D$2:$D$1001+(1-(Raw!$A$2:$A$1001=$A76)*(Raw!$R$2:$R$1001="C")*(Raw!$I$2:$I$1001=0)*(Raw!$D$2:$D$1001&gt;$BU76))*9999)))</f>
        <v/>
      </c>
      <c r="BW76" s="16" t="str">
        <f aca="false">IF(OR($BV76="",$BV76=9999,$BV76=0),"",IFERROR(INDEX(Raw!$O$2:$O$1001,MATCH($A76&amp;"|C|"&amp;$BV76,Raw!$S$2:$S$1001,0)),""))</f>
        <v/>
      </c>
      <c r="BX76" s="9" t="str">
        <f aca="false">IF($B76="","",IF(ISNUMBER(SEARCH(","&amp;$A76&amp;",",","&amp;SUBSTITUTE(Setup!$B$16," ","")&amp;",")),1,0))</f>
        <v/>
      </c>
      <c r="BY76" s="9" t="str">
        <f aca="false">IF($B76="","",IF(ISNUMBER(SEARCH(","&amp;$A76&amp;",",","&amp;SUBSTITUTE(Setup!$B$17," ","")&amp;",")),1,0))</f>
        <v/>
      </c>
      <c r="BZ76" s="22" t="str">
        <f aca="false">IF($AS76="","",IF(Fits!$B$38="Row",$AQ76,IF($AR76="","",$AR76)))</f>
        <v/>
      </c>
      <c r="CA76" s="22" t="str">
        <f aca="false">IF($AT76="","",IF(Fits!$B$50="Row",$AQ76,IF($AR76="","",$AR76)))</f>
        <v/>
      </c>
      <c r="CB76" s="20" t="str">
        <f aca="false">IF(OR($D76&lt;&gt;"Drift",$X76="",$A76&lt;IF(Setup!$B$14="",0,Setup!$B$14),Fits!$B$107&lt;3,Fits!$B$110="",Fits!$B$109=0,IF(Fits!$B$38="Row",$AQ76,$AR76)=""),"",IF($BX76=1,IF(OR(Fits!$B$111="",Fits!$B$111=0),"",($X76-(IF(Fits!$B$38="Row",Fits!$B$32,Fits!$B$35)*IF(Fits!$B$38="Row",$AQ76,$AR76)+Fits!$B$110))/(Fits!$B$111*SQRT(1+(1/Fits!$B$107+(IF(Fits!$B$38="Row",$AQ76,$AR76)-Fits!$B$108)^2/Fits!$B$109)))),IF(OR(Fits!$B$107&lt;4,(1/Fits!$B$107+(IF(Fits!$B$38="Row",$AQ76,$AR76)-Fits!$B$108)^2/Fits!$B$109)&gt;=1),"",IF((Fits!$B$116-($X76-(IF(Fits!$B$38="Row",Fits!$B$32,Fits!$B$35)*IF(Fits!$B$38="Row",$AQ76,$AR76)+Fits!$B$110))^2/(1-(1/Fits!$B$107+(IF(Fits!$B$38="Row",$AQ76,$AR76)-Fits!$B$108)^2/Fits!$B$109)))&lt;=0,"",($X76-(IF(Fits!$B$38="Row",Fits!$B$32,Fits!$B$35)*IF(Fits!$B$38="Row",$AQ76,$AR76)+Fits!$B$110))/(SQRT((Fits!$B$116-($X76-(IF(Fits!$B$38="Row",Fits!$B$32,Fits!$B$35)*IF(Fits!$B$38="Row",$AQ76,$AR76)+Fits!$B$110))^2/(1-(1/Fits!$B$107+(IF(Fits!$B$38="Row",$AQ76,$AR76)-Fits!$B$108)^2/Fits!$B$109)))/(Fits!$B$107-3))*SQRT(1-(1/Fits!$B$107+(IF(Fits!$B$38="Row",$AQ76,$AR76)-Fits!$B$108)^2/Fits!$B$109)))))))</f>
        <v/>
      </c>
      <c r="CC76" s="20" t="str">
        <f aca="false">IF(OR($D76&lt;&gt;"Drift",$AC76="",$A76&lt;IF(Setup!$B$14="",0,Setup!$B$14),Fits!$B$120&lt;3,Fits!$B$123="",Fits!$B$122=0,IF(Fits!$B$50="Row",$AQ76,$AR76)=""),"",IF($BY76=1,IF(OR(Fits!$B$124="",Fits!$B$124=0),"",($AC76-(IF(Fits!$B$50="Row",Fits!$B$44,Fits!$B$47)*IF(Fits!$B$50="Row",$AQ76,$AR76)+Fits!$B$123))/(Fits!$B$124*SQRT(1+(1/Fits!$B$120+(IF(Fits!$B$50="Row",$AQ76,$AR76)-Fits!$B$121)^2/Fits!$B$122)))),IF(OR(Fits!$B$120&lt;4,(1/Fits!$B$120+(IF(Fits!$B$50="Row",$AQ76,$AR76)-Fits!$B$121)^2/Fits!$B$122)&gt;=1),"",IF((Fits!$B$129-($AC76-(IF(Fits!$B$50="Row",Fits!$B$44,Fits!$B$47)*IF(Fits!$B$50="Row",$AQ76,$AR76)+Fits!$B$123))^2/(1-(1/Fits!$B$120+(IF(Fits!$B$50="Row",$AQ76,$AR76)-Fits!$B$121)^2/Fits!$B$122)))&lt;=0,"",($AC76-(IF(Fits!$B$50="Row",Fits!$B$44,Fits!$B$47)*IF(Fits!$B$50="Row",$AQ76,$AR76)+Fits!$B$123))/(SQRT((Fits!$B$129-($AC76-(IF(Fits!$B$50="Row",Fits!$B$44,Fits!$B$47)*IF(Fits!$B$50="Row",$AQ76,$AR76)+Fits!$B$123))^2/(1-(1/Fits!$B$120+(IF(Fits!$B$50="Row",$AQ76,$AR76)-Fits!$B$121)^2/Fits!$B$122)))/(Fits!$B$120-3))*SQRT(1-(1/Fits!$B$120+(IF(Fits!$B$50="Row",$AQ76,$AR76)-Fits!$B$121)^2/Fits!$B$122)))))))</f>
        <v/>
      </c>
      <c r="CD76" s="9" t="str">
        <f aca="false">IF($AU76="","",1)</f>
        <v/>
      </c>
      <c r="CE76" s="24" t="str">
        <f aca="false">IF($AU76="","",$AU76-Fits!$B$133)</f>
        <v/>
      </c>
      <c r="CF76" s="24" t="str">
        <f aca="false">IF($AU76="","",($AV76-(Fits!$B$56*$AU76+Fits!$B$57))-Fits!$B$56*($AU76-Fits!$B$133))</f>
        <v/>
      </c>
      <c r="CG76" s="25" t="str">
        <f aca="false">IF($AU76="","",$AU76^2)</f>
        <v/>
      </c>
      <c r="CH76" s="9" t="str">
        <f aca="false">IF($AW76="","",1)</f>
        <v/>
      </c>
      <c r="CI76" s="24" t="str">
        <f aca="false">IF($AW76="","",$AW76-Fits!$B$153)</f>
        <v/>
      </c>
      <c r="CJ76" s="24" t="str">
        <f aca="false">IF($AW76="","",($AX76-(Fits!$B$63*$AW76+Fits!$B$64))-Fits!$B$63*($AW76-Fits!$B$153))</f>
        <v/>
      </c>
      <c r="CK76" s="25" t="str">
        <f aca="false">IF($AW76="","",$AW76^2)</f>
        <v/>
      </c>
      <c r="CL76" s="26" t="str">
        <f aca="false">IF(OR($Z76="",Fits!$B$55&lt;3,Fits!$B$133="",Fits!$B$134="",Fits!$B$134=0,Fits!$B$136=""),"",SQRT((Fits!$B$136*Fits!$B$56)^2+SUMPRODUCT((Fits!$J$163:$J$175*(Fits!$B$163:$B$175/Fits!$B$55+Fits!$H$163:$H$175*($Z76-Fits!$B$133)/Fits!$B$134))^2)+SUMPRODUCT((Fits!$G$163:$G$175*(($Z76-Fits!$B$133)*Fits!$I$163:$I$175/Fits!$B$134-Fits!$B$163:$B$175*Fits!$B$56/Fits!$B$55))^2)))</f>
        <v/>
      </c>
      <c r="CM76" s="26" t="str">
        <f aca="false">IF($CL76="","",Setup!$B$32*$CL76)</f>
        <v/>
      </c>
      <c r="CN76" s="26" t="str">
        <f aca="false">IF(OR($AE76="",Fits!$B$62&lt;3,Fits!$B$153="",Fits!$B$154="",Fits!$B$154=0,Fits!$B$156=""),"",SQRT((Fits!$B$156*Fits!$B$63)^2+SUMPRODUCT((Fits!$J$183:$J$195*(Fits!$B$183:$B$195/Fits!$B$62+Fits!$H$183:$H$195*($AE76-Fits!$B$153)/Fits!$B$154))^2)+SUMPRODUCT((Fits!$G$183:$G$195*(($AE76-Fits!$B$153)*Fits!$I$183:$I$195/Fits!$B$154-Fits!$B$183:$B$195*Fits!$B$63/Fits!$B$62))^2)))</f>
        <v/>
      </c>
      <c r="CO76" s="26" t="str">
        <f aca="false">IF($CN76="","",Setup!$B$32*$CN76)</f>
        <v/>
      </c>
      <c r="CP76" s="9" t="n">
        <f aca="false">IF(OR(NOT(ISNUMBER($BJ76)),$EK76=1),$CP75,IF($BJ76&lt;=Setup!$B$26,$CP75+1,0))</f>
        <v>26</v>
      </c>
      <c r="CQ76" s="9" t="str">
        <f aca="false">IF($BT76="","",$A76)</f>
        <v/>
      </c>
      <c r="CR76" s="9" t="str">
        <f aca="false">IF($BW76="","",$A76)</f>
        <v/>
      </c>
      <c r="CS76" s="9" t="str">
        <f aca="false">IF($B76="","",IF(Setup!$A$37="",0,IF(ISNUMBER(SEARCH(Setup!$A$37,$B76)),37,0)))</f>
        <v/>
      </c>
      <c r="CT76" s="9" t="str">
        <f aca="false">IF($B76="","",IF(Setup!$A$38="",0,IF(ISNUMBER(SEARCH(Setup!$A$38,$B76)),38,0)))</f>
        <v/>
      </c>
      <c r="CU76" s="9" t="str">
        <f aca="false">IF($B76="","",IF(Setup!$A$39="",0,IF(ISNUMBER(SEARCH(Setup!$A$39,$B76)),39,0)))</f>
        <v/>
      </c>
      <c r="CV76" s="9" t="str">
        <f aca="false">IF($B76="","",IF(Setup!$A$40="",0,IF(ISNUMBER(SEARCH(Setup!$A$40,$B76)),40,0)))</f>
        <v/>
      </c>
      <c r="CW76" s="9" t="str">
        <f aca="false">IF($B76="","",IF(Setup!$A$41="",0,IF(ISNUMBER(SEARCH(Setup!$A$41,$B76)),41,0)))</f>
        <v/>
      </c>
      <c r="CX76" s="9" t="str">
        <f aca="false">IF($B76="","",IF(Setup!$A$42="",0,IF(ISNUMBER(SEARCH(Setup!$A$42,$B76)),42,0)))</f>
        <v/>
      </c>
      <c r="CY76" s="9" t="str">
        <f aca="false">IF($B76="","",IF(Setup!$A$43="",0,IF(ISNUMBER(SEARCH(Setup!$A$43,$B76)),43,0)))</f>
        <v/>
      </c>
      <c r="CZ76" s="9" t="str">
        <f aca="false">IF($B76="","",IF(Setup!$A$44="",0,IF(ISNUMBER(SEARCH(Setup!$A$44,$B76)),44,0)))</f>
        <v/>
      </c>
      <c r="DA76" s="9" t="str">
        <f aca="false">IF($B76="","",IF(Setup!$A$45="",0,IF(ISNUMBER(SEARCH(Setup!$A$45,$B76)),45,0)))</f>
        <v/>
      </c>
      <c r="DB76" s="9" t="str">
        <f aca="false">IF($B76="","",IF(Setup!$A$46="",0,IF(ISNUMBER(SEARCH(Setup!$A$46,$B76)),46,0)))</f>
        <v/>
      </c>
      <c r="DC76" s="9" t="str">
        <f aca="false">IF($B76="","",IF(Setup!$A$47="",0,IF(ISNUMBER(SEARCH(Setup!$A$47,$B76)),47,0)))</f>
        <v/>
      </c>
      <c r="DD76" s="9" t="str">
        <f aca="false">IF($B76="","",IF(Setup!$A$48="",0,IF(ISNUMBER(SEARCH(Setup!$A$48,$B76)),48,0)))</f>
        <v/>
      </c>
      <c r="DE76" s="9" t="str">
        <f aca="false">IF($B76="","",IF(Setup!$A$49="",0,IF(ISNUMBER(SEARCH(Setup!$A$49,$B76)),49,0)))</f>
        <v/>
      </c>
      <c r="DF76" s="9" t="e">
        <f aca="false">IF($B76="",NA(),$A76)</f>
        <v>#N/A</v>
      </c>
      <c r="DG76" s="9" t="e">
        <f aca="false">IF($BI76="",NA(),$BI76)</f>
        <v>#N/A</v>
      </c>
      <c r="DH76" s="9" t="e">
        <f aca="false">IF($N76="",NA(),$N76)</f>
        <v>#N/A</v>
      </c>
      <c r="DI76" s="9" t="e">
        <f aca="false">IF(AND($D76="Drift",$N76&lt;&gt;""),$N76,NA())</f>
        <v>#N/A</v>
      </c>
      <c r="DJ76" s="9" t="str">
        <f aca="false">IF(AND($D76="Drift",$N76&lt;&gt;""),$N76,"")</f>
        <v/>
      </c>
      <c r="DK76" s="9" t="str">
        <f aca="false">IF($DJ76="","",$A76)</f>
        <v/>
      </c>
      <c r="DL76" s="9" t="e">
        <f aca="false">IF($AN76="",NA(),$AM76)</f>
        <v>#N/A</v>
      </c>
      <c r="DM76" s="9" t="e">
        <f aca="false">IF($AN76="",NA(),$AN76)</f>
        <v>#N/A</v>
      </c>
      <c r="DN76" s="9" t="e">
        <f aca="false">IF(AND($D76="Sample",$L76&lt;&gt;""),$L76,NA())</f>
        <v>#N/A</v>
      </c>
      <c r="DO76" s="9" t="e">
        <f aca="false">IF(AND($D76="Sample",$L76&lt;&gt;"",Fits!$B$98&lt;&gt;""),Fits!$B$98,NA())</f>
        <v>#N/A</v>
      </c>
      <c r="DP76" s="9" t="e">
        <f aca="false">IF($AS76="",NA(),$AS76)</f>
        <v>#N/A</v>
      </c>
      <c r="DQ76" s="9" t="e">
        <f aca="false">IF(AND($D76="Drift",$AS76="",$X76&lt;&gt;""),$X76,NA())</f>
        <v>#N/A</v>
      </c>
      <c r="DR76" s="9" t="e">
        <f aca="false">IF(AND($D76="Drift",$Z76&lt;&gt;""),$Z76,NA())</f>
        <v>#N/A</v>
      </c>
      <c r="DS76" s="9" t="e">
        <f aca="false">IF(AND(OR($D76="Sample",$D76="Check"),$AA76&lt;&gt;""),$AA76,NA())</f>
        <v>#N/A</v>
      </c>
      <c r="DT76" s="9" t="e">
        <f aca="false">IF(OR($B76="",Fits!$B$138=""),NA(),Fits!$B$138)</f>
        <v>#N/A</v>
      </c>
      <c r="DU76" s="9" t="e">
        <f aca="false">IF(OR($B76="",Fits!$B$139=""),NA(),Fits!$B$139)</f>
        <v>#N/A</v>
      </c>
      <c r="DV76" s="9" t="e">
        <f aca="false">IF($BT76="",NA(),$BT76)</f>
        <v>#N/A</v>
      </c>
      <c r="DW76" s="9" t="e">
        <f aca="false">IF($AP76="",NA(),$AO76)</f>
        <v>#N/A</v>
      </c>
      <c r="DX76" s="9" t="e">
        <f aca="false">IF($AP76="",NA(),$AP76)</f>
        <v>#N/A</v>
      </c>
      <c r="DY76" s="9" t="e">
        <f aca="false">IF(AND($D76="Sample",$P76&lt;&gt;""),$P76,NA())</f>
        <v>#N/A</v>
      </c>
      <c r="DZ76" s="9" t="e">
        <f aca="false">IF(AND($D76="Sample",$P76&lt;&gt;"",Fits!$B$105&lt;&gt;""),Fits!$B$105,NA())</f>
        <v>#N/A</v>
      </c>
      <c r="EA76" s="9" t="e">
        <f aca="false">IF($AT76="",NA(),$AT76)</f>
        <v>#N/A</v>
      </c>
      <c r="EB76" s="9" t="e">
        <f aca="false">IF(AND($D76="Drift",$AT76="",$AC76&lt;&gt;""),$AC76,NA())</f>
        <v>#N/A</v>
      </c>
      <c r="EC76" s="9" t="e">
        <f aca="false">IF(AND($D76="Drift",$AE76&lt;&gt;""),$AE76,NA())</f>
        <v>#N/A</v>
      </c>
      <c r="ED76" s="9" t="e">
        <f aca="false">IF(AND(OR($D76="Sample",$D76="Check"),$AF76&lt;&gt;""),$AF76,NA())</f>
        <v>#N/A</v>
      </c>
      <c r="EE76" s="9" t="e">
        <f aca="false">IF(OR($B76="",Fits!$B$158=""),NA(),Fits!$B$158)</f>
        <v>#N/A</v>
      </c>
      <c r="EF76" s="9" t="e">
        <f aca="false">IF(OR($B76="",Fits!$B$159=""),NA(),Fits!$B$159)</f>
        <v>#N/A</v>
      </c>
      <c r="EG76" s="9" t="e">
        <f aca="false">IF($BW76="",NA(),$BW76)</f>
        <v>#N/A</v>
      </c>
      <c r="EH76" s="9" t="e">
        <f aca="false">IF(AND($EN76=1,ISNUMBER($N76)),$N76,NA())</f>
        <v>#N/A</v>
      </c>
      <c r="EI76" s="9" t="str">
        <f aca="false">IF($B76="","",$A76)</f>
        <v/>
      </c>
      <c r="EJ76" s="9" t="n">
        <f aca="false">IF(OR(AND(ISNUMBER($L76),Fits!$B$97&gt;0,$L76&gt;Fits!$B$97),AND(ISNUMBER($P76),Fits!$B$104&gt;0,$P76&gt;Fits!$B$104)),1,0)</f>
        <v>0</v>
      </c>
      <c r="EK76" s="9" t="n">
        <f aca="false">IF(OR($EJ75=1,$EJ74=1),1,0)</f>
        <v>0</v>
      </c>
      <c r="EL76" s="22" t="n">
        <f aca="false">IF(AND($EK76=0,ISNUMBER($N76)),$N76,$EL75)</f>
        <v>25.7</v>
      </c>
      <c r="EM76" s="9" t="str">
        <f aca="false">IF(AND($EK76=1,ISNUMBER($N76),ISNUMBER($EL76)),$N76-$EL76,"")</f>
        <v/>
      </c>
      <c r="EN76" s="9" t="n">
        <f aca="false">IF(Setup!$B$28="",0,IF(ISNUMBER($EM76),IF($EM76&gt;Setup!$B$28,1,0),0))</f>
        <v>0</v>
      </c>
      <c r="EO76" s="9" t="str">
        <f aca="false">IF($EN76=1,COUNTIF($EN$6:$EN76,1),"")</f>
        <v/>
      </c>
      <c r="EP76" s="9" t="n">
        <f aca="false">IF(AND($EJ75=1,OR($D76="Sample",$D76="Check")),1,0)</f>
        <v>0</v>
      </c>
      <c r="EQ76" s="9" t="str">
        <f aca="false">IF(ISNUMBER($BI76),IF(COUNT($BI$6:$BI76)&lt;=5,$BI76,""),"")</f>
        <v/>
      </c>
      <c r="ER76" s="9" t="n">
        <f aca="false">IF(OR(NOT(ISNUMBER($BJ76)),$EK76=1),$ER75,IF($BJ76&lt;=Setup!$B$26,IF($CP75=0,$A76,$ER75),""))</f>
        <v>27</v>
      </c>
    </row>
    <row r="77" customFormat="false" ht="15" hidden="false" customHeight="false" outlineLevel="0" collapsed="false">
      <c r="A77" s="8" t="n">
        <v>72</v>
      </c>
      <c r="B77" s="8" t="str">
        <f aca="false">IFERROR(INDEX(Raw!$B$2:$B$1001,MATCH($A77,Raw!$A$2:$A$1001,0)),"")</f>
        <v/>
      </c>
      <c r="C77" s="9" t="str">
        <f aca="false">IF($B77="","",MAX($CS77:$DE77))</f>
        <v/>
      </c>
      <c r="D77" s="8" t="str">
        <f aca="false">IF($B77="","",IF($C77=0,"Sample",INDEX(Setup!$B$37:$B$49,$C77-36)))</f>
        <v/>
      </c>
      <c r="E77" s="16" t="str">
        <f aca="false">IF($B77="","",IFERROR(IF(INDEX(Raw!$E$2:$E$1001,MATCH($A77,Raw!$A$2:$A$1001,0))=0,"",INDEX(Raw!$E$2:$E$1001,MATCH($A77,Raw!$A$2:$A$1001,0))),""))</f>
        <v/>
      </c>
      <c r="F77" s="18"/>
      <c r="G77" s="16" t="str">
        <f aca="false">IF($B77="","",IF($F77&lt;&gt;"",$F77,IF($E77="","",$E77)))</f>
        <v/>
      </c>
      <c r="H77" s="9" t="str">
        <f aca="false">IF($B77="","",SUMPRODUCT(MAX((Raw!$A$2:$A$1001=$A77)*(Raw!$R$2:$R$1001="N")*Raw!$D$2:$D$1001)))</f>
        <v/>
      </c>
      <c r="I77" s="9" t="str">
        <f aca="false">IF(OR($H77="",$H77=0),"",$A77&amp;"|N|"&amp;$H77)</f>
        <v/>
      </c>
      <c r="J77" s="9" t="str">
        <f aca="false">IF($B77="","",SUMPRODUCT(MIN((Raw!$A$2:$A$1001=$A77)*(Raw!$R$2:$R$1001="C")*Raw!$D$2:$D$1001+(1-(Raw!$A$2:$A$1001=$A77)*(Raw!$R$2:$R$1001="C"))*9999)))</f>
        <v/>
      </c>
      <c r="K77" s="9" t="str">
        <f aca="false">IF(OR($J77="",$J77=0,$J77=9999),"",$A77&amp;"|C|"&amp;$J77)</f>
        <v/>
      </c>
      <c r="L77" s="16" t="str">
        <f aca="false">IF($I77="","",IF(INDEX(Raw!$I$2:$I$1001,MATCH($I77,Raw!$S$2:$S$1001,0))&lt;&gt;0,"",INDEX(Raw!$H$2:$H$1001,MATCH($I77,Raw!$S$2:$S$1001,0))))</f>
        <v/>
      </c>
      <c r="M77" s="19" t="str">
        <f aca="false">IF($I77="","",IF(INDEX(Raw!$I$2:$I$1001,MATCH($I77,Raw!$S$2:$S$1001,0))&lt;&gt;0,"",INDEX(Raw!$F$2:$F$1001,MATCH($I77,Raw!$S$2:$S$1001,0))))</f>
        <v/>
      </c>
      <c r="N77" s="20" t="str">
        <f aca="false">IF($I77="","",IF(INDEX(Raw!$I$2:$I$1001,MATCH($I77,Raw!$S$2:$S$1001,0))&lt;&gt;0,"",INDEX(Raw!$G$2:$G$1001,MATCH($I77,Raw!$S$2:$S$1001,0))))</f>
        <v/>
      </c>
      <c r="O77" s="16" t="str">
        <f aca="false">IF($I77="","",IF(INDEX(Raw!$I$2:$I$1001,MATCH($I77,Raw!$S$2:$S$1001,0))&lt;&gt;0,"",INDEX(Raw!$N$2:$N$1001,MATCH($I77,Raw!$S$2:$S$1001,0))))</f>
        <v/>
      </c>
      <c r="P77" s="16" t="str">
        <f aca="false">IF($K77="","",IF(INDEX(Raw!$I$2:$I$1001,MATCH($K77,Raw!$S$2:$S$1001,0))&lt;&gt;0,"",INDEX(Raw!$K$2:$K$1001,MATCH($K77,Raw!$S$2:$S$1001,0))))</f>
        <v/>
      </c>
      <c r="Q77" s="19" t="str">
        <f aca="false">IF($K77="","",IF(INDEX(Raw!$I$2:$I$1001,MATCH($K77,Raw!$S$2:$S$1001,0))&lt;&gt;0,"",INDEX(Raw!$J$2:$J$1001,MATCH($K77,Raw!$S$2:$S$1001,0))))</f>
        <v/>
      </c>
      <c r="R77" s="16" t="str">
        <f aca="false">IF($K77="","",IF(INDEX(Raw!$I$2:$I$1001,MATCH($K77,Raw!$S$2:$S$1001,0))&lt;&gt;0,"",INDEX(Raw!$O$2:$O$1001,MATCH($K77,Raw!$S$2:$S$1001,0))))</f>
        <v/>
      </c>
      <c r="S77" s="21" t="str">
        <f aca="false">IF($B77="","",IF($C77=0,"",IF(INDEX(Setup!$D$37:$D$49,$C77-36)="","",INDEX(Setup!$D$37:$D$49,$C77-36))))</f>
        <v/>
      </c>
      <c r="T77" s="21" t="str">
        <f aca="false">IF($B77="","",IF($C77=0,"",IF(INDEX(Setup!$C$37:$C$49,$C77-36)="","",INDEX(Setup!$C$37:$C$49,$C77-36))))</f>
        <v/>
      </c>
      <c r="U77" s="21" t="str">
        <f aca="false">IF($B77="","",IF($C77=0,"",IF(INDEX(Setup!$F$37:$F$49,$C77-36)="","",INDEX(Setup!$F$37:$F$49,$C77-36))))</f>
        <v/>
      </c>
      <c r="V77" s="21" t="str">
        <f aca="false">IF($B77="","",IF($C77=0,"",IF(INDEX(Setup!$E$37:$E$49,$C77-36)="","",INDEX(Setup!$E$37:$E$49,$C77-36))))</f>
        <v/>
      </c>
      <c r="W77" s="16" t="str">
        <f aca="false">IF($O77="","",IF(OR(Fits!$C$5&lt;&gt;"Yes",$D77="Blank",$L77&lt;=Fits!$B$6),$O77,($L77*$O77-Fits!$B$6*Fits!$B$7)/($L77-Fits!$B$6)))</f>
        <v/>
      </c>
      <c r="X77" s="16" t="str">
        <f aca="false">IF($W77="","",$W77-Fits!$B$20*($L77-Fits!$B$16))</f>
        <v/>
      </c>
      <c r="Y77" s="22" t="str">
        <f aca="false">IF($W77="","",IF(OR(Fits!$B$38="Row",$BI77=""),$A77,$BI77))</f>
        <v/>
      </c>
      <c r="Z77" s="16" t="str">
        <f aca="false">IF($X77="","",$X77-Fits!$B$39*($Y77-Fits!$B$40))</f>
        <v/>
      </c>
      <c r="AA77" s="23" t="str">
        <f aca="false">IF(OR($Z77="",Fits!$B$55&lt;2),"",Fits!$B$56*$Z77+Fits!$B$57)</f>
        <v/>
      </c>
      <c r="AB77" s="16" t="str">
        <f aca="false">IF($R77="","",IF(OR(Fits!$C$9&lt;&gt;"Yes",$D77="Blank",$P77&lt;=Fits!$B$10),$R77,($P77*$R77-Fits!$B$10*Fits!$B$11)/($P77-Fits!$B$10)))</f>
        <v/>
      </c>
      <c r="AC77" s="16" t="str">
        <f aca="false">IF($AB77="","",$AB77-Fits!$B$28*($P77-Fits!$B$24))</f>
        <v/>
      </c>
      <c r="AD77" s="22" t="str">
        <f aca="false">IF($AB77="","",IF(OR(Fits!$B$50="Row",$BI77=""),$A77,$BI77))</f>
        <v/>
      </c>
      <c r="AE77" s="16" t="str">
        <f aca="false">IF($AC77="","",$AC77-Fits!$B$51*($AD77-Fits!$B$52))</f>
        <v/>
      </c>
      <c r="AF77" s="23" t="str">
        <f aca="false">IF(OR($AE77="",Fits!$B$62&lt;2),"",Fits!$B$63*$AE77+Fits!$B$64)</f>
        <v/>
      </c>
      <c r="AG77" s="21" t="str">
        <f aca="false">IF(OR($L77="",Fits!$B$69&lt;3),"",($L77-Fits!$B$71)/Fits!$B$70)</f>
        <v/>
      </c>
      <c r="AH77" s="21" t="str">
        <f aca="false">IF(OR($P77="",Fits!$B$75&lt;3),"",($P77-Fits!$B$77)/Fits!$B$76)</f>
        <v/>
      </c>
      <c r="AI77" s="23" t="str">
        <f aca="false">IF(OR($AG77="",$G77="",$G77=0),"",$AG77/($G77*1000)*100)</f>
        <v/>
      </c>
      <c r="AJ77" s="23" t="str">
        <f aca="false">IF(OR($AH77="",$G77="",$G77=0),"",$AH77/($G77*1000)*100)</f>
        <v/>
      </c>
      <c r="AK77" s="23" t="str">
        <f aca="false">IF(OR($AG77="",$AH77="",$AG77&lt;=0),"",($AH77/Setup!$B$52)/($AG77/Setup!$B$53))</f>
        <v/>
      </c>
      <c r="AL77" s="23" t="str">
        <f aca="false">IF(OR($AG77="",$AH77="",$AG77&lt;=0),"",$AH77/$AG77)</f>
        <v/>
      </c>
      <c r="AM77" s="9" t="str">
        <f aca="false">IF($D77="Linearity",IF($L77="","",$L77),"")</f>
        <v/>
      </c>
      <c r="AN77" s="9" t="str">
        <f aca="false">IF($D77="Linearity",IF($W77="","",$W77),"")</f>
        <v/>
      </c>
      <c r="AO77" s="9" t="str">
        <f aca="false">IF($D77="Linearity",IF($P77="","",$P77),"")</f>
        <v/>
      </c>
      <c r="AP77" s="9" t="str">
        <f aca="false">IF($D77="Linearity",IF($AB77="","",$AB77),"")</f>
        <v/>
      </c>
      <c r="AQ77" s="9" t="str">
        <f aca="false">IF($D77="Drift",IF($A77&lt;IF(Setup!$B$14="",0,Setup!$B$14),"",$A77),"")</f>
        <v/>
      </c>
      <c r="AR77" s="9" t="str">
        <f aca="false">IF($D77="Drift",IF($A77&lt;IF(Setup!$B$14="",0,Setup!$B$14),"",IF($BI77="","",$BI77)),"")</f>
        <v/>
      </c>
      <c r="AS77" s="9" t="str">
        <f aca="false">IF($D77="Drift",IF($A77&lt;IF(Setup!$B$14="",0,Setup!$B$14),"",IF(OR($X77="",$BX77=1),"",$X77)),"")</f>
        <v/>
      </c>
      <c r="AT77" s="9" t="str">
        <f aca="false">IF($D77="Drift",IF($A77&lt;IF(Setup!$B$14="",0,Setup!$B$14),"",IF(OR($AC77="",$BY77=1),"",$AC77)),"")</f>
        <v/>
      </c>
      <c r="AU77" s="9" t="str">
        <f aca="false">IF($D77="Anchor",IF(OR($Z77="",$S77=""),"",$Z77),"")</f>
        <v/>
      </c>
      <c r="AV77" s="9" t="str">
        <f aca="false">IF($D77="Anchor",IF(OR($Z77="",$S77=""),"",$S77),"")</f>
        <v/>
      </c>
      <c r="AW77" s="9" t="str">
        <f aca="false">IF($D77="Anchor",IF(OR($AE77="",$T77=""),"",$AE77),"")</f>
        <v/>
      </c>
      <c r="AX77" s="9" t="str">
        <f aca="false">IF($D77="Anchor",IF(OR($AE77="",$T77=""),"",$T77),"")</f>
        <v/>
      </c>
      <c r="AY77" s="9" t="str">
        <f aca="false">IF(OR($D77="Blank",$D77="Exclude",$D77="Sample",$D77="",$G77="",$U77="",$L77=""),"",$G77*1000*$U77/100)</f>
        <v/>
      </c>
      <c r="AZ77" s="9" t="str">
        <f aca="false">IF($AY77="","",$L77)</f>
        <v/>
      </c>
      <c r="BA77" s="9" t="str">
        <f aca="false">IF(OR($D77="Blank",$D77="Exclude",$D77="Sample",$D77="",$G77="",$V77="",$P77=""),"",$G77*1000*$V77/100)</f>
        <v/>
      </c>
      <c r="BB77" s="9" t="str">
        <f aca="false">IF($BA77="","",$P77)</f>
        <v/>
      </c>
      <c r="BC77" s="9" t="str">
        <f aca="false">IF(AND($D77="Blank",$L77&lt;&gt;""),$O77,"")</f>
        <v/>
      </c>
      <c r="BD77" s="9" t="str">
        <f aca="false">IF($BC77="","",$L77)</f>
        <v/>
      </c>
      <c r="BE77" s="9" t="str">
        <f aca="false">IF(AND($D77="Blank",$P77&lt;&gt;""),$R77,"")</f>
        <v/>
      </c>
      <c r="BF77" s="9" t="str">
        <f aca="false">IF($BE77="","",$P77)</f>
        <v/>
      </c>
      <c r="BG77" s="9" t="str">
        <f aca="false">IF(AND($D77="Drift",$BX77&lt;&gt;1),IF($AA77="","",$AA77),"")</f>
        <v/>
      </c>
      <c r="BH77" s="9" t="str">
        <f aca="false">IF(AND($D77="Drift",$BY77&lt;&gt;1),IF($AF77="","",$AF77),"")</f>
        <v/>
      </c>
      <c r="BI77" s="20" t="str">
        <f aca="false">IF($B77="","",IFERROR(INDEX(Raw!$G$2:$G$1001,MATCH($A77&amp;"|N|"&amp;SUMPRODUCT(MAX((Raw!$A$2:$A$1001=$A77)*(Raw!$R$2:$R$1001="N")*(Raw!$I$2:$I$1001=1)*Raw!$D$2:$D$1001)),Raw!$S$2:$S$1001,0)),""))</f>
        <v/>
      </c>
      <c r="BJ77" s="21" t="str">
        <f aca="false">IF(OR($BI77="",Fits!$B$85&lt;=0),"",($BI77-Fits!$B$83)/Fits!$B$85)</f>
        <v/>
      </c>
      <c r="BK77" s="9" t="str">
        <f aca="false">IF($AS77="","",IF($A77&gt;=Fits!$B$86,"",$A77))</f>
        <v/>
      </c>
      <c r="BL77" s="9" t="str">
        <f aca="false">IF($BK77="","",$X77)</f>
        <v/>
      </c>
      <c r="BM77" s="9" t="str">
        <f aca="false">IF($AS77="","",IF($A77&lt;Fits!$B$86,"",$A77))</f>
        <v/>
      </c>
      <c r="BN77" s="9" t="str">
        <f aca="false">IF($BM77="","",$X77)</f>
        <v/>
      </c>
      <c r="BO77" s="9" t="str">
        <f aca="false">IF(AND($D77="Drift",$BX77&lt;&gt;1),IF($O77="","",$O77),"")</f>
        <v/>
      </c>
      <c r="BP77" s="9" t="str">
        <f aca="false">IF(AND($D77="Drift",$BX77&lt;&gt;1),IF($W77="","",$W77),"")</f>
        <v/>
      </c>
      <c r="BQ77" s="9" t="str">
        <f aca="false">IF(AND($D77="Drift",$BX77&lt;&gt;1),IF($X77="","",$X77),"")</f>
        <v/>
      </c>
      <c r="BR77" s="9" t="str">
        <f aca="false">IF(AND($D77="Drift",$BX77&lt;&gt;1),IF($Z77="","",$Z77),"")</f>
        <v/>
      </c>
      <c r="BS77" s="9" t="str">
        <f aca="false">IF(OR($B77="",$H77=""),"",SUMPRODUCT(MIN((Raw!$A$2:$A$1001=$A77)*(Raw!$R$2:$R$1001="N")*(Raw!$I$2:$I$1001=0)*(Raw!$D$2:$D$1001&lt;$H77)*Raw!$D$2:$D$1001+(1-(Raw!$A$2:$A$1001=$A77)*(Raw!$R$2:$R$1001="N")*(Raw!$I$2:$I$1001=0)*(Raw!$D$2:$D$1001&lt;$H77))*9999)))</f>
        <v/>
      </c>
      <c r="BT77" s="16" t="str">
        <f aca="false">IF(OR($BS77="",$BS77=9999,$BS77=0),"",IFERROR(INDEX(Raw!$N$2:$N$1001,MATCH($A77&amp;"|N|"&amp;$BS77,Raw!$S$2:$S$1001,0)),""))</f>
        <v/>
      </c>
      <c r="BU77" s="9" t="str">
        <f aca="false">IF($B77="","",SUMPRODUCT(MIN((Raw!$A$2:$A$1001=$A77)*(Raw!$R$2:$R$1001="C")*(Raw!$I$2:$I$1001=1)*Raw!$D$2:$D$1001+(1-(Raw!$A$2:$A$1001=$A77)*(Raw!$R$2:$R$1001="C")*(Raw!$I$2:$I$1001=1))*9999)))</f>
        <v/>
      </c>
      <c r="BV77" s="9" t="str">
        <f aca="false">IF(OR($BU77="",$BU77=9999),"",SUMPRODUCT(MIN((Raw!$A$2:$A$1001=$A77)*(Raw!$R$2:$R$1001="C")*(Raw!$I$2:$I$1001=0)*(Raw!$D$2:$D$1001&gt;$BU77)*Raw!$D$2:$D$1001+(1-(Raw!$A$2:$A$1001=$A77)*(Raw!$R$2:$R$1001="C")*(Raw!$I$2:$I$1001=0)*(Raw!$D$2:$D$1001&gt;$BU77))*9999)))</f>
        <v/>
      </c>
      <c r="BW77" s="16" t="str">
        <f aca="false">IF(OR($BV77="",$BV77=9999,$BV77=0),"",IFERROR(INDEX(Raw!$O$2:$O$1001,MATCH($A77&amp;"|C|"&amp;$BV77,Raw!$S$2:$S$1001,0)),""))</f>
        <v/>
      </c>
      <c r="BX77" s="9" t="str">
        <f aca="false">IF($B77="","",IF(ISNUMBER(SEARCH(","&amp;$A77&amp;",",","&amp;SUBSTITUTE(Setup!$B$16," ","")&amp;",")),1,0))</f>
        <v/>
      </c>
      <c r="BY77" s="9" t="str">
        <f aca="false">IF($B77="","",IF(ISNUMBER(SEARCH(","&amp;$A77&amp;",",","&amp;SUBSTITUTE(Setup!$B$17," ","")&amp;",")),1,0))</f>
        <v/>
      </c>
      <c r="BZ77" s="22" t="str">
        <f aca="false">IF($AS77="","",IF(Fits!$B$38="Row",$AQ77,IF($AR77="","",$AR77)))</f>
        <v/>
      </c>
      <c r="CA77" s="22" t="str">
        <f aca="false">IF($AT77="","",IF(Fits!$B$50="Row",$AQ77,IF($AR77="","",$AR77)))</f>
        <v/>
      </c>
      <c r="CB77" s="20" t="str">
        <f aca="false">IF(OR($D77&lt;&gt;"Drift",$X77="",$A77&lt;IF(Setup!$B$14="",0,Setup!$B$14),Fits!$B$107&lt;3,Fits!$B$110="",Fits!$B$109=0,IF(Fits!$B$38="Row",$AQ77,$AR77)=""),"",IF($BX77=1,IF(OR(Fits!$B$111="",Fits!$B$111=0),"",($X77-(IF(Fits!$B$38="Row",Fits!$B$32,Fits!$B$35)*IF(Fits!$B$38="Row",$AQ77,$AR77)+Fits!$B$110))/(Fits!$B$111*SQRT(1+(1/Fits!$B$107+(IF(Fits!$B$38="Row",$AQ77,$AR77)-Fits!$B$108)^2/Fits!$B$109)))),IF(OR(Fits!$B$107&lt;4,(1/Fits!$B$107+(IF(Fits!$B$38="Row",$AQ77,$AR77)-Fits!$B$108)^2/Fits!$B$109)&gt;=1),"",IF((Fits!$B$116-($X77-(IF(Fits!$B$38="Row",Fits!$B$32,Fits!$B$35)*IF(Fits!$B$38="Row",$AQ77,$AR77)+Fits!$B$110))^2/(1-(1/Fits!$B$107+(IF(Fits!$B$38="Row",$AQ77,$AR77)-Fits!$B$108)^2/Fits!$B$109)))&lt;=0,"",($X77-(IF(Fits!$B$38="Row",Fits!$B$32,Fits!$B$35)*IF(Fits!$B$38="Row",$AQ77,$AR77)+Fits!$B$110))/(SQRT((Fits!$B$116-($X77-(IF(Fits!$B$38="Row",Fits!$B$32,Fits!$B$35)*IF(Fits!$B$38="Row",$AQ77,$AR77)+Fits!$B$110))^2/(1-(1/Fits!$B$107+(IF(Fits!$B$38="Row",$AQ77,$AR77)-Fits!$B$108)^2/Fits!$B$109)))/(Fits!$B$107-3))*SQRT(1-(1/Fits!$B$107+(IF(Fits!$B$38="Row",$AQ77,$AR77)-Fits!$B$108)^2/Fits!$B$109)))))))</f>
        <v/>
      </c>
      <c r="CC77" s="20" t="str">
        <f aca="false">IF(OR($D77&lt;&gt;"Drift",$AC77="",$A77&lt;IF(Setup!$B$14="",0,Setup!$B$14),Fits!$B$120&lt;3,Fits!$B$123="",Fits!$B$122=0,IF(Fits!$B$50="Row",$AQ77,$AR77)=""),"",IF($BY77=1,IF(OR(Fits!$B$124="",Fits!$B$124=0),"",($AC77-(IF(Fits!$B$50="Row",Fits!$B$44,Fits!$B$47)*IF(Fits!$B$50="Row",$AQ77,$AR77)+Fits!$B$123))/(Fits!$B$124*SQRT(1+(1/Fits!$B$120+(IF(Fits!$B$50="Row",$AQ77,$AR77)-Fits!$B$121)^2/Fits!$B$122)))),IF(OR(Fits!$B$120&lt;4,(1/Fits!$B$120+(IF(Fits!$B$50="Row",$AQ77,$AR77)-Fits!$B$121)^2/Fits!$B$122)&gt;=1),"",IF((Fits!$B$129-($AC77-(IF(Fits!$B$50="Row",Fits!$B$44,Fits!$B$47)*IF(Fits!$B$50="Row",$AQ77,$AR77)+Fits!$B$123))^2/(1-(1/Fits!$B$120+(IF(Fits!$B$50="Row",$AQ77,$AR77)-Fits!$B$121)^2/Fits!$B$122)))&lt;=0,"",($AC77-(IF(Fits!$B$50="Row",Fits!$B$44,Fits!$B$47)*IF(Fits!$B$50="Row",$AQ77,$AR77)+Fits!$B$123))/(SQRT((Fits!$B$129-($AC77-(IF(Fits!$B$50="Row",Fits!$B$44,Fits!$B$47)*IF(Fits!$B$50="Row",$AQ77,$AR77)+Fits!$B$123))^2/(1-(1/Fits!$B$120+(IF(Fits!$B$50="Row",$AQ77,$AR77)-Fits!$B$121)^2/Fits!$B$122)))/(Fits!$B$120-3))*SQRT(1-(1/Fits!$B$120+(IF(Fits!$B$50="Row",$AQ77,$AR77)-Fits!$B$121)^2/Fits!$B$122)))))))</f>
        <v/>
      </c>
      <c r="CD77" s="9" t="str">
        <f aca="false">IF($AU77="","",1)</f>
        <v/>
      </c>
      <c r="CE77" s="24" t="str">
        <f aca="false">IF($AU77="","",$AU77-Fits!$B$133)</f>
        <v/>
      </c>
      <c r="CF77" s="24" t="str">
        <f aca="false">IF($AU77="","",($AV77-(Fits!$B$56*$AU77+Fits!$B$57))-Fits!$B$56*($AU77-Fits!$B$133))</f>
        <v/>
      </c>
      <c r="CG77" s="25" t="str">
        <f aca="false">IF($AU77="","",$AU77^2)</f>
        <v/>
      </c>
      <c r="CH77" s="9" t="str">
        <f aca="false">IF($AW77="","",1)</f>
        <v/>
      </c>
      <c r="CI77" s="24" t="str">
        <f aca="false">IF($AW77="","",$AW77-Fits!$B$153)</f>
        <v/>
      </c>
      <c r="CJ77" s="24" t="str">
        <f aca="false">IF($AW77="","",($AX77-(Fits!$B$63*$AW77+Fits!$B$64))-Fits!$B$63*($AW77-Fits!$B$153))</f>
        <v/>
      </c>
      <c r="CK77" s="25" t="str">
        <f aca="false">IF($AW77="","",$AW77^2)</f>
        <v/>
      </c>
      <c r="CL77" s="26" t="str">
        <f aca="false">IF(OR($Z77="",Fits!$B$55&lt;3,Fits!$B$133="",Fits!$B$134="",Fits!$B$134=0,Fits!$B$136=""),"",SQRT((Fits!$B$136*Fits!$B$56)^2+SUMPRODUCT((Fits!$J$163:$J$175*(Fits!$B$163:$B$175/Fits!$B$55+Fits!$H$163:$H$175*($Z77-Fits!$B$133)/Fits!$B$134))^2)+SUMPRODUCT((Fits!$G$163:$G$175*(($Z77-Fits!$B$133)*Fits!$I$163:$I$175/Fits!$B$134-Fits!$B$163:$B$175*Fits!$B$56/Fits!$B$55))^2)))</f>
        <v/>
      </c>
      <c r="CM77" s="26" t="str">
        <f aca="false">IF($CL77="","",Setup!$B$32*$CL77)</f>
        <v/>
      </c>
      <c r="CN77" s="26" t="str">
        <f aca="false">IF(OR($AE77="",Fits!$B$62&lt;3,Fits!$B$153="",Fits!$B$154="",Fits!$B$154=0,Fits!$B$156=""),"",SQRT((Fits!$B$156*Fits!$B$63)^2+SUMPRODUCT((Fits!$J$183:$J$195*(Fits!$B$183:$B$195/Fits!$B$62+Fits!$H$183:$H$195*($AE77-Fits!$B$153)/Fits!$B$154))^2)+SUMPRODUCT((Fits!$G$183:$G$195*(($AE77-Fits!$B$153)*Fits!$I$183:$I$195/Fits!$B$154-Fits!$B$183:$B$195*Fits!$B$63/Fits!$B$62))^2)))</f>
        <v/>
      </c>
      <c r="CO77" s="26" t="str">
        <f aca="false">IF($CN77="","",Setup!$B$32*$CN77)</f>
        <v/>
      </c>
      <c r="CP77" s="9" t="n">
        <f aca="false">IF(OR(NOT(ISNUMBER($BJ77)),$EK77=1),$CP76,IF($BJ77&lt;=Setup!$B$26,$CP76+1,0))</f>
        <v>26</v>
      </c>
      <c r="CQ77" s="9" t="str">
        <f aca="false">IF($BT77="","",$A77)</f>
        <v/>
      </c>
      <c r="CR77" s="9" t="str">
        <f aca="false">IF($BW77="","",$A77)</f>
        <v/>
      </c>
      <c r="CS77" s="9" t="str">
        <f aca="false">IF($B77="","",IF(Setup!$A$37="",0,IF(ISNUMBER(SEARCH(Setup!$A$37,$B77)),37,0)))</f>
        <v/>
      </c>
      <c r="CT77" s="9" t="str">
        <f aca="false">IF($B77="","",IF(Setup!$A$38="",0,IF(ISNUMBER(SEARCH(Setup!$A$38,$B77)),38,0)))</f>
        <v/>
      </c>
      <c r="CU77" s="9" t="str">
        <f aca="false">IF($B77="","",IF(Setup!$A$39="",0,IF(ISNUMBER(SEARCH(Setup!$A$39,$B77)),39,0)))</f>
        <v/>
      </c>
      <c r="CV77" s="9" t="str">
        <f aca="false">IF($B77="","",IF(Setup!$A$40="",0,IF(ISNUMBER(SEARCH(Setup!$A$40,$B77)),40,0)))</f>
        <v/>
      </c>
      <c r="CW77" s="9" t="str">
        <f aca="false">IF($B77="","",IF(Setup!$A$41="",0,IF(ISNUMBER(SEARCH(Setup!$A$41,$B77)),41,0)))</f>
        <v/>
      </c>
      <c r="CX77" s="9" t="str">
        <f aca="false">IF($B77="","",IF(Setup!$A$42="",0,IF(ISNUMBER(SEARCH(Setup!$A$42,$B77)),42,0)))</f>
        <v/>
      </c>
      <c r="CY77" s="9" t="str">
        <f aca="false">IF($B77="","",IF(Setup!$A$43="",0,IF(ISNUMBER(SEARCH(Setup!$A$43,$B77)),43,0)))</f>
        <v/>
      </c>
      <c r="CZ77" s="9" t="str">
        <f aca="false">IF($B77="","",IF(Setup!$A$44="",0,IF(ISNUMBER(SEARCH(Setup!$A$44,$B77)),44,0)))</f>
        <v/>
      </c>
      <c r="DA77" s="9" t="str">
        <f aca="false">IF($B77="","",IF(Setup!$A$45="",0,IF(ISNUMBER(SEARCH(Setup!$A$45,$B77)),45,0)))</f>
        <v/>
      </c>
      <c r="DB77" s="9" t="str">
        <f aca="false">IF($B77="","",IF(Setup!$A$46="",0,IF(ISNUMBER(SEARCH(Setup!$A$46,$B77)),46,0)))</f>
        <v/>
      </c>
      <c r="DC77" s="9" t="str">
        <f aca="false">IF($B77="","",IF(Setup!$A$47="",0,IF(ISNUMBER(SEARCH(Setup!$A$47,$B77)),47,0)))</f>
        <v/>
      </c>
      <c r="DD77" s="9" t="str">
        <f aca="false">IF($B77="","",IF(Setup!$A$48="",0,IF(ISNUMBER(SEARCH(Setup!$A$48,$B77)),48,0)))</f>
        <v/>
      </c>
      <c r="DE77" s="9" t="str">
        <f aca="false">IF($B77="","",IF(Setup!$A$49="",0,IF(ISNUMBER(SEARCH(Setup!$A$49,$B77)),49,0)))</f>
        <v/>
      </c>
      <c r="DF77" s="9" t="e">
        <f aca="false">IF($B77="",NA(),$A77)</f>
        <v>#N/A</v>
      </c>
      <c r="DG77" s="9" t="e">
        <f aca="false">IF($BI77="",NA(),$BI77)</f>
        <v>#N/A</v>
      </c>
      <c r="DH77" s="9" t="e">
        <f aca="false">IF($N77="",NA(),$N77)</f>
        <v>#N/A</v>
      </c>
      <c r="DI77" s="9" t="e">
        <f aca="false">IF(AND($D77="Drift",$N77&lt;&gt;""),$N77,NA())</f>
        <v>#N/A</v>
      </c>
      <c r="DJ77" s="9" t="str">
        <f aca="false">IF(AND($D77="Drift",$N77&lt;&gt;""),$N77,"")</f>
        <v/>
      </c>
      <c r="DK77" s="9" t="str">
        <f aca="false">IF($DJ77="","",$A77)</f>
        <v/>
      </c>
      <c r="DL77" s="9" t="e">
        <f aca="false">IF($AN77="",NA(),$AM77)</f>
        <v>#N/A</v>
      </c>
      <c r="DM77" s="9" t="e">
        <f aca="false">IF($AN77="",NA(),$AN77)</f>
        <v>#N/A</v>
      </c>
      <c r="DN77" s="9" t="e">
        <f aca="false">IF(AND($D77="Sample",$L77&lt;&gt;""),$L77,NA())</f>
        <v>#N/A</v>
      </c>
      <c r="DO77" s="9" t="e">
        <f aca="false">IF(AND($D77="Sample",$L77&lt;&gt;"",Fits!$B$98&lt;&gt;""),Fits!$B$98,NA())</f>
        <v>#N/A</v>
      </c>
      <c r="DP77" s="9" t="e">
        <f aca="false">IF($AS77="",NA(),$AS77)</f>
        <v>#N/A</v>
      </c>
      <c r="DQ77" s="9" t="e">
        <f aca="false">IF(AND($D77="Drift",$AS77="",$X77&lt;&gt;""),$X77,NA())</f>
        <v>#N/A</v>
      </c>
      <c r="DR77" s="9" t="e">
        <f aca="false">IF(AND($D77="Drift",$Z77&lt;&gt;""),$Z77,NA())</f>
        <v>#N/A</v>
      </c>
      <c r="DS77" s="9" t="e">
        <f aca="false">IF(AND(OR($D77="Sample",$D77="Check"),$AA77&lt;&gt;""),$AA77,NA())</f>
        <v>#N/A</v>
      </c>
      <c r="DT77" s="9" t="e">
        <f aca="false">IF(OR($B77="",Fits!$B$138=""),NA(),Fits!$B$138)</f>
        <v>#N/A</v>
      </c>
      <c r="DU77" s="9" t="e">
        <f aca="false">IF(OR($B77="",Fits!$B$139=""),NA(),Fits!$B$139)</f>
        <v>#N/A</v>
      </c>
      <c r="DV77" s="9" t="e">
        <f aca="false">IF($BT77="",NA(),$BT77)</f>
        <v>#N/A</v>
      </c>
      <c r="DW77" s="9" t="e">
        <f aca="false">IF($AP77="",NA(),$AO77)</f>
        <v>#N/A</v>
      </c>
      <c r="DX77" s="9" t="e">
        <f aca="false">IF($AP77="",NA(),$AP77)</f>
        <v>#N/A</v>
      </c>
      <c r="DY77" s="9" t="e">
        <f aca="false">IF(AND($D77="Sample",$P77&lt;&gt;""),$P77,NA())</f>
        <v>#N/A</v>
      </c>
      <c r="DZ77" s="9" t="e">
        <f aca="false">IF(AND($D77="Sample",$P77&lt;&gt;"",Fits!$B$105&lt;&gt;""),Fits!$B$105,NA())</f>
        <v>#N/A</v>
      </c>
      <c r="EA77" s="9" t="e">
        <f aca="false">IF($AT77="",NA(),$AT77)</f>
        <v>#N/A</v>
      </c>
      <c r="EB77" s="9" t="e">
        <f aca="false">IF(AND($D77="Drift",$AT77="",$AC77&lt;&gt;""),$AC77,NA())</f>
        <v>#N/A</v>
      </c>
      <c r="EC77" s="9" t="e">
        <f aca="false">IF(AND($D77="Drift",$AE77&lt;&gt;""),$AE77,NA())</f>
        <v>#N/A</v>
      </c>
      <c r="ED77" s="9" t="e">
        <f aca="false">IF(AND(OR($D77="Sample",$D77="Check"),$AF77&lt;&gt;""),$AF77,NA())</f>
        <v>#N/A</v>
      </c>
      <c r="EE77" s="9" t="e">
        <f aca="false">IF(OR($B77="",Fits!$B$158=""),NA(),Fits!$B$158)</f>
        <v>#N/A</v>
      </c>
      <c r="EF77" s="9" t="e">
        <f aca="false">IF(OR($B77="",Fits!$B$159=""),NA(),Fits!$B$159)</f>
        <v>#N/A</v>
      </c>
      <c r="EG77" s="9" t="e">
        <f aca="false">IF($BW77="",NA(),$BW77)</f>
        <v>#N/A</v>
      </c>
      <c r="EH77" s="9" t="e">
        <f aca="false">IF(AND($EN77=1,ISNUMBER($N77)),$N77,NA())</f>
        <v>#N/A</v>
      </c>
      <c r="EI77" s="9" t="str">
        <f aca="false">IF($B77="","",$A77)</f>
        <v/>
      </c>
      <c r="EJ77" s="9" t="n">
        <f aca="false">IF(OR(AND(ISNUMBER($L77),Fits!$B$97&gt;0,$L77&gt;Fits!$B$97),AND(ISNUMBER($P77),Fits!$B$104&gt;0,$P77&gt;Fits!$B$104)),1,0)</f>
        <v>0</v>
      </c>
      <c r="EK77" s="9" t="n">
        <f aca="false">IF(OR($EJ76=1,$EJ75=1),1,0)</f>
        <v>0</v>
      </c>
      <c r="EL77" s="22" t="n">
        <f aca="false">IF(AND($EK77=0,ISNUMBER($N77)),$N77,$EL76)</f>
        <v>25.7</v>
      </c>
      <c r="EM77" s="9" t="str">
        <f aca="false">IF(AND($EK77=1,ISNUMBER($N77),ISNUMBER($EL77)),$N77-$EL77,"")</f>
        <v/>
      </c>
      <c r="EN77" s="9" t="n">
        <f aca="false">IF(Setup!$B$28="",0,IF(ISNUMBER($EM77),IF($EM77&gt;Setup!$B$28,1,0),0))</f>
        <v>0</v>
      </c>
      <c r="EO77" s="9" t="str">
        <f aca="false">IF($EN77=1,COUNTIF($EN$6:$EN77,1),"")</f>
        <v/>
      </c>
      <c r="EP77" s="9" t="n">
        <f aca="false">IF(AND($EJ76=1,OR($D77="Sample",$D77="Check")),1,0)</f>
        <v>0</v>
      </c>
      <c r="EQ77" s="9" t="str">
        <f aca="false">IF(ISNUMBER($BI77),IF(COUNT($BI$6:$BI77)&lt;=5,$BI77,""),"")</f>
        <v/>
      </c>
      <c r="ER77" s="9" t="n">
        <f aca="false">IF(OR(NOT(ISNUMBER($BJ77)),$EK77=1),$ER76,IF($BJ77&lt;=Setup!$B$26,IF($CP76=0,$A77,$ER76),""))</f>
        <v>27</v>
      </c>
    </row>
    <row r="78" customFormat="false" ht="15" hidden="false" customHeight="false" outlineLevel="0" collapsed="false">
      <c r="A78" s="8" t="n">
        <v>73</v>
      </c>
      <c r="B78" s="8" t="str">
        <f aca="false">IFERROR(INDEX(Raw!$B$2:$B$1001,MATCH($A78,Raw!$A$2:$A$1001,0)),"")</f>
        <v/>
      </c>
      <c r="C78" s="9" t="str">
        <f aca="false">IF($B78="","",MAX($CS78:$DE78))</f>
        <v/>
      </c>
      <c r="D78" s="8" t="str">
        <f aca="false">IF($B78="","",IF($C78=0,"Sample",INDEX(Setup!$B$37:$B$49,$C78-36)))</f>
        <v/>
      </c>
      <c r="E78" s="16" t="str">
        <f aca="false">IF($B78="","",IFERROR(IF(INDEX(Raw!$E$2:$E$1001,MATCH($A78,Raw!$A$2:$A$1001,0))=0,"",INDEX(Raw!$E$2:$E$1001,MATCH($A78,Raw!$A$2:$A$1001,0))),""))</f>
        <v/>
      </c>
      <c r="F78" s="18"/>
      <c r="G78" s="16" t="str">
        <f aca="false">IF($B78="","",IF($F78&lt;&gt;"",$F78,IF($E78="","",$E78)))</f>
        <v/>
      </c>
      <c r="H78" s="9" t="str">
        <f aca="false">IF($B78="","",SUMPRODUCT(MAX((Raw!$A$2:$A$1001=$A78)*(Raw!$R$2:$R$1001="N")*Raw!$D$2:$D$1001)))</f>
        <v/>
      </c>
      <c r="I78" s="9" t="str">
        <f aca="false">IF(OR($H78="",$H78=0),"",$A78&amp;"|N|"&amp;$H78)</f>
        <v/>
      </c>
      <c r="J78" s="9" t="str">
        <f aca="false">IF($B78="","",SUMPRODUCT(MIN((Raw!$A$2:$A$1001=$A78)*(Raw!$R$2:$R$1001="C")*Raw!$D$2:$D$1001+(1-(Raw!$A$2:$A$1001=$A78)*(Raw!$R$2:$R$1001="C"))*9999)))</f>
        <v/>
      </c>
      <c r="K78" s="9" t="str">
        <f aca="false">IF(OR($J78="",$J78=0,$J78=9999),"",$A78&amp;"|C|"&amp;$J78)</f>
        <v/>
      </c>
      <c r="L78" s="16" t="str">
        <f aca="false">IF($I78="","",IF(INDEX(Raw!$I$2:$I$1001,MATCH($I78,Raw!$S$2:$S$1001,0))&lt;&gt;0,"",INDEX(Raw!$H$2:$H$1001,MATCH($I78,Raw!$S$2:$S$1001,0))))</f>
        <v/>
      </c>
      <c r="M78" s="19" t="str">
        <f aca="false">IF($I78="","",IF(INDEX(Raw!$I$2:$I$1001,MATCH($I78,Raw!$S$2:$S$1001,0))&lt;&gt;0,"",INDEX(Raw!$F$2:$F$1001,MATCH($I78,Raw!$S$2:$S$1001,0))))</f>
        <v/>
      </c>
      <c r="N78" s="20" t="str">
        <f aca="false">IF($I78="","",IF(INDEX(Raw!$I$2:$I$1001,MATCH($I78,Raw!$S$2:$S$1001,0))&lt;&gt;0,"",INDEX(Raw!$G$2:$G$1001,MATCH($I78,Raw!$S$2:$S$1001,0))))</f>
        <v/>
      </c>
      <c r="O78" s="16" t="str">
        <f aca="false">IF($I78="","",IF(INDEX(Raw!$I$2:$I$1001,MATCH($I78,Raw!$S$2:$S$1001,0))&lt;&gt;0,"",INDEX(Raw!$N$2:$N$1001,MATCH($I78,Raw!$S$2:$S$1001,0))))</f>
        <v/>
      </c>
      <c r="P78" s="16" t="str">
        <f aca="false">IF($K78="","",IF(INDEX(Raw!$I$2:$I$1001,MATCH($K78,Raw!$S$2:$S$1001,0))&lt;&gt;0,"",INDEX(Raw!$K$2:$K$1001,MATCH($K78,Raw!$S$2:$S$1001,0))))</f>
        <v/>
      </c>
      <c r="Q78" s="19" t="str">
        <f aca="false">IF($K78="","",IF(INDEX(Raw!$I$2:$I$1001,MATCH($K78,Raw!$S$2:$S$1001,0))&lt;&gt;0,"",INDEX(Raw!$J$2:$J$1001,MATCH($K78,Raw!$S$2:$S$1001,0))))</f>
        <v/>
      </c>
      <c r="R78" s="16" t="str">
        <f aca="false">IF($K78="","",IF(INDEX(Raw!$I$2:$I$1001,MATCH($K78,Raw!$S$2:$S$1001,0))&lt;&gt;0,"",INDEX(Raw!$O$2:$O$1001,MATCH($K78,Raw!$S$2:$S$1001,0))))</f>
        <v/>
      </c>
      <c r="S78" s="21" t="str">
        <f aca="false">IF($B78="","",IF($C78=0,"",IF(INDEX(Setup!$D$37:$D$49,$C78-36)="","",INDEX(Setup!$D$37:$D$49,$C78-36))))</f>
        <v/>
      </c>
      <c r="T78" s="21" t="str">
        <f aca="false">IF($B78="","",IF($C78=0,"",IF(INDEX(Setup!$C$37:$C$49,$C78-36)="","",INDEX(Setup!$C$37:$C$49,$C78-36))))</f>
        <v/>
      </c>
      <c r="U78" s="21" t="str">
        <f aca="false">IF($B78="","",IF($C78=0,"",IF(INDEX(Setup!$F$37:$F$49,$C78-36)="","",INDEX(Setup!$F$37:$F$49,$C78-36))))</f>
        <v/>
      </c>
      <c r="V78" s="21" t="str">
        <f aca="false">IF($B78="","",IF($C78=0,"",IF(INDEX(Setup!$E$37:$E$49,$C78-36)="","",INDEX(Setup!$E$37:$E$49,$C78-36))))</f>
        <v/>
      </c>
      <c r="W78" s="16" t="str">
        <f aca="false">IF($O78="","",IF(OR(Fits!$C$5&lt;&gt;"Yes",$D78="Blank",$L78&lt;=Fits!$B$6),$O78,($L78*$O78-Fits!$B$6*Fits!$B$7)/($L78-Fits!$B$6)))</f>
        <v/>
      </c>
      <c r="X78" s="16" t="str">
        <f aca="false">IF($W78="","",$W78-Fits!$B$20*($L78-Fits!$B$16))</f>
        <v/>
      </c>
      <c r="Y78" s="22" t="str">
        <f aca="false">IF($W78="","",IF(OR(Fits!$B$38="Row",$BI78=""),$A78,$BI78))</f>
        <v/>
      </c>
      <c r="Z78" s="16" t="str">
        <f aca="false">IF($X78="","",$X78-Fits!$B$39*($Y78-Fits!$B$40))</f>
        <v/>
      </c>
      <c r="AA78" s="23" t="str">
        <f aca="false">IF(OR($Z78="",Fits!$B$55&lt;2),"",Fits!$B$56*$Z78+Fits!$B$57)</f>
        <v/>
      </c>
      <c r="AB78" s="16" t="str">
        <f aca="false">IF($R78="","",IF(OR(Fits!$C$9&lt;&gt;"Yes",$D78="Blank",$P78&lt;=Fits!$B$10),$R78,($P78*$R78-Fits!$B$10*Fits!$B$11)/($P78-Fits!$B$10)))</f>
        <v/>
      </c>
      <c r="AC78" s="16" t="str">
        <f aca="false">IF($AB78="","",$AB78-Fits!$B$28*($P78-Fits!$B$24))</f>
        <v/>
      </c>
      <c r="AD78" s="22" t="str">
        <f aca="false">IF($AB78="","",IF(OR(Fits!$B$50="Row",$BI78=""),$A78,$BI78))</f>
        <v/>
      </c>
      <c r="AE78" s="16" t="str">
        <f aca="false">IF($AC78="","",$AC78-Fits!$B$51*($AD78-Fits!$B$52))</f>
        <v/>
      </c>
      <c r="AF78" s="23" t="str">
        <f aca="false">IF(OR($AE78="",Fits!$B$62&lt;2),"",Fits!$B$63*$AE78+Fits!$B$64)</f>
        <v/>
      </c>
      <c r="AG78" s="21" t="str">
        <f aca="false">IF(OR($L78="",Fits!$B$69&lt;3),"",($L78-Fits!$B$71)/Fits!$B$70)</f>
        <v/>
      </c>
      <c r="AH78" s="21" t="str">
        <f aca="false">IF(OR($P78="",Fits!$B$75&lt;3),"",($P78-Fits!$B$77)/Fits!$B$76)</f>
        <v/>
      </c>
      <c r="AI78" s="23" t="str">
        <f aca="false">IF(OR($AG78="",$G78="",$G78=0),"",$AG78/($G78*1000)*100)</f>
        <v/>
      </c>
      <c r="AJ78" s="23" t="str">
        <f aca="false">IF(OR($AH78="",$G78="",$G78=0),"",$AH78/($G78*1000)*100)</f>
        <v/>
      </c>
      <c r="AK78" s="23" t="str">
        <f aca="false">IF(OR($AG78="",$AH78="",$AG78&lt;=0),"",($AH78/Setup!$B$52)/($AG78/Setup!$B$53))</f>
        <v/>
      </c>
      <c r="AL78" s="23" t="str">
        <f aca="false">IF(OR($AG78="",$AH78="",$AG78&lt;=0),"",$AH78/$AG78)</f>
        <v/>
      </c>
      <c r="AM78" s="9" t="str">
        <f aca="false">IF($D78="Linearity",IF($L78="","",$L78),"")</f>
        <v/>
      </c>
      <c r="AN78" s="9" t="str">
        <f aca="false">IF($D78="Linearity",IF($W78="","",$W78),"")</f>
        <v/>
      </c>
      <c r="AO78" s="9" t="str">
        <f aca="false">IF($D78="Linearity",IF($P78="","",$P78),"")</f>
        <v/>
      </c>
      <c r="AP78" s="9" t="str">
        <f aca="false">IF($D78="Linearity",IF($AB78="","",$AB78),"")</f>
        <v/>
      </c>
      <c r="AQ78" s="9" t="str">
        <f aca="false">IF($D78="Drift",IF($A78&lt;IF(Setup!$B$14="",0,Setup!$B$14),"",$A78),"")</f>
        <v/>
      </c>
      <c r="AR78" s="9" t="str">
        <f aca="false">IF($D78="Drift",IF($A78&lt;IF(Setup!$B$14="",0,Setup!$B$14),"",IF($BI78="","",$BI78)),"")</f>
        <v/>
      </c>
      <c r="AS78" s="9" t="str">
        <f aca="false">IF($D78="Drift",IF($A78&lt;IF(Setup!$B$14="",0,Setup!$B$14),"",IF(OR($X78="",$BX78=1),"",$X78)),"")</f>
        <v/>
      </c>
      <c r="AT78" s="9" t="str">
        <f aca="false">IF($D78="Drift",IF($A78&lt;IF(Setup!$B$14="",0,Setup!$B$14),"",IF(OR($AC78="",$BY78=1),"",$AC78)),"")</f>
        <v/>
      </c>
      <c r="AU78" s="9" t="str">
        <f aca="false">IF($D78="Anchor",IF(OR($Z78="",$S78=""),"",$Z78),"")</f>
        <v/>
      </c>
      <c r="AV78" s="9" t="str">
        <f aca="false">IF($D78="Anchor",IF(OR($Z78="",$S78=""),"",$S78),"")</f>
        <v/>
      </c>
      <c r="AW78" s="9" t="str">
        <f aca="false">IF($D78="Anchor",IF(OR($AE78="",$T78=""),"",$AE78),"")</f>
        <v/>
      </c>
      <c r="AX78" s="9" t="str">
        <f aca="false">IF($D78="Anchor",IF(OR($AE78="",$T78=""),"",$T78),"")</f>
        <v/>
      </c>
      <c r="AY78" s="9" t="str">
        <f aca="false">IF(OR($D78="Blank",$D78="Exclude",$D78="Sample",$D78="",$G78="",$U78="",$L78=""),"",$G78*1000*$U78/100)</f>
        <v/>
      </c>
      <c r="AZ78" s="9" t="str">
        <f aca="false">IF($AY78="","",$L78)</f>
        <v/>
      </c>
      <c r="BA78" s="9" t="str">
        <f aca="false">IF(OR($D78="Blank",$D78="Exclude",$D78="Sample",$D78="",$G78="",$V78="",$P78=""),"",$G78*1000*$V78/100)</f>
        <v/>
      </c>
      <c r="BB78" s="9" t="str">
        <f aca="false">IF($BA78="","",$P78)</f>
        <v/>
      </c>
      <c r="BC78" s="9" t="str">
        <f aca="false">IF(AND($D78="Blank",$L78&lt;&gt;""),$O78,"")</f>
        <v/>
      </c>
      <c r="BD78" s="9" t="str">
        <f aca="false">IF($BC78="","",$L78)</f>
        <v/>
      </c>
      <c r="BE78" s="9" t="str">
        <f aca="false">IF(AND($D78="Blank",$P78&lt;&gt;""),$R78,"")</f>
        <v/>
      </c>
      <c r="BF78" s="9" t="str">
        <f aca="false">IF($BE78="","",$P78)</f>
        <v/>
      </c>
      <c r="BG78" s="9" t="str">
        <f aca="false">IF(AND($D78="Drift",$BX78&lt;&gt;1),IF($AA78="","",$AA78),"")</f>
        <v/>
      </c>
      <c r="BH78" s="9" t="str">
        <f aca="false">IF(AND($D78="Drift",$BY78&lt;&gt;1),IF($AF78="","",$AF78),"")</f>
        <v/>
      </c>
      <c r="BI78" s="20" t="str">
        <f aca="false">IF($B78="","",IFERROR(INDEX(Raw!$G$2:$G$1001,MATCH($A78&amp;"|N|"&amp;SUMPRODUCT(MAX((Raw!$A$2:$A$1001=$A78)*(Raw!$R$2:$R$1001="N")*(Raw!$I$2:$I$1001=1)*Raw!$D$2:$D$1001)),Raw!$S$2:$S$1001,0)),""))</f>
        <v/>
      </c>
      <c r="BJ78" s="21" t="str">
        <f aca="false">IF(OR($BI78="",Fits!$B$85&lt;=0),"",($BI78-Fits!$B$83)/Fits!$B$85)</f>
        <v/>
      </c>
      <c r="BK78" s="9" t="str">
        <f aca="false">IF($AS78="","",IF($A78&gt;=Fits!$B$86,"",$A78))</f>
        <v/>
      </c>
      <c r="BL78" s="9" t="str">
        <f aca="false">IF($BK78="","",$X78)</f>
        <v/>
      </c>
      <c r="BM78" s="9" t="str">
        <f aca="false">IF($AS78="","",IF($A78&lt;Fits!$B$86,"",$A78))</f>
        <v/>
      </c>
      <c r="BN78" s="9" t="str">
        <f aca="false">IF($BM78="","",$X78)</f>
        <v/>
      </c>
      <c r="BO78" s="9" t="str">
        <f aca="false">IF(AND($D78="Drift",$BX78&lt;&gt;1),IF($O78="","",$O78),"")</f>
        <v/>
      </c>
      <c r="BP78" s="9" t="str">
        <f aca="false">IF(AND($D78="Drift",$BX78&lt;&gt;1),IF($W78="","",$W78),"")</f>
        <v/>
      </c>
      <c r="BQ78" s="9" t="str">
        <f aca="false">IF(AND($D78="Drift",$BX78&lt;&gt;1),IF($X78="","",$X78),"")</f>
        <v/>
      </c>
      <c r="BR78" s="9" t="str">
        <f aca="false">IF(AND($D78="Drift",$BX78&lt;&gt;1),IF($Z78="","",$Z78),"")</f>
        <v/>
      </c>
      <c r="BS78" s="9" t="str">
        <f aca="false">IF(OR($B78="",$H78=""),"",SUMPRODUCT(MIN((Raw!$A$2:$A$1001=$A78)*(Raw!$R$2:$R$1001="N")*(Raw!$I$2:$I$1001=0)*(Raw!$D$2:$D$1001&lt;$H78)*Raw!$D$2:$D$1001+(1-(Raw!$A$2:$A$1001=$A78)*(Raw!$R$2:$R$1001="N")*(Raw!$I$2:$I$1001=0)*(Raw!$D$2:$D$1001&lt;$H78))*9999)))</f>
        <v/>
      </c>
      <c r="BT78" s="16" t="str">
        <f aca="false">IF(OR($BS78="",$BS78=9999,$BS78=0),"",IFERROR(INDEX(Raw!$N$2:$N$1001,MATCH($A78&amp;"|N|"&amp;$BS78,Raw!$S$2:$S$1001,0)),""))</f>
        <v/>
      </c>
      <c r="BU78" s="9" t="str">
        <f aca="false">IF($B78="","",SUMPRODUCT(MIN((Raw!$A$2:$A$1001=$A78)*(Raw!$R$2:$R$1001="C")*(Raw!$I$2:$I$1001=1)*Raw!$D$2:$D$1001+(1-(Raw!$A$2:$A$1001=$A78)*(Raw!$R$2:$R$1001="C")*(Raw!$I$2:$I$1001=1))*9999)))</f>
        <v/>
      </c>
      <c r="BV78" s="9" t="str">
        <f aca="false">IF(OR($BU78="",$BU78=9999),"",SUMPRODUCT(MIN((Raw!$A$2:$A$1001=$A78)*(Raw!$R$2:$R$1001="C")*(Raw!$I$2:$I$1001=0)*(Raw!$D$2:$D$1001&gt;$BU78)*Raw!$D$2:$D$1001+(1-(Raw!$A$2:$A$1001=$A78)*(Raw!$R$2:$R$1001="C")*(Raw!$I$2:$I$1001=0)*(Raw!$D$2:$D$1001&gt;$BU78))*9999)))</f>
        <v/>
      </c>
      <c r="BW78" s="16" t="str">
        <f aca="false">IF(OR($BV78="",$BV78=9999,$BV78=0),"",IFERROR(INDEX(Raw!$O$2:$O$1001,MATCH($A78&amp;"|C|"&amp;$BV78,Raw!$S$2:$S$1001,0)),""))</f>
        <v/>
      </c>
      <c r="BX78" s="9" t="str">
        <f aca="false">IF($B78="","",IF(ISNUMBER(SEARCH(","&amp;$A78&amp;",",","&amp;SUBSTITUTE(Setup!$B$16," ","")&amp;",")),1,0))</f>
        <v/>
      </c>
      <c r="BY78" s="9" t="str">
        <f aca="false">IF($B78="","",IF(ISNUMBER(SEARCH(","&amp;$A78&amp;",",","&amp;SUBSTITUTE(Setup!$B$17," ","")&amp;",")),1,0))</f>
        <v/>
      </c>
      <c r="BZ78" s="22" t="str">
        <f aca="false">IF($AS78="","",IF(Fits!$B$38="Row",$AQ78,IF($AR78="","",$AR78)))</f>
        <v/>
      </c>
      <c r="CA78" s="22" t="str">
        <f aca="false">IF($AT78="","",IF(Fits!$B$50="Row",$AQ78,IF($AR78="","",$AR78)))</f>
        <v/>
      </c>
      <c r="CB78" s="20" t="str">
        <f aca="false">IF(OR($D78&lt;&gt;"Drift",$X78="",$A78&lt;IF(Setup!$B$14="",0,Setup!$B$14),Fits!$B$107&lt;3,Fits!$B$110="",Fits!$B$109=0,IF(Fits!$B$38="Row",$AQ78,$AR78)=""),"",IF($BX78=1,IF(OR(Fits!$B$111="",Fits!$B$111=0),"",($X78-(IF(Fits!$B$38="Row",Fits!$B$32,Fits!$B$35)*IF(Fits!$B$38="Row",$AQ78,$AR78)+Fits!$B$110))/(Fits!$B$111*SQRT(1+(1/Fits!$B$107+(IF(Fits!$B$38="Row",$AQ78,$AR78)-Fits!$B$108)^2/Fits!$B$109)))),IF(OR(Fits!$B$107&lt;4,(1/Fits!$B$107+(IF(Fits!$B$38="Row",$AQ78,$AR78)-Fits!$B$108)^2/Fits!$B$109)&gt;=1),"",IF((Fits!$B$116-($X78-(IF(Fits!$B$38="Row",Fits!$B$32,Fits!$B$35)*IF(Fits!$B$38="Row",$AQ78,$AR78)+Fits!$B$110))^2/(1-(1/Fits!$B$107+(IF(Fits!$B$38="Row",$AQ78,$AR78)-Fits!$B$108)^2/Fits!$B$109)))&lt;=0,"",($X78-(IF(Fits!$B$38="Row",Fits!$B$32,Fits!$B$35)*IF(Fits!$B$38="Row",$AQ78,$AR78)+Fits!$B$110))/(SQRT((Fits!$B$116-($X78-(IF(Fits!$B$38="Row",Fits!$B$32,Fits!$B$35)*IF(Fits!$B$38="Row",$AQ78,$AR78)+Fits!$B$110))^2/(1-(1/Fits!$B$107+(IF(Fits!$B$38="Row",$AQ78,$AR78)-Fits!$B$108)^2/Fits!$B$109)))/(Fits!$B$107-3))*SQRT(1-(1/Fits!$B$107+(IF(Fits!$B$38="Row",$AQ78,$AR78)-Fits!$B$108)^2/Fits!$B$109)))))))</f>
        <v/>
      </c>
      <c r="CC78" s="20" t="str">
        <f aca="false">IF(OR($D78&lt;&gt;"Drift",$AC78="",$A78&lt;IF(Setup!$B$14="",0,Setup!$B$14),Fits!$B$120&lt;3,Fits!$B$123="",Fits!$B$122=0,IF(Fits!$B$50="Row",$AQ78,$AR78)=""),"",IF($BY78=1,IF(OR(Fits!$B$124="",Fits!$B$124=0),"",($AC78-(IF(Fits!$B$50="Row",Fits!$B$44,Fits!$B$47)*IF(Fits!$B$50="Row",$AQ78,$AR78)+Fits!$B$123))/(Fits!$B$124*SQRT(1+(1/Fits!$B$120+(IF(Fits!$B$50="Row",$AQ78,$AR78)-Fits!$B$121)^2/Fits!$B$122)))),IF(OR(Fits!$B$120&lt;4,(1/Fits!$B$120+(IF(Fits!$B$50="Row",$AQ78,$AR78)-Fits!$B$121)^2/Fits!$B$122)&gt;=1),"",IF((Fits!$B$129-($AC78-(IF(Fits!$B$50="Row",Fits!$B$44,Fits!$B$47)*IF(Fits!$B$50="Row",$AQ78,$AR78)+Fits!$B$123))^2/(1-(1/Fits!$B$120+(IF(Fits!$B$50="Row",$AQ78,$AR78)-Fits!$B$121)^2/Fits!$B$122)))&lt;=0,"",($AC78-(IF(Fits!$B$50="Row",Fits!$B$44,Fits!$B$47)*IF(Fits!$B$50="Row",$AQ78,$AR78)+Fits!$B$123))/(SQRT((Fits!$B$129-($AC78-(IF(Fits!$B$50="Row",Fits!$B$44,Fits!$B$47)*IF(Fits!$B$50="Row",$AQ78,$AR78)+Fits!$B$123))^2/(1-(1/Fits!$B$120+(IF(Fits!$B$50="Row",$AQ78,$AR78)-Fits!$B$121)^2/Fits!$B$122)))/(Fits!$B$120-3))*SQRT(1-(1/Fits!$B$120+(IF(Fits!$B$50="Row",$AQ78,$AR78)-Fits!$B$121)^2/Fits!$B$122)))))))</f>
        <v/>
      </c>
      <c r="CD78" s="9" t="str">
        <f aca="false">IF($AU78="","",1)</f>
        <v/>
      </c>
      <c r="CE78" s="24" t="str">
        <f aca="false">IF($AU78="","",$AU78-Fits!$B$133)</f>
        <v/>
      </c>
      <c r="CF78" s="24" t="str">
        <f aca="false">IF($AU78="","",($AV78-(Fits!$B$56*$AU78+Fits!$B$57))-Fits!$B$56*($AU78-Fits!$B$133))</f>
        <v/>
      </c>
      <c r="CG78" s="25" t="str">
        <f aca="false">IF($AU78="","",$AU78^2)</f>
        <v/>
      </c>
      <c r="CH78" s="9" t="str">
        <f aca="false">IF($AW78="","",1)</f>
        <v/>
      </c>
      <c r="CI78" s="24" t="str">
        <f aca="false">IF($AW78="","",$AW78-Fits!$B$153)</f>
        <v/>
      </c>
      <c r="CJ78" s="24" t="str">
        <f aca="false">IF($AW78="","",($AX78-(Fits!$B$63*$AW78+Fits!$B$64))-Fits!$B$63*($AW78-Fits!$B$153))</f>
        <v/>
      </c>
      <c r="CK78" s="25" t="str">
        <f aca="false">IF($AW78="","",$AW78^2)</f>
        <v/>
      </c>
      <c r="CL78" s="26" t="str">
        <f aca="false">IF(OR($Z78="",Fits!$B$55&lt;3,Fits!$B$133="",Fits!$B$134="",Fits!$B$134=0,Fits!$B$136=""),"",SQRT((Fits!$B$136*Fits!$B$56)^2+SUMPRODUCT((Fits!$J$163:$J$175*(Fits!$B$163:$B$175/Fits!$B$55+Fits!$H$163:$H$175*($Z78-Fits!$B$133)/Fits!$B$134))^2)+SUMPRODUCT((Fits!$G$163:$G$175*(($Z78-Fits!$B$133)*Fits!$I$163:$I$175/Fits!$B$134-Fits!$B$163:$B$175*Fits!$B$56/Fits!$B$55))^2)))</f>
        <v/>
      </c>
      <c r="CM78" s="26" t="str">
        <f aca="false">IF($CL78="","",Setup!$B$32*$CL78)</f>
        <v/>
      </c>
      <c r="CN78" s="26" t="str">
        <f aca="false">IF(OR($AE78="",Fits!$B$62&lt;3,Fits!$B$153="",Fits!$B$154="",Fits!$B$154=0,Fits!$B$156=""),"",SQRT((Fits!$B$156*Fits!$B$63)^2+SUMPRODUCT((Fits!$J$183:$J$195*(Fits!$B$183:$B$195/Fits!$B$62+Fits!$H$183:$H$195*($AE78-Fits!$B$153)/Fits!$B$154))^2)+SUMPRODUCT((Fits!$G$183:$G$195*(($AE78-Fits!$B$153)*Fits!$I$183:$I$195/Fits!$B$154-Fits!$B$183:$B$195*Fits!$B$63/Fits!$B$62))^2)))</f>
        <v/>
      </c>
      <c r="CO78" s="26" t="str">
        <f aca="false">IF($CN78="","",Setup!$B$32*$CN78)</f>
        <v/>
      </c>
      <c r="CP78" s="9" t="n">
        <f aca="false">IF(OR(NOT(ISNUMBER($BJ78)),$EK78=1),$CP77,IF($BJ78&lt;=Setup!$B$26,$CP77+1,0))</f>
        <v>26</v>
      </c>
      <c r="CQ78" s="9" t="str">
        <f aca="false">IF($BT78="","",$A78)</f>
        <v/>
      </c>
      <c r="CR78" s="9" t="str">
        <f aca="false">IF($BW78="","",$A78)</f>
        <v/>
      </c>
      <c r="CS78" s="9" t="str">
        <f aca="false">IF($B78="","",IF(Setup!$A$37="",0,IF(ISNUMBER(SEARCH(Setup!$A$37,$B78)),37,0)))</f>
        <v/>
      </c>
      <c r="CT78" s="9" t="str">
        <f aca="false">IF($B78="","",IF(Setup!$A$38="",0,IF(ISNUMBER(SEARCH(Setup!$A$38,$B78)),38,0)))</f>
        <v/>
      </c>
      <c r="CU78" s="9" t="str">
        <f aca="false">IF($B78="","",IF(Setup!$A$39="",0,IF(ISNUMBER(SEARCH(Setup!$A$39,$B78)),39,0)))</f>
        <v/>
      </c>
      <c r="CV78" s="9" t="str">
        <f aca="false">IF($B78="","",IF(Setup!$A$40="",0,IF(ISNUMBER(SEARCH(Setup!$A$40,$B78)),40,0)))</f>
        <v/>
      </c>
      <c r="CW78" s="9" t="str">
        <f aca="false">IF($B78="","",IF(Setup!$A$41="",0,IF(ISNUMBER(SEARCH(Setup!$A$41,$B78)),41,0)))</f>
        <v/>
      </c>
      <c r="CX78" s="9" t="str">
        <f aca="false">IF($B78="","",IF(Setup!$A$42="",0,IF(ISNUMBER(SEARCH(Setup!$A$42,$B78)),42,0)))</f>
        <v/>
      </c>
      <c r="CY78" s="9" t="str">
        <f aca="false">IF($B78="","",IF(Setup!$A$43="",0,IF(ISNUMBER(SEARCH(Setup!$A$43,$B78)),43,0)))</f>
        <v/>
      </c>
      <c r="CZ78" s="9" t="str">
        <f aca="false">IF($B78="","",IF(Setup!$A$44="",0,IF(ISNUMBER(SEARCH(Setup!$A$44,$B78)),44,0)))</f>
        <v/>
      </c>
      <c r="DA78" s="9" t="str">
        <f aca="false">IF($B78="","",IF(Setup!$A$45="",0,IF(ISNUMBER(SEARCH(Setup!$A$45,$B78)),45,0)))</f>
        <v/>
      </c>
      <c r="DB78" s="9" t="str">
        <f aca="false">IF($B78="","",IF(Setup!$A$46="",0,IF(ISNUMBER(SEARCH(Setup!$A$46,$B78)),46,0)))</f>
        <v/>
      </c>
      <c r="DC78" s="9" t="str">
        <f aca="false">IF($B78="","",IF(Setup!$A$47="",0,IF(ISNUMBER(SEARCH(Setup!$A$47,$B78)),47,0)))</f>
        <v/>
      </c>
      <c r="DD78" s="9" t="str">
        <f aca="false">IF($B78="","",IF(Setup!$A$48="",0,IF(ISNUMBER(SEARCH(Setup!$A$48,$B78)),48,0)))</f>
        <v/>
      </c>
      <c r="DE78" s="9" t="str">
        <f aca="false">IF($B78="","",IF(Setup!$A$49="",0,IF(ISNUMBER(SEARCH(Setup!$A$49,$B78)),49,0)))</f>
        <v/>
      </c>
      <c r="DF78" s="9" t="e">
        <f aca="false">IF($B78="",NA(),$A78)</f>
        <v>#N/A</v>
      </c>
      <c r="DG78" s="9" t="e">
        <f aca="false">IF($BI78="",NA(),$BI78)</f>
        <v>#N/A</v>
      </c>
      <c r="DH78" s="9" t="e">
        <f aca="false">IF($N78="",NA(),$N78)</f>
        <v>#N/A</v>
      </c>
      <c r="DI78" s="9" t="e">
        <f aca="false">IF(AND($D78="Drift",$N78&lt;&gt;""),$N78,NA())</f>
        <v>#N/A</v>
      </c>
      <c r="DJ78" s="9" t="str">
        <f aca="false">IF(AND($D78="Drift",$N78&lt;&gt;""),$N78,"")</f>
        <v/>
      </c>
      <c r="DK78" s="9" t="str">
        <f aca="false">IF($DJ78="","",$A78)</f>
        <v/>
      </c>
      <c r="DL78" s="9" t="e">
        <f aca="false">IF($AN78="",NA(),$AM78)</f>
        <v>#N/A</v>
      </c>
      <c r="DM78" s="9" t="e">
        <f aca="false">IF($AN78="",NA(),$AN78)</f>
        <v>#N/A</v>
      </c>
      <c r="DN78" s="9" t="e">
        <f aca="false">IF(AND($D78="Sample",$L78&lt;&gt;""),$L78,NA())</f>
        <v>#N/A</v>
      </c>
      <c r="DO78" s="9" t="e">
        <f aca="false">IF(AND($D78="Sample",$L78&lt;&gt;"",Fits!$B$98&lt;&gt;""),Fits!$B$98,NA())</f>
        <v>#N/A</v>
      </c>
      <c r="DP78" s="9" t="e">
        <f aca="false">IF($AS78="",NA(),$AS78)</f>
        <v>#N/A</v>
      </c>
      <c r="DQ78" s="9" t="e">
        <f aca="false">IF(AND($D78="Drift",$AS78="",$X78&lt;&gt;""),$X78,NA())</f>
        <v>#N/A</v>
      </c>
      <c r="DR78" s="9" t="e">
        <f aca="false">IF(AND($D78="Drift",$Z78&lt;&gt;""),$Z78,NA())</f>
        <v>#N/A</v>
      </c>
      <c r="DS78" s="9" t="e">
        <f aca="false">IF(AND(OR($D78="Sample",$D78="Check"),$AA78&lt;&gt;""),$AA78,NA())</f>
        <v>#N/A</v>
      </c>
      <c r="DT78" s="9" t="e">
        <f aca="false">IF(OR($B78="",Fits!$B$138=""),NA(),Fits!$B$138)</f>
        <v>#N/A</v>
      </c>
      <c r="DU78" s="9" t="e">
        <f aca="false">IF(OR($B78="",Fits!$B$139=""),NA(),Fits!$B$139)</f>
        <v>#N/A</v>
      </c>
      <c r="DV78" s="9" t="e">
        <f aca="false">IF($BT78="",NA(),$BT78)</f>
        <v>#N/A</v>
      </c>
      <c r="DW78" s="9" t="e">
        <f aca="false">IF($AP78="",NA(),$AO78)</f>
        <v>#N/A</v>
      </c>
      <c r="DX78" s="9" t="e">
        <f aca="false">IF($AP78="",NA(),$AP78)</f>
        <v>#N/A</v>
      </c>
      <c r="DY78" s="9" t="e">
        <f aca="false">IF(AND($D78="Sample",$P78&lt;&gt;""),$P78,NA())</f>
        <v>#N/A</v>
      </c>
      <c r="DZ78" s="9" t="e">
        <f aca="false">IF(AND($D78="Sample",$P78&lt;&gt;"",Fits!$B$105&lt;&gt;""),Fits!$B$105,NA())</f>
        <v>#N/A</v>
      </c>
      <c r="EA78" s="9" t="e">
        <f aca="false">IF($AT78="",NA(),$AT78)</f>
        <v>#N/A</v>
      </c>
      <c r="EB78" s="9" t="e">
        <f aca="false">IF(AND($D78="Drift",$AT78="",$AC78&lt;&gt;""),$AC78,NA())</f>
        <v>#N/A</v>
      </c>
      <c r="EC78" s="9" t="e">
        <f aca="false">IF(AND($D78="Drift",$AE78&lt;&gt;""),$AE78,NA())</f>
        <v>#N/A</v>
      </c>
      <c r="ED78" s="9" t="e">
        <f aca="false">IF(AND(OR($D78="Sample",$D78="Check"),$AF78&lt;&gt;""),$AF78,NA())</f>
        <v>#N/A</v>
      </c>
      <c r="EE78" s="9" t="e">
        <f aca="false">IF(OR($B78="",Fits!$B$158=""),NA(),Fits!$B$158)</f>
        <v>#N/A</v>
      </c>
      <c r="EF78" s="9" t="e">
        <f aca="false">IF(OR($B78="",Fits!$B$159=""),NA(),Fits!$B$159)</f>
        <v>#N/A</v>
      </c>
      <c r="EG78" s="9" t="e">
        <f aca="false">IF($BW78="",NA(),$BW78)</f>
        <v>#N/A</v>
      </c>
      <c r="EH78" s="9" t="e">
        <f aca="false">IF(AND($EN78=1,ISNUMBER($N78)),$N78,NA())</f>
        <v>#N/A</v>
      </c>
      <c r="EI78" s="9" t="str">
        <f aca="false">IF($B78="","",$A78)</f>
        <v/>
      </c>
      <c r="EJ78" s="9" t="n">
        <f aca="false">IF(OR(AND(ISNUMBER($L78),Fits!$B$97&gt;0,$L78&gt;Fits!$B$97),AND(ISNUMBER($P78),Fits!$B$104&gt;0,$P78&gt;Fits!$B$104)),1,0)</f>
        <v>0</v>
      </c>
      <c r="EK78" s="9" t="n">
        <f aca="false">IF(OR($EJ77=1,$EJ76=1),1,0)</f>
        <v>0</v>
      </c>
      <c r="EL78" s="22" t="n">
        <f aca="false">IF(AND($EK78=0,ISNUMBER($N78)),$N78,$EL77)</f>
        <v>25.7</v>
      </c>
      <c r="EM78" s="9" t="str">
        <f aca="false">IF(AND($EK78=1,ISNUMBER($N78),ISNUMBER($EL78)),$N78-$EL78,"")</f>
        <v/>
      </c>
      <c r="EN78" s="9" t="n">
        <f aca="false">IF(Setup!$B$28="",0,IF(ISNUMBER($EM78),IF($EM78&gt;Setup!$B$28,1,0),0))</f>
        <v>0</v>
      </c>
      <c r="EO78" s="9" t="str">
        <f aca="false">IF($EN78=1,COUNTIF($EN$6:$EN78,1),"")</f>
        <v/>
      </c>
      <c r="EP78" s="9" t="n">
        <f aca="false">IF(AND($EJ77=1,OR($D78="Sample",$D78="Check")),1,0)</f>
        <v>0</v>
      </c>
      <c r="EQ78" s="9" t="str">
        <f aca="false">IF(ISNUMBER($BI78),IF(COUNT($BI$6:$BI78)&lt;=5,$BI78,""),"")</f>
        <v/>
      </c>
      <c r="ER78" s="9" t="n">
        <f aca="false">IF(OR(NOT(ISNUMBER($BJ78)),$EK78=1),$ER77,IF($BJ78&lt;=Setup!$B$26,IF($CP77=0,$A78,$ER77),""))</f>
        <v>27</v>
      </c>
    </row>
    <row r="79" customFormat="false" ht="15" hidden="false" customHeight="false" outlineLevel="0" collapsed="false">
      <c r="A79" s="8" t="n">
        <v>74</v>
      </c>
      <c r="B79" s="8" t="str">
        <f aca="false">IFERROR(INDEX(Raw!$B$2:$B$1001,MATCH($A79,Raw!$A$2:$A$1001,0)),"")</f>
        <v/>
      </c>
      <c r="C79" s="9" t="str">
        <f aca="false">IF($B79="","",MAX($CS79:$DE79))</f>
        <v/>
      </c>
      <c r="D79" s="8" t="str">
        <f aca="false">IF($B79="","",IF($C79=0,"Sample",INDEX(Setup!$B$37:$B$49,$C79-36)))</f>
        <v/>
      </c>
      <c r="E79" s="16" t="str">
        <f aca="false">IF($B79="","",IFERROR(IF(INDEX(Raw!$E$2:$E$1001,MATCH($A79,Raw!$A$2:$A$1001,0))=0,"",INDEX(Raw!$E$2:$E$1001,MATCH($A79,Raw!$A$2:$A$1001,0))),""))</f>
        <v/>
      </c>
      <c r="F79" s="18"/>
      <c r="G79" s="16" t="str">
        <f aca="false">IF($B79="","",IF($F79&lt;&gt;"",$F79,IF($E79="","",$E79)))</f>
        <v/>
      </c>
      <c r="H79" s="9" t="str">
        <f aca="false">IF($B79="","",SUMPRODUCT(MAX((Raw!$A$2:$A$1001=$A79)*(Raw!$R$2:$R$1001="N")*Raw!$D$2:$D$1001)))</f>
        <v/>
      </c>
      <c r="I79" s="9" t="str">
        <f aca="false">IF(OR($H79="",$H79=0),"",$A79&amp;"|N|"&amp;$H79)</f>
        <v/>
      </c>
      <c r="J79" s="9" t="str">
        <f aca="false">IF($B79="","",SUMPRODUCT(MIN((Raw!$A$2:$A$1001=$A79)*(Raw!$R$2:$R$1001="C")*Raw!$D$2:$D$1001+(1-(Raw!$A$2:$A$1001=$A79)*(Raw!$R$2:$R$1001="C"))*9999)))</f>
        <v/>
      </c>
      <c r="K79" s="9" t="str">
        <f aca="false">IF(OR($J79="",$J79=0,$J79=9999),"",$A79&amp;"|C|"&amp;$J79)</f>
        <v/>
      </c>
      <c r="L79" s="16" t="str">
        <f aca="false">IF($I79="","",IF(INDEX(Raw!$I$2:$I$1001,MATCH($I79,Raw!$S$2:$S$1001,0))&lt;&gt;0,"",INDEX(Raw!$H$2:$H$1001,MATCH($I79,Raw!$S$2:$S$1001,0))))</f>
        <v/>
      </c>
      <c r="M79" s="19" t="str">
        <f aca="false">IF($I79="","",IF(INDEX(Raw!$I$2:$I$1001,MATCH($I79,Raw!$S$2:$S$1001,0))&lt;&gt;0,"",INDEX(Raw!$F$2:$F$1001,MATCH($I79,Raw!$S$2:$S$1001,0))))</f>
        <v/>
      </c>
      <c r="N79" s="20" t="str">
        <f aca="false">IF($I79="","",IF(INDEX(Raw!$I$2:$I$1001,MATCH($I79,Raw!$S$2:$S$1001,0))&lt;&gt;0,"",INDEX(Raw!$G$2:$G$1001,MATCH($I79,Raw!$S$2:$S$1001,0))))</f>
        <v/>
      </c>
      <c r="O79" s="16" t="str">
        <f aca="false">IF($I79="","",IF(INDEX(Raw!$I$2:$I$1001,MATCH($I79,Raw!$S$2:$S$1001,0))&lt;&gt;0,"",INDEX(Raw!$N$2:$N$1001,MATCH($I79,Raw!$S$2:$S$1001,0))))</f>
        <v/>
      </c>
      <c r="P79" s="16" t="str">
        <f aca="false">IF($K79="","",IF(INDEX(Raw!$I$2:$I$1001,MATCH($K79,Raw!$S$2:$S$1001,0))&lt;&gt;0,"",INDEX(Raw!$K$2:$K$1001,MATCH($K79,Raw!$S$2:$S$1001,0))))</f>
        <v/>
      </c>
      <c r="Q79" s="19" t="str">
        <f aca="false">IF($K79="","",IF(INDEX(Raw!$I$2:$I$1001,MATCH($K79,Raw!$S$2:$S$1001,0))&lt;&gt;0,"",INDEX(Raw!$J$2:$J$1001,MATCH($K79,Raw!$S$2:$S$1001,0))))</f>
        <v/>
      </c>
      <c r="R79" s="16" t="str">
        <f aca="false">IF($K79="","",IF(INDEX(Raw!$I$2:$I$1001,MATCH($K79,Raw!$S$2:$S$1001,0))&lt;&gt;0,"",INDEX(Raw!$O$2:$O$1001,MATCH($K79,Raw!$S$2:$S$1001,0))))</f>
        <v/>
      </c>
      <c r="S79" s="21" t="str">
        <f aca="false">IF($B79="","",IF($C79=0,"",IF(INDEX(Setup!$D$37:$D$49,$C79-36)="","",INDEX(Setup!$D$37:$D$49,$C79-36))))</f>
        <v/>
      </c>
      <c r="T79" s="21" t="str">
        <f aca="false">IF($B79="","",IF($C79=0,"",IF(INDEX(Setup!$C$37:$C$49,$C79-36)="","",INDEX(Setup!$C$37:$C$49,$C79-36))))</f>
        <v/>
      </c>
      <c r="U79" s="21" t="str">
        <f aca="false">IF($B79="","",IF($C79=0,"",IF(INDEX(Setup!$F$37:$F$49,$C79-36)="","",INDEX(Setup!$F$37:$F$49,$C79-36))))</f>
        <v/>
      </c>
      <c r="V79" s="21" t="str">
        <f aca="false">IF($B79="","",IF($C79=0,"",IF(INDEX(Setup!$E$37:$E$49,$C79-36)="","",INDEX(Setup!$E$37:$E$49,$C79-36))))</f>
        <v/>
      </c>
      <c r="W79" s="16" t="str">
        <f aca="false">IF($O79="","",IF(OR(Fits!$C$5&lt;&gt;"Yes",$D79="Blank",$L79&lt;=Fits!$B$6),$O79,($L79*$O79-Fits!$B$6*Fits!$B$7)/($L79-Fits!$B$6)))</f>
        <v/>
      </c>
      <c r="X79" s="16" t="str">
        <f aca="false">IF($W79="","",$W79-Fits!$B$20*($L79-Fits!$B$16))</f>
        <v/>
      </c>
      <c r="Y79" s="22" t="str">
        <f aca="false">IF($W79="","",IF(OR(Fits!$B$38="Row",$BI79=""),$A79,$BI79))</f>
        <v/>
      </c>
      <c r="Z79" s="16" t="str">
        <f aca="false">IF($X79="","",$X79-Fits!$B$39*($Y79-Fits!$B$40))</f>
        <v/>
      </c>
      <c r="AA79" s="23" t="str">
        <f aca="false">IF(OR($Z79="",Fits!$B$55&lt;2),"",Fits!$B$56*$Z79+Fits!$B$57)</f>
        <v/>
      </c>
      <c r="AB79" s="16" t="str">
        <f aca="false">IF($R79="","",IF(OR(Fits!$C$9&lt;&gt;"Yes",$D79="Blank",$P79&lt;=Fits!$B$10),$R79,($P79*$R79-Fits!$B$10*Fits!$B$11)/($P79-Fits!$B$10)))</f>
        <v/>
      </c>
      <c r="AC79" s="16" t="str">
        <f aca="false">IF($AB79="","",$AB79-Fits!$B$28*($P79-Fits!$B$24))</f>
        <v/>
      </c>
      <c r="AD79" s="22" t="str">
        <f aca="false">IF($AB79="","",IF(OR(Fits!$B$50="Row",$BI79=""),$A79,$BI79))</f>
        <v/>
      </c>
      <c r="AE79" s="16" t="str">
        <f aca="false">IF($AC79="","",$AC79-Fits!$B$51*($AD79-Fits!$B$52))</f>
        <v/>
      </c>
      <c r="AF79" s="23" t="str">
        <f aca="false">IF(OR($AE79="",Fits!$B$62&lt;2),"",Fits!$B$63*$AE79+Fits!$B$64)</f>
        <v/>
      </c>
      <c r="AG79" s="21" t="str">
        <f aca="false">IF(OR($L79="",Fits!$B$69&lt;3),"",($L79-Fits!$B$71)/Fits!$B$70)</f>
        <v/>
      </c>
      <c r="AH79" s="21" t="str">
        <f aca="false">IF(OR($P79="",Fits!$B$75&lt;3),"",($P79-Fits!$B$77)/Fits!$B$76)</f>
        <v/>
      </c>
      <c r="AI79" s="23" t="str">
        <f aca="false">IF(OR($AG79="",$G79="",$G79=0),"",$AG79/($G79*1000)*100)</f>
        <v/>
      </c>
      <c r="AJ79" s="23" t="str">
        <f aca="false">IF(OR($AH79="",$G79="",$G79=0),"",$AH79/($G79*1000)*100)</f>
        <v/>
      </c>
      <c r="AK79" s="23" t="str">
        <f aca="false">IF(OR($AG79="",$AH79="",$AG79&lt;=0),"",($AH79/Setup!$B$52)/($AG79/Setup!$B$53))</f>
        <v/>
      </c>
      <c r="AL79" s="23" t="str">
        <f aca="false">IF(OR($AG79="",$AH79="",$AG79&lt;=0),"",$AH79/$AG79)</f>
        <v/>
      </c>
      <c r="AM79" s="9" t="str">
        <f aca="false">IF($D79="Linearity",IF($L79="","",$L79),"")</f>
        <v/>
      </c>
      <c r="AN79" s="9" t="str">
        <f aca="false">IF($D79="Linearity",IF($W79="","",$W79),"")</f>
        <v/>
      </c>
      <c r="AO79" s="9" t="str">
        <f aca="false">IF($D79="Linearity",IF($P79="","",$P79),"")</f>
        <v/>
      </c>
      <c r="AP79" s="9" t="str">
        <f aca="false">IF($D79="Linearity",IF($AB79="","",$AB79),"")</f>
        <v/>
      </c>
      <c r="AQ79" s="9" t="str">
        <f aca="false">IF($D79="Drift",IF($A79&lt;IF(Setup!$B$14="",0,Setup!$B$14),"",$A79),"")</f>
        <v/>
      </c>
      <c r="AR79" s="9" t="str">
        <f aca="false">IF($D79="Drift",IF($A79&lt;IF(Setup!$B$14="",0,Setup!$B$14),"",IF($BI79="","",$BI79)),"")</f>
        <v/>
      </c>
      <c r="AS79" s="9" t="str">
        <f aca="false">IF($D79="Drift",IF($A79&lt;IF(Setup!$B$14="",0,Setup!$B$14),"",IF(OR($X79="",$BX79=1),"",$X79)),"")</f>
        <v/>
      </c>
      <c r="AT79" s="9" t="str">
        <f aca="false">IF($D79="Drift",IF($A79&lt;IF(Setup!$B$14="",0,Setup!$B$14),"",IF(OR($AC79="",$BY79=1),"",$AC79)),"")</f>
        <v/>
      </c>
      <c r="AU79" s="9" t="str">
        <f aca="false">IF($D79="Anchor",IF(OR($Z79="",$S79=""),"",$Z79),"")</f>
        <v/>
      </c>
      <c r="AV79" s="9" t="str">
        <f aca="false">IF($D79="Anchor",IF(OR($Z79="",$S79=""),"",$S79),"")</f>
        <v/>
      </c>
      <c r="AW79" s="9" t="str">
        <f aca="false">IF($D79="Anchor",IF(OR($AE79="",$T79=""),"",$AE79),"")</f>
        <v/>
      </c>
      <c r="AX79" s="9" t="str">
        <f aca="false">IF($D79="Anchor",IF(OR($AE79="",$T79=""),"",$T79),"")</f>
        <v/>
      </c>
      <c r="AY79" s="9" t="str">
        <f aca="false">IF(OR($D79="Blank",$D79="Exclude",$D79="Sample",$D79="",$G79="",$U79="",$L79=""),"",$G79*1000*$U79/100)</f>
        <v/>
      </c>
      <c r="AZ79" s="9" t="str">
        <f aca="false">IF($AY79="","",$L79)</f>
        <v/>
      </c>
      <c r="BA79" s="9" t="str">
        <f aca="false">IF(OR($D79="Blank",$D79="Exclude",$D79="Sample",$D79="",$G79="",$V79="",$P79=""),"",$G79*1000*$V79/100)</f>
        <v/>
      </c>
      <c r="BB79" s="9" t="str">
        <f aca="false">IF($BA79="","",$P79)</f>
        <v/>
      </c>
      <c r="BC79" s="9" t="str">
        <f aca="false">IF(AND($D79="Blank",$L79&lt;&gt;""),$O79,"")</f>
        <v/>
      </c>
      <c r="BD79" s="9" t="str">
        <f aca="false">IF($BC79="","",$L79)</f>
        <v/>
      </c>
      <c r="BE79" s="9" t="str">
        <f aca="false">IF(AND($D79="Blank",$P79&lt;&gt;""),$R79,"")</f>
        <v/>
      </c>
      <c r="BF79" s="9" t="str">
        <f aca="false">IF($BE79="","",$P79)</f>
        <v/>
      </c>
      <c r="BG79" s="9" t="str">
        <f aca="false">IF(AND($D79="Drift",$BX79&lt;&gt;1),IF($AA79="","",$AA79),"")</f>
        <v/>
      </c>
      <c r="BH79" s="9" t="str">
        <f aca="false">IF(AND($D79="Drift",$BY79&lt;&gt;1),IF($AF79="","",$AF79),"")</f>
        <v/>
      </c>
      <c r="BI79" s="20" t="str">
        <f aca="false">IF($B79="","",IFERROR(INDEX(Raw!$G$2:$G$1001,MATCH($A79&amp;"|N|"&amp;SUMPRODUCT(MAX((Raw!$A$2:$A$1001=$A79)*(Raw!$R$2:$R$1001="N")*(Raw!$I$2:$I$1001=1)*Raw!$D$2:$D$1001)),Raw!$S$2:$S$1001,0)),""))</f>
        <v/>
      </c>
      <c r="BJ79" s="21" t="str">
        <f aca="false">IF(OR($BI79="",Fits!$B$85&lt;=0),"",($BI79-Fits!$B$83)/Fits!$B$85)</f>
        <v/>
      </c>
      <c r="BK79" s="9" t="str">
        <f aca="false">IF($AS79="","",IF($A79&gt;=Fits!$B$86,"",$A79))</f>
        <v/>
      </c>
      <c r="BL79" s="9" t="str">
        <f aca="false">IF($BK79="","",$X79)</f>
        <v/>
      </c>
      <c r="BM79" s="9" t="str">
        <f aca="false">IF($AS79="","",IF($A79&lt;Fits!$B$86,"",$A79))</f>
        <v/>
      </c>
      <c r="BN79" s="9" t="str">
        <f aca="false">IF($BM79="","",$X79)</f>
        <v/>
      </c>
      <c r="BO79" s="9" t="str">
        <f aca="false">IF(AND($D79="Drift",$BX79&lt;&gt;1),IF($O79="","",$O79),"")</f>
        <v/>
      </c>
      <c r="BP79" s="9" t="str">
        <f aca="false">IF(AND($D79="Drift",$BX79&lt;&gt;1),IF($W79="","",$W79),"")</f>
        <v/>
      </c>
      <c r="BQ79" s="9" t="str">
        <f aca="false">IF(AND($D79="Drift",$BX79&lt;&gt;1),IF($X79="","",$X79),"")</f>
        <v/>
      </c>
      <c r="BR79" s="9" t="str">
        <f aca="false">IF(AND($D79="Drift",$BX79&lt;&gt;1),IF($Z79="","",$Z79),"")</f>
        <v/>
      </c>
      <c r="BS79" s="9" t="str">
        <f aca="false">IF(OR($B79="",$H79=""),"",SUMPRODUCT(MIN((Raw!$A$2:$A$1001=$A79)*(Raw!$R$2:$R$1001="N")*(Raw!$I$2:$I$1001=0)*(Raw!$D$2:$D$1001&lt;$H79)*Raw!$D$2:$D$1001+(1-(Raw!$A$2:$A$1001=$A79)*(Raw!$R$2:$R$1001="N")*(Raw!$I$2:$I$1001=0)*(Raw!$D$2:$D$1001&lt;$H79))*9999)))</f>
        <v/>
      </c>
      <c r="BT79" s="16" t="str">
        <f aca="false">IF(OR($BS79="",$BS79=9999,$BS79=0),"",IFERROR(INDEX(Raw!$N$2:$N$1001,MATCH($A79&amp;"|N|"&amp;$BS79,Raw!$S$2:$S$1001,0)),""))</f>
        <v/>
      </c>
      <c r="BU79" s="9" t="str">
        <f aca="false">IF($B79="","",SUMPRODUCT(MIN((Raw!$A$2:$A$1001=$A79)*(Raw!$R$2:$R$1001="C")*(Raw!$I$2:$I$1001=1)*Raw!$D$2:$D$1001+(1-(Raw!$A$2:$A$1001=$A79)*(Raw!$R$2:$R$1001="C")*(Raw!$I$2:$I$1001=1))*9999)))</f>
        <v/>
      </c>
      <c r="BV79" s="9" t="str">
        <f aca="false">IF(OR($BU79="",$BU79=9999),"",SUMPRODUCT(MIN((Raw!$A$2:$A$1001=$A79)*(Raw!$R$2:$R$1001="C")*(Raw!$I$2:$I$1001=0)*(Raw!$D$2:$D$1001&gt;$BU79)*Raw!$D$2:$D$1001+(1-(Raw!$A$2:$A$1001=$A79)*(Raw!$R$2:$R$1001="C")*(Raw!$I$2:$I$1001=0)*(Raw!$D$2:$D$1001&gt;$BU79))*9999)))</f>
        <v/>
      </c>
      <c r="BW79" s="16" t="str">
        <f aca="false">IF(OR($BV79="",$BV79=9999,$BV79=0),"",IFERROR(INDEX(Raw!$O$2:$O$1001,MATCH($A79&amp;"|C|"&amp;$BV79,Raw!$S$2:$S$1001,0)),""))</f>
        <v/>
      </c>
      <c r="BX79" s="9" t="str">
        <f aca="false">IF($B79="","",IF(ISNUMBER(SEARCH(","&amp;$A79&amp;",",","&amp;SUBSTITUTE(Setup!$B$16," ","")&amp;",")),1,0))</f>
        <v/>
      </c>
      <c r="BY79" s="9" t="str">
        <f aca="false">IF($B79="","",IF(ISNUMBER(SEARCH(","&amp;$A79&amp;",",","&amp;SUBSTITUTE(Setup!$B$17," ","")&amp;",")),1,0))</f>
        <v/>
      </c>
      <c r="BZ79" s="22" t="str">
        <f aca="false">IF($AS79="","",IF(Fits!$B$38="Row",$AQ79,IF($AR79="","",$AR79)))</f>
        <v/>
      </c>
      <c r="CA79" s="22" t="str">
        <f aca="false">IF($AT79="","",IF(Fits!$B$50="Row",$AQ79,IF($AR79="","",$AR79)))</f>
        <v/>
      </c>
      <c r="CB79" s="20" t="str">
        <f aca="false">IF(OR($D79&lt;&gt;"Drift",$X79="",$A79&lt;IF(Setup!$B$14="",0,Setup!$B$14),Fits!$B$107&lt;3,Fits!$B$110="",Fits!$B$109=0,IF(Fits!$B$38="Row",$AQ79,$AR79)=""),"",IF($BX79=1,IF(OR(Fits!$B$111="",Fits!$B$111=0),"",($X79-(IF(Fits!$B$38="Row",Fits!$B$32,Fits!$B$35)*IF(Fits!$B$38="Row",$AQ79,$AR79)+Fits!$B$110))/(Fits!$B$111*SQRT(1+(1/Fits!$B$107+(IF(Fits!$B$38="Row",$AQ79,$AR79)-Fits!$B$108)^2/Fits!$B$109)))),IF(OR(Fits!$B$107&lt;4,(1/Fits!$B$107+(IF(Fits!$B$38="Row",$AQ79,$AR79)-Fits!$B$108)^2/Fits!$B$109)&gt;=1),"",IF((Fits!$B$116-($X79-(IF(Fits!$B$38="Row",Fits!$B$32,Fits!$B$35)*IF(Fits!$B$38="Row",$AQ79,$AR79)+Fits!$B$110))^2/(1-(1/Fits!$B$107+(IF(Fits!$B$38="Row",$AQ79,$AR79)-Fits!$B$108)^2/Fits!$B$109)))&lt;=0,"",($X79-(IF(Fits!$B$38="Row",Fits!$B$32,Fits!$B$35)*IF(Fits!$B$38="Row",$AQ79,$AR79)+Fits!$B$110))/(SQRT((Fits!$B$116-($X79-(IF(Fits!$B$38="Row",Fits!$B$32,Fits!$B$35)*IF(Fits!$B$38="Row",$AQ79,$AR79)+Fits!$B$110))^2/(1-(1/Fits!$B$107+(IF(Fits!$B$38="Row",$AQ79,$AR79)-Fits!$B$108)^2/Fits!$B$109)))/(Fits!$B$107-3))*SQRT(1-(1/Fits!$B$107+(IF(Fits!$B$38="Row",$AQ79,$AR79)-Fits!$B$108)^2/Fits!$B$109)))))))</f>
        <v/>
      </c>
      <c r="CC79" s="20" t="str">
        <f aca="false">IF(OR($D79&lt;&gt;"Drift",$AC79="",$A79&lt;IF(Setup!$B$14="",0,Setup!$B$14),Fits!$B$120&lt;3,Fits!$B$123="",Fits!$B$122=0,IF(Fits!$B$50="Row",$AQ79,$AR79)=""),"",IF($BY79=1,IF(OR(Fits!$B$124="",Fits!$B$124=0),"",($AC79-(IF(Fits!$B$50="Row",Fits!$B$44,Fits!$B$47)*IF(Fits!$B$50="Row",$AQ79,$AR79)+Fits!$B$123))/(Fits!$B$124*SQRT(1+(1/Fits!$B$120+(IF(Fits!$B$50="Row",$AQ79,$AR79)-Fits!$B$121)^2/Fits!$B$122)))),IF(OR(Fits!$B$120&lt;4,(1/Fits!$B$120+(IF(Fits!$B$50="Row",$AQ79,$AR79)-Fits!$B$121)^2/Fits!$B$122)&gt;=1),"",IF((Fits!$B$129-($AC79-(IF(Fits!$B$50="Row",Fits!$B$44,Fits!$B$47)*IF(Fits!$B$50="Row",$AQ79,$AR79)+Fits!$B$123))^2/(1-(1/Fits!$B$120+(IF(Fits!$B$50="Row",$AQ79,$AR79)-Fits!$B$121)^2/Fits!$B$122)))&lt;=0,"",($AC79-(IF(Fits!$B$50="Row",Fits!$B$44,Fits!$B$47)*IF(Fits!$B$50="Row",$AQ79,$AR79)+Fits!$B$123))/(SQRT((Fits!$B$129-($AC79-(IF(Fits!$B$50="Row",Fits!$B$44,Fits!$B$47)*IF(Fits!$B$50="Row",$AQ79,$AR79)+Fits!$B$123))^2/(1-(1/Fits!$B$120+(IF(Fits!$B$50="Row",$AQ79,$AR79)-Fits!$B$121)^2/Fits!$B$122)))/(Fits!$B$120-3))*SQRT(1-(1/Fits!$B$120+(IF(Fits!$B$50="Row",$AQ79,$AR79)-Fits!$B$121)^2/Fits!$B$122)))))))</f>
        <v/>
      </c>
      <c r="CD79" s="9" t="str">
        <f aca="false">IF($AU79="","",1)</f>
        <v/>
      </c>
      <c r="CE79" s="24" t="str">
        <f aca="false">IF($AU79="","",$AU79-Fits!$B$133)</f>
        <v/>
      </c>
      <c r="CF79" s="24" t="str">
        <f aca="false">IF($AU79="","",($AV79-(Fits!$B$56*$AU79+Fits!$B$57))-Fits!$B$56*($AU79-Fits!$B$133))</f>
        <v/>
      </c>
      <c r="CG79" s="25" t="str">
        <f aca="false">IF($AU79="","",$AU79^2)</f>
        <v/>
      </c>
      <c r="CH79" s="9" t="str">
        <f aca="false">IF($AW79="","",1)</f>
        <v/>
      </c>
      <c r="CI79" s="24" t="str">
        <f aca="false">IF($AW79="","",$AW79-Fits!$B$153)</f>
        <v/>
      </c>
      <c r="CJ79" s="24" t="str">
        <f aca="false">IF($AW79="","",($AX79-(Fits!$B$63*$AW79+Fits!$B$64))-Fits!$B$63*($AW79-Fits!$B$153))</f>
        <v/>
      </c>
      <c r="CK79" s="25" t="str">
        <f aca="false">IF($AW79="","",$AW79^2)</f>
        <v/>
      </c>
      <c r="CL79" s="26" t="str">
        <f aca="false">IF(OR($Z79="",Fits!$B$55&lt;3,Fits!$B$133="",Fits!$B$134="",Fits!$B$134=0,Fits!$B$136=""),"",SQRT((Fits!$B$136*Fits!$B$56)^2+SUMPRODUCT((Fits!$J$163:$J$175*(Fits!$B$163:$B$175/Fits!$B$55+Fits!$H$163:$H$175*($Z79-Fits!$B$133)/Fits!$B$134))^2)+SUMPRODUCT((Fits!$G$163:$G$175*(($Z79-Fits!$B$133)*Fits!$I$163:$I$175/Fits!$B$134-Fits!$B$163:$B$175*Fits!$B$56/Fits!$B$55))^2)))</f>
        <v/>
      </c>
      <c r="CM79" s="26" t="str">
        <f aca="false">IF($CL79="","",Setup!$B$32*$CL79)</f>
        <v/>
      </c>
      <c r="CN79" s="26" t="str">
        <f aca="false">IF(OR($AE79="",Fits!$B$62&lt;3,Fits!$B$153="",Fits!$B$154="",Fits!$B$154=0,Fits!$B$156=""),"",SQRT((Fits!$B$156*Fits!$B$63)^2+SUMPRODUCT((Fits!$J$183:$J$195*(Fits!$B$183:$B$195/Fits!$B$62+Fits!$H$183:$H$195*($AE79-Fits!$B$153)/Fits!$B$154))^2)+SUMPRODUCT((Fits!$G$183:$G$195*(($AE79-Fits!$B$153)*Fits!$I$183:$I$195/Fits!$B$154-Fits!$B$183:$B$195*Fits!$B$63/Fits!$B$62))^2)))</f>
        <v/>
      </c>
      <c r="CO79" s="26" t="str">
        <f aca="false">IF($CN79="","",Setup!$B$32*$CN79)</f>
        <v/>
      </c>
      <c r="CP79" s="9" t="n">
        <f aca="false">IF(OR(NOT(ISNUMBER($BJ79)),$EK79=1),$CP78,IF($BJ79&lt;=Setup!$B$26,$CP78+1,0))</f>
        <v>26</v>
      </c>
      <c r="CQ79" s="9" t="str">
        <f aca="false">IF($BT79="","",$A79)</f>
        <v/>
      </c>
      <c r="CR79" s="9" t="str">
        <f aca="false">IF($BW79="","",$A79)</f>
        <v/>
      </c>
      <c r="CS79" s="9" t="str">
        <f aca="false">IF($B79="","",IF(Setup!$A$37="",0,IF(ISNUMBER(SEARCH(Setup!$A$37,$B79)),37,0)))</f>
        <v/>
      </c>
      <c r="CT79" s="9" t="str">
        <f aca="false">IF($B79="","",IF(Setup!$A$38="",0,IF(ISNUMBER(SEARCH(Setup!$A$38,$B79)),38,0)))</f>
        <v/>
      </c>
      <c r="CU79" s="9" t="str">
        <f aca="false">IF($B79="","",IF(Setup!$A$39="",0,IF(ISNUMBER(SEARCH(Setup!$A$39,$B79)),39,0)))</f>
        <v/>
      </c>
      <c r="CV79" s="9" t="str">
        <f aca="false">IF($B79="","",IF(Setup!$A$40="",0,IF(ISNUMBER(SEARCH(Setup!$A$40,$B79)),40,0)))</f>
        <v/>
      </c>
      <c r="CW79" s="9" t="str">
        <f aca="false">IF($B79="","",IF(Setup!$A$41="",0,IF(ISNUMBER(SEARCH(Setup!$A$41,$B79)),41,0)))</f>
        <v/>
      </c>
      <c r="CX79" s="9" t="str">
        <f aca="false">IF($B79="","",IF(Setup!$A$42="",0,IF(ISNUMBER(SEARCH(Setup!$A$42,$B79)),42,0)))</f>
        <v/>
      </c>
      <c r="CY79" s="9" t="str">
        <f aca="false">IF($B79="","",IF(Setup!$A$43="",0,IF(ISNUMBER(SEARCH(Setup!$A$43,$B79)),43,0)))</f>
        <v/>
      </c>
      <c r="CZ79" s="9" t="str">
        <f aca="false">IF($B79="","",IF(Setup!$A$44="",0,IF(ISNUMBER(SEARCH(Setup!$A$44,$B79)),44,0)))</f>
        <v/>
      </c>
      <c r="DA79" s="9" t="str">
        <f aca="false">IF($B79="","",IF(Setup!$A$45="",0,IF(ISNUMBER(SEARCH(Setup!$A$45,$B79)),45,0)))</f>
        <v/>
      </c>
      <c r="DB79" s="9" t="str">
        <f aca="false">IF($B79="","",IF(Setup!$A$46="",0,IF(ISNUMBER(SEARCH(Setup!$A$46,$B79)),46,0)))</f>
        <v/>
      </c>
      <c r="DC79" s="9" t="str">
        <f aca="false">IF($B79="","",IF(Setup!$A$47="",0,IF(ISNUMBER(SEARCH(Setup!$A$47,$B79)),47,0)))</f>
        <v/>
      </c>
      <c r="DD79" s="9" t="str">
        <f aca="false">IF($B79="","",IF(Setup!$A$48="",0,IF(ISNUMBER(SEARCH(Setup!$A$48,$B79)),48,0)))</f>
        <v/>
      </c>
      <c r="DE79" s="9" t="str">
        <f aca="false">IF($B79="","",IF(Setup!$A$49="",0,IF(ISNUMBER(SEARCH(Setup!$A$49,$B79)),49,0)))</f>
        <v/>
      </c>
      <c r="DF79" s="9" t="e">
        <f aca="false">IF($B79="",NA(),$A79)</f>
        <v>#N/A</v>
      </c>
      <c r="DG79" s="9" t="e">
        <f aca="false">IF($BI79="",NA(),$BI79)</f>
        <v>#N/A</v>
      </c>
      <c r="DH79" s="9" t="e">
        <f aca="false">IF($N79="",NA(),$N79)</f>
        <v>#N/A</v>
      </c>
      <c r="DI79" s="9" t="e">
        <f aca="false">IF(AND($D79="Drift",$N79&lt;&gt;""),$N79,NA())</f>
        <v>#N/A</v>
      </c>
      <c r="DJ79" s="9" t="str">
        <f aca="false">IF(AND($D79="Drift",$N79&lt;&gt;""),$N79,"")</f>
        <v/>
      </c>
      <c r="DK79" s="9" t="str">
        <f aca="false">IF($DJ79="","",$A79)</f>
        <v/>
      </c>
      <c r="DL79" s="9" t="e">
        <f aca="false">IF($AN79="",NA(),$AM79)</f>
        <v>#N/A</v>
      </c>
      <c r="DM79" s="9" t="e">
        <f aca="false">IF($AN79="",NA(),$AN79)</f>
        <v>#N/A</v>
      </c>
      <c r="DN79" s="9" t="e">
        <f aca="false">IF(AND($D79="Sample",$L79&lt;&gt;""),$L79,NA())</f>
        <v>#N/A</v>
      </c>
      <c r="DO79" s="9" t="e">
        <f aca="false">IF(AND($D79="Sample",$L79&lt;&gt;"",Fits!$B$98&lt;&gt;""),Fits!$B$98,NA())</f>
        <v>#N/A</v>
      </c>
      <c r="DP79" s="9" t="e">
        <f aca="false">IF($AS79="",NA(),$AS79)</f>
        <v>#N/A</v>
      </c>
      <c r="DQ79" s="9" t="e">
        <f aca="false">IF(AND($D79="Drift",$AS79="",$X79&lt;&gt;""),$X79,NA())</f>
        <v>#N/A</v>
      </c>
      <c r="DR79" s="9" t="e">
        <f aca="false">IF(AND($D79="Drift",$Z79&lt;&gt;""),$Z79,NA())</f>
        <v>#N/A</v>
      </c>
      <c r="DS79" s="9" t="e">
        <f aca="false">IF(AND(OR($D79="Sample",$D79="Check"),$AA79&lt;&gt;""),$AA79,NA())</f>
        <v>#N/A</v>
      </c>
      <c r="DT79" s="9" t="e">
        <f aca="false">IF(OR($B79="",Fits!$B$138=""),NA(),Fits!$B$138)</f>
        <v>#N/A</v>
      </c>
      <c r="DU79" s="9" t="e">
        <f aca="false">IF(OR($B79="",Fits!$B$139=""),NA(),Fits!$B$139)</f>
        <v>#N/A</v>
      </c>
      <c r="DV79" s="9" t="e">
        <f aca="false">IF($BT79="",NA(),$BT79)</f>
        <v>#N/A</v>
      </c>
      <c r="DW79" s="9" t="e">
        <f aca="false">IF($AP79="",NA(),$AO79)</f>
        <v>#N/A</v>
      </c>
      <c r="DX79" s="9" t="e">
        <f aca="false">IF($AP79="",NA(),$AP79)</f>
        <v>#N/A</v>
      </c>
      <c r="DY79" s="9" t="e">
        <f aca="false">IF(AND($D79="Sample",$P79&lt;&gt;""),$P79,NA())</f>
        <v>#N/A</v>
      </c>
      <c r="DZ79" s="9" t="e">
        <f aca="false">IF(AND($D79="Sample",$P79&lt;&gt;"",Fits!$B$105&lt;&gt;""),Fits!$B$105,NA())</f>
        <v>#N/A</v>
      </c>
      <c r="EA79" s="9" t="e">
        <f aca="false">IF($AT79="",NA(),$AT79)</f>
        <v>#N/A</v>
      </c>
      <c r="EB79" s="9" t="e">
        <f aca="false">IF(AND($D79="Drift",$AT79="",$AC79&lt;&gt;""),$AC79,NA())</f>
        <v>#N/A</v>
      </c>
      <c r="EC79" s="9" t="e">
        <f aca="false">IF(AND($D79="Drift",$AE79&lt;&gt;""),$AE79,NA())</f>
        <v>#N/A</v>
      </c>
      <c r="ED79" s="9" t="e">
        <f aca="false">IF(AND(OR($D79="Sample",$D79="Check"),$AF79&lt;&gt;""),$AF79,NA())</f>
        <v>#N/A</v>
      </c>
      <c r="EE79" s="9" t="e">
        <f aca="false">IF(OR($B79="",Fits!$B$158=""),NA(),Fits!$B$158)</f>
        <v>#N/A</v>
      </c>
      <c r="EF79" s="9" t="e">
        <f aca="false">IF(OR($B79="",Fits!$B$159=""),NA(),Fits!$B$159)</f>
        <v>#N/A</v>
      </c>
      <c r="EG79" s="9" t="e">
        <f aca="false">IF($BW79="",NA(),$BW79)</f>
        <v>#N/A</v>
      </c>
      <c r="EH79" s="9" t="e">
        <f aca="false">IF(AND($EN79=1,ISNUMBER($N79)),$N79,NA())</f>
        <v>#N/A</v>
      </c>
      <c r="EI79" s="9" t="str">
        <f aca="false">IF($B79="","",$A79)</f>
        <v/>
      </c>
      <c r="EJ79" s="9" t="n">
        <f aca="false">IF(OR(AND(ISNUMBER($L79),Fits!$B$97&gt;0,$L79&gt;Fits!$B$97),AND(ISNUMBER($P79),Fits!$B$104&gt;0,$P79&gt;Fits!$B$104)),1,0)</f>
        <v>0</v>
      </c>
      <c r="EK79" s="9" t="n">
        <f aca="false">IF(OR($EJ78=1,$EJ77=1),1,0)</f>
        <v>0</v>
      </c>
      <c r="EL79" s="22" t="n">
        <f aca="false">IF(AND($EK79=0,ISNUMBER($N79)),$N79,$EL78)</f>
        <v>25.7</v>
      </c>
      <c r="EM79" s="9" t="str">
        <f aca="false">IF(AND($EK79=1,ISNUMBER($N79),ISNUMBER($EL79)),$N79-$EL79,"")</f>
        <v/>
      </c>
      <c r="EN79" s="9" t="n">
        <f aca="false">IF(Setup!$B$28="",0,IF(ISNUMBER($EM79),IF($EM79&gt;Setup!$B$28,1,0),0))</f>
        <v>0</v>
      </c>
      <c r="EO79" s="9" t="str">
        <f aca="false">IF($EN79=1,COUNTIF($EN$6:$EN79,1),"")</f>
        <v/>
      </c>
      <c r="EP79" s="9" t="n">
        <f aca="false">IF(AND($EJ78=1,OR($D79="Sample",$D79="Check")),1,0)</f>
        <v>0</v>
      </c>
      <c r="EQ79" s="9" t="str">
        <f aca="false">IF(ISNUMBER($BI79),IF(COUNT($BI$6:$BI79)&lt;=5,$BI79,""),"")</f>
        <v/>
      </c>
      <c r="ER79" s="9" t="n">
        <f aca="false">IF(OR(NOT(ISNUMBER($BJ79)),$EK79=1),$ER78,IF($BJ79&lt;=Setup!$B$26,IF($CP78=0,$A79,$ER78),""))</f>
        <v>27</v>
      </c>
    </row>
    <row r="80" customFormat="false" ht="15" hidden="false" customHeight="false" outlineLevel="0" collapsed="false">
      <c r="A80" s="8" t="n">
        <v>75</v>
      </c>
      <c r="B80" s="8" t="str">
        <f aca="false">IFERROR(INDEX(Raw!$B$2:$B$1001,MATCH($A80,Raw!$A$2:$A$1001,0)),"")</f>
        <v/>
      </c>
      <c r="C80" s="9" t="str">
        <f aca="false">IF($B80="","",MAX($CS80:$DE80))</f>
        <v/>
      </c>
      <c r="D80" s="8" t="str">
        <f aca="false">IF($B80="","",IF($C80=0,"Sample",INDEX(Setup!$B$37:$B$49,$C80-36)))</f>
        <v/>
      </c>
      <c r="E80" s="16" t="str">
        <f aca="false">IF($B80="","",IFERROR(IF(INDEX(Raw!$E$2:$E$1001,MATCH($A80,Raw!$A$2:$A$1001,0))=0,"",INDEX(Raw!$E$2:$E$1001,MATCH($A80,Raw!$A$2:$A$1001,0))),""))</f>
        <v/>
      </c>
      <c r="F80" s="18"/>
      <c r="G80" s="16" t="str">
        <f aca="false">IF($B80="","",IF($F80&lt;&gt;"",$F80,IF($E80="","",$E80)))</f>
        <v/>
      </c>
      <c r="H80" s="9" t="str">
        <f aca="false">IF($B80="","",SUMPRODUCT(MAX((Raw!$A$2:$A$1001=$A80)*(Raw!$R$2:$R$1001="N")*Raw!$D$2:$D$1001)))</f>
        <v/>
      </c>
      <c r="I80" s="9" t="str">
        <f aca="false">IF(OR($H80="",$H80=0),"",$A80&amp;"|N|"&amp;$H80)</f>
        <v/>
      </c>
      <c r="J80" s="9" t="str">
        <f aca="false">IF($B80="","",SUMPRODUCT(MIN((Raw!$A$2:$A$1001=$A80)*(Raw!$R$2:$R$1001="C")*Raw!$D$2:$D$1001+(1-(Raw!$A$2:$A$1001=$A80)*(Raw!$R$2:$R$1001="C"))*9999)))</f>
        <v/>
      </c>
      <c r="K80" s="9" t="str">
        <f aca="false">IF(OR($J80="",$J80=0,$J80=9999),"",$A80&amp;"|C|"&amp;$J80)</f>
        <v/>
      </c>
      <c r="L80" s="16" t="str">
        <f aca="false">IF($I80="","",IF(INDEX(Raw!$I$2:$I$1001,MATCH($I80,Raw!$S$2:$S$1001,0))&lt;&gt;0,"",INDEX(Raw!$H$2:$H$1001,MATCH($I80,Raw!$S$2:$S$1001,0))))</f>
        <v/>
      </c>
      <c r="M80" s="19" t="str">
        <f aca="false">IF($I80="","",IF(INDEX(Raw!$I$2:$I$1001,MATCH($I80,Raw!$S$2:$S$1001,0))&lt;&gt;0,"",INDEX(Raw!$F$2:$F$1001,MATCH($I80,Raw!$S$2:$S$1001,0))))</f>
        <v/>
      </c>
      <c r="N80" s="20" t="str">
        <f aca="false">IF($I80="","",IF(INDEX(Raw!$I$2:$I$1001,MATCH($I80,Raw!$S$2:$S$1001,0))&lt;&gt;0,"",INDEX(Raw!$G$2:$G$1001,MATCH($I80,Raw!$S$2:$S$1001,0))))</f>
        <v/>
      </c>
      <c r="O80" s="16" t="str">
        <f aca="false">IF($I80="","",IF(INDEX(Raw!$I$2:$I$1001,MATCH($I80,Raw!$S$2:$S$1001,0))&lt;&gt;0,"",INDEX(Raw!$N$2:$N$1001,MATCH($I80,Raw!$S$2:$S$1001,0))))</f>
        <v/>
      </c>
      <c r="P80" s="16" t="str">
        <f aca="false">IF($K80="","",IF(INDEX(Raw!$I$2:$I$1001,MATCH($K80,Raw!$S$2:$S$1001,0))&lt;&gt;0,"",INDEX(Raw!$K$2:$K$1001,MATCH($K80,Raw!$S$2:$S$1001,0))))</f>
        <v/>
      </c>
      <c r="Q80" s="19" t="str">
        <f aca="false">IF($K80="","",IF(INDEX(Raw!$I$2:$I$1001,MATCH($K80,Raw!$S$2:$S$1001,0))&lt;&gt;0,"",INDEX(Raw!$J$2:$J$1001,MATCH($K80,Raw!$S$2:$S$1001,0))))</f>
        <v/>
      </c>
      <c r="R80" s="16" t="str">
        <f aca="false">IF($K80="","",IF(INDEX(Raw!$I$2:$I$1001,MATCH($K80,Raw!$S$2:$S$1001,0))&lt;&gt;0,"",INDEX(Raw!$O$2:$O$1001,MATCH($K80,Raw!$S$2:$S$1001,0))))</f>
        <v/>
      </c>
      <c r="S80" s="21" t="str">
        <f aca="false">IF($B80="","",IF($C80=0,"",IF(INDEX(Setup!$D$37:$D$49,$C80-36)="","",INDEX(Setup!$D$37:$D$49,$C80-36))))</f>
        <v/>
      </c>
      <c r="T80" s="21" t="str">
        <f aca="false">IF($B80="","",IF($C80=0,"",IF(INDEX(Setup!$C$37:$C$49,$C80-36)="","",INDEX(Setup!$C$37:$C$49,$C80-36))))</f>
        <v/>
      </c>
      <c r="U80" s="21" t="str">
        <f aca="false">IF($B80="","",IF($C80=0,"",IF(INDEX(Setup!$F$37:$F$49,$C80-36)="","",INDEX(Setup!$F$37:$F$49,$C80-36))))</f>
        <v/>
      </c>
      <c r="V80" s="21" t="str">
        <f aca="false">IF($B80="","",IF($C80=0,"",IF(INDEX(Setup!$E$37:$E$49,$C80-36)="","",INDEX(Setup!$E$37:$E$49,$C80-36))))</f>
        <v/>
      </c>
      <c r="W80" s="16" t="str">
        <f aca="false">IF($O80="","",IF(OR(Fits!$C$5&lt;&gt;"Yes",$D80="Blank",$L80&lt;=Fits!$B$6),$O80,($L80*$O80-Fits!$B$6*Fits!$B$7)/($L80-Fits!$B$6)))</f>
        <v/>
      </c>
      <c r="X80" s="16" t="str">
        <f aca="false">IF($W80="","",$W80-Fits!$B$20*($L80-Fits!$B$16))</f>
        <v/>
      </c>
      <c r="Y80" s="22" t="str">
        <f aca="false">IF($W80="","",IF(OR(Fits!$B$38="Row",$BI80=""),$A80,$BI80))</f>
        <v/>
      </c>
      <c r="Z80" s="16" t="str">
        <f aca="false">IF($X80="","",$X80-Fits!$B$39*($Y80-Fits!$B$40))</f>
        <v/>
      </c>
      <c r="AA80" s="23" t="str">
        <f aca="false">IF(OR($Z80="",Fits!$B$55&lt;2),"",Fits!$B$56*$Z80+Fits!$B$57)</f>
        <v/>
      </c>
      <c r="AB80" s="16" t="str">
        <f aca="false">IF($R80="","",IF(OR(Fits!$C$9&lt;&gt;"Yes",$D80="Blank",$P80&lt;=Fits!$B$10),$R80,($P80*$R80-Fits!$B$10*Fits!$B$11)/($P80-Fits!$B$10)))</f>
        <v/>
      </c>
      <c r="AC80" s="16" t="str">
        <f aca="false">IF($AB80="","",$AB80-Fits!$B$28*($P80-Fits!$B$24))</f>
        <v/>
      </c>
      <c r="AD80" s="22" t="str">
        <f aca="false">IF($AB80="","",IF(OR(Fits!$B$50="Row",$BI80=""),$A80,$BI80))</f>
        <v/>
      </c>
      <c r="AE80" s="16" t="str">
        <f aca="false">IF($AC80="","",$AC80-Fits!$B$51*($AD80-Fits!$B$52))</f>
        <v/>
      </c>
      <c r="AF80" s="23" t="str">
        <f aca="false">IF(OR($AE80="",Fits!$B$62&lt;2),"",Fits!$B$63*$AE80+Fits!$B$64)</f>
        <v/>
      </c>
      <c r="AG80" s="21" t="str">
        <f aca="false">IF(OR($L80="",Fits!$B$69&lt;3),"",($L80-Fits!$B$71)/Fits!$B$70)</f>
        <v/>
      </c>
      <c r="AH80" s="21" t="str">
        <f aca="false">IF(OR($P80="",Fits!$B$75&lt;3),"",($P80-Fits!$B$77)/Fits!$B$76)</f>
        <v/>
      </c>
      <c r="AI80" s="23" t="str">
        <f aca="false">IF(OR($AG80="",$G80="",$G80=0),"",$AG80/($G80*1000)*100)</f>
        <v/>
      </c>
      <c r="AJ80" s="23" t="str">
        <f aca="false">IF(OR($AH80="",$G80="",$G80=0),"",$AH80/($G80*1000)*100)</f>
        <v/>
      </c>
      <c r="AK80" s="23" t="str">
        <f aca="false">IF(OR($AG80="",$AH80="",$AG80&lt;=0),"",($AH80/Setup!$B$52)/($AG80/Setup!$B$53))</f>
        <v/>
      </c>
      <c r="AL80" s="23" t="str">
        <f aca="false">IF(OR($AG80="",$AH80="",$AG80&lt;=0),"",$AH80/$AG80)</f>
        <v/>
      </c>
      <c r="AM80" s="9" t="str">
        <f aca="false">IF($D80="Linearity",IF($L80="","",$L80),"")</f>
        <v/>
      </c>
      <c r="AN80" s="9" t="str">
        <f aca="false">IF($D80="Linearity",IF($W80="","",$W80),"")</f>
        <v/>
      </c>
      <c r="AO80" s="9" t="str">
        <f aca="false">IF($D80="Linearity",IF($P80="","",$P80),"")</f>
        <v/>
      </c>
      <c r="AP80" s="9" t="str">
        <f aca="false">IF($D80="Linearity",IF($AB80="","",$AB80),"")</f>
        <v/>
      </c>
      <c r="AQ80" s="9" t="str">
        <f aca="false">IF($D80="Drift",IF($A80&lt;IF(Setup!$B$14="",0,Setup!$B$14),"",$A80),"")</f>
        <v/>
      </c>
      <c r="AR80" s="9" t="str">
        <f aca="false">IF($D80="Drift",IF($A80&lt;IF(Setup!$B$14="",0,Setup!$B$14),"",IF($BI80="","",$BI80)),"")</f>
        <v/>
      </c>
      <c r="AS80" s="9" t="str">
        <f aca="false">IF($D80="Drift",IF($A80&lt;IF(Setup!$B$14="",0,Setup!$B$14),"",IF(OR($X80="",$BX80=1),"",$X80)),"")</f>
        <v/>
      </c>
      <c r="AT80" s="9" t="str">
        <f aca="false">IF($D80="Drift",IF($A80&lt;IF(Setup!$B$14="",0,Setup!$B$14),"",IF(OR($AC80="",$BY80=1),"",$AC80)),"")</f>
        <v/>
      </c>
      <c r="AU80" s="9" t="str">
        <f aca="false">IF($D80="Anchor",IF(OR($Z80="",$S80=""),"",$Z80),"")</f>
        <v/>
      </c>
      <c r="AV80" s="9" t="str">
        <f aca="false">IF($D80="Anchor",IF(OR($Z80="",$S80=""),"",$S80),"")</f>
        <v/>
      </c>
      <c r="AW80" s="9" t="str">
        <f aca="false">IF($D80="Anchor",IF(OR($AE80="",$T80=""),"",$AE80),"")</f>
        <v/>
      </c>
      <c r="AX80" s="9" t="str">
        <f aca="false">IF($D80="Anchor",IF(OR($AE80="",$T80=""),"",$T80),"")</f>
        <v/>
      </c>
      <c r="AY80" s="9" t="str">
        <f aca="false">IF(OR($D80="Blank",$D80="Exclude",$D80="Sample",$D80="",$G80="",$U80="",$L80=""),"",$G80*1000*$U80/100)</f>
        <v/>
      </c>
      <c r="AZ80" s="9" t="str">
        <f aca="false">IF($AY80="","",$L80)</f>
        <v/>
      </c>
      <c r="BA80" s="9" t="str">
        <f aca="false">IF(OR($D80="Blank",$D80="Exclude",$D80="Sample",$D80="",$G80="",$V80="",$P80=""),"",$G80*1000*$V80/100)</f>
        <v/>
      </c>
      <c r="BB80" s="9" t="str">
        <f aca="false">IF($BA80="","",$P80)</f>
        <v/>
      </c>
      <c r="BC80" s="9" t="str">
        <f aca="false">IF(AND($D80="Blank",$L80&lt;&gt;""),$O80,"")</f>
        <v/>
      </c>
      <c r="BD80" s="9" t="str">
        <f aca="false">IF($BC80="","",$L80)</f>
        <v/>
      </c>
      <c r="BE80" s="9" t="str">
        <f aca="false">IF(AND($D80="Blank",$P80&lt;&gt;""),$R80,"")</f>
        <v/>
      </c>
      <c r="BF80" s="9" t="str">
        <f aca="false">IF($BE80="","",$P80)</f>
        <v/>
      </c>
      <c r="BG80" s="9" t="str">
        <f aca="false">IF(AND($D80="Drift",$BX80&lt;&gt;1),IF($AA80="","",$AA80),"")</f>
        <v/>
      </c>
      <c r="BH80" s="9" t="str">
        <f aca="false">IF(AND($D80="Drift",$BY80&lt;&gt;1),IF($AF80="","",$AF80),"")</f>
        <v/>
      </c>
      <c r="BI80" s="20" t="str">
        <f aca="false">IF($B80="","",IFERROR(INDEX(Raw!$G$2:$G$1001,MATCH($A80&amp;"|N|"&amp;SUMPRODUCT(MAX((Raw!$A$2:$A$1001=$A80)*(Raw!$R$2:$R$1001="N")*(Raw!$I$2:$I$1001=1)*Raw!$D$2:$D$1001)),Raw!$S$2:$S$1001,0)),""))</f>
        <v/>
      </c>
      <c r="BJ80" s="21" t="str">
        <f aca="false">IF(OR($BI80="",Fits!$B$85&lt;=0),"",($BI80-Fits!$B$83)/Fits!$B$85)</f>
        <v/>
      </c>
      <c r="BK80" s="9" t="str">
        <f aca="false">IF($AS80="","",IF($A80&gt;=Fits!$B$86,"",$A80))</f>
        <v/>
      </c>
      <c r="BL80" s="9" t="str">
        <f aca="false">IF($BK80="","",$X80)</f>
        <v/>
      </c>
      <c r="BM80" s="9" t="str">
        <f aca="false">IF($AS80="","",IF($A80&lt;Fits!$B$86,"",$A80))</f>
        <v/>
      </c>
      <c r="BN80" s="9" t="str">
        <f aca="false">IF($BM80="","",$X80)</f>
        <v/>
      </c>
      <c r="BO80" s="9" t="str">
        <f aca="false">IF(AND($D80="Drift",$BX80&lt;&gt;1),IF($O80="","",$O80),"")</f>
        <v/>
      </c>
      <c r="BP80" s="9" t="str">
        <f aca="false">IF(AND($D80="Drift",$BX80&lt;&gt;1),IF($W80="","",$W80),"")</f>
        <v/>
      </c>
      <c r="BQ80" s="9" t="str">
        <f aca="false">IF(AND($D80="Drift",$BX80&lt;&gt;1),IF($X80="","",$X80),"")</f>
        <v/>
      </c>
      <c r="BR80" s="9" t="str">
        <f aca="false">IF(AND($D80="Drift",$BX80&lt;&gt;1),IF($Z80="","",$Z80),"")</f>
        <v/>
      </c>
      <c r="BS80" s="9" t="str">
        <f aca="false">IF(OR($B80="",$H80=""),"",SUMPRODUCT(MIN((Raw!$A$2:$A$1001=$A80)*(Raw!$R$2:$R$1001="N")*(Raw!$I$2:$I$1001=0)*(Raw!$D$2:$D$1001&lt;$H80)*Raw!$D$2:$D$1001+(1-(Raw!$A$2:$A$1001=$A80)*(Raw!$R$2:$R$1001="N")*(Raw!$I$2:$I$1001=0)*(Raw!$D$2:$D$1001&lt;$H80))*9999)))</f>
        <v/>
      </c>
      <c r="BT80" s="16" t="str">
        <f aca="false">IF(OR($BS80="",$BS80=9999,$BS80=0),"",IFERROR(INDEX(Raw!$N$2:$N$1001,MATCH($A80&amp;"|N|"&amp;$BS80,Raw!$S$2:$S$1001,0)),""))</f>
        <v/>
      </c>
      <c r="BU80" s="9" t="str">
        <f aca="false">IF($B80="","",SUMPRODUCT(MIN((Raw!$A$2:$A$1001=$A80)*(Raw!$R$2:$R$1001="C")*(Raw!$I$2:$I$1001=1)*Raw!$D$2:$D$1001+(1-(Raw!$A$2:$A$1001=$A80)*(Raw!$R$2:$R$1001="C")*(Raw!$I$2:$I$1001=1))*9999)))</f>
        <v/>
      </c>
      <c r="BV80" s="9" t="str">
        <f aca="false">IF(OR($BU80="",$BU80=9999),"",SUMPRODUCT(MIN((Raw!$A$2:$A$1001=$A80)*(Raw!$R$2:$R$1001="C")*(Raw!$I$2:$I$1001=0)*(Raw!$D$2:$D$1001&gt;$BU80)*Raw!$D$2:$D$1001+(1-(Raw!$A$2:$A$1001=$A80)*(Raw!$R$2:$R$1001="C")*(Raw!$I$2:$I$1001=0)*(Raw!$D$2:$D$1001&gt;$BU80))*9999)))</f>
        <v/>
      </c>
      <c r="BW80" s="16" t="str">
        <f aca="false">IF(OR($BV80="",$BV80=9999,$BV80=0),"",IFERROR(INDEX(Raw!$O$2:$O$1001,MATCH($A80&amp;"|C|"&amp;$BV80,Raw!$S$2:$S$1001,0)),""))</f>
        <v/>
      </c>
      <c r="BX80" s="9" t="str">
        <f aca="false">IF($B80="","",IF(ISNUMBER(SEARCH(","&amp;$A80&amp;",",","&amp;SUBSTITUTE(Setup!$B$16," ","")&amp;",")),1,0))</f>
        <v/>
      </c>
      <c r="BY80" s="9" t="str">
        <f aca="false">IF($B80="","",IF(ISNUMBER(SEARCH(","&amp;$A80&amp;",",","&amp;SUBSTITUTE(Setup!$B$17," ","")&amp;",")),1,0))</f>
        <v/>
      </c>
      <c r="BZ80" s="22" t="str">
        <f aca="false">IF($AS80="","",IF(Fits!$B$38="Row",$AQ80,IF($AR80="","",$AR80)))</f>
        <v/>
      </c>
      <c r="CA80" s="22" t="str">
        <f aca="false">IF($AT80="","",IF(Fits!$B$50="Row",$AQ80,IF($AR80="","",$AR80)))</f>
        <v/>
      </c>
      <c r="CB80" s="20" t="str">
        <f aca="false">IF(OR($D80&lt;&gt;"Drift",$X80="",$A80&lt;IF(Setup!$B$14="",0,Setup!$B$14),Fits!$B$107&lt;3,Fits!$B$110="",Fits!$B$109=0,IF(Fits!$B$38="Row",$AQ80,$AR80)=""),"",IF($BX80=1,IF(OR(Fits!$B$111="",Fits!$B$111=0),"",($X80-(IF(Fits!$B$38="Row",Fits!$B$32,Fits!$B$35)*IF(Fits!$B$38="Row",$AQ80,$AR80)+Fits!$B$110))/(Fits!$B$111*SQRT(1+(1/Fits!$B$107+(IF(Fits!$B$38="Row",$AQ80,$AR80)-Fits!$B$108)^2/Fits!$B$109)))),IF(OR(Fits!$B$107&lt;4,(1/Fits!$B$107+(IF(Fits!$B$38="Row",$AQ80,$AR80)-Fits!$B$108)^2/Fits!$B$109)&gt;=1),"",IF((Fits!$B$116-($X80-(IF(Fits!$B$38="Row",Fits!$B$32,Fits!$B$35)*IF(Fits!$B$38="Row",$AQ80,$AR80)+Fits!$B$110))^2/(1-(1/Fits!$B$107+(IF(Fits!$B$38="Row",$AQ80,$AR80)-Fits!$B$108)^2/Fits!$B$109)))&lt;=0,"",($X80-(IF(Fits!$B$38="Row",Fits!$B$32,Fits!$B$35)*IF(Fits!$B$38="Row",$AQ80,$AR80)+Fits!$B$110))/(SQRT((Fits!$B$116-($X80-(IF(Fits!$B$38="Row",Fits!$B$32,Fits!$B$35)*IF(Fits!$B$38="Row",$AQ80,$AR80)+Fits!$B$110))^2/(1-(1/Fits!$B$107+(IF(Fits!$B$38="Row",$AQ80,$AR80)-Fits!$B$108)^2/Fits!$B$109)))/(Fits!$B$107-3))*SQRT(1-(1/Fits!$B$107+(IF(Fits!$B$38="Row",$AQ80,$AR80)-Fits!$B$108)^2/Fits!$B$109)))))))</f>
        <v/>
      </c>
      <c r="CC80" s="20" t="str">
        <f aca="false">IF(OR($D80&lt;&gt;"Drift",$AC80="",$A80&lt;IF(Setup!$B$14="",0,Setup!$B$14),Fits!$B$120&lt;3,Fits!$B$123="",Fits!$B$122=0,IF(Fits!$B$50="Row",$AQ80,$AR80)=""),"",IF($BY80=1,IF(OR(Fits!$B$124="",Fits!$B$124=0),"",($AC80-(IF(Fits!$B$50="Row",Fits!$B$44,Fits!$B$47)*IF(Fits!$B$50="Row",$AQ80,$AR80)+Fits!$B$123))/(Fits!$B$124*SQRT(1+(1/Fits!$B$120+(IF(Fits!$B$50="Row",$AQ80,$AR80)-Fits!$B$121)^2/Fits!$B$122)))),IF(OR(Fits!$B$120&lt;4,(1/Fits!$B$120+(IF(Fits!$B$50="Row",$AQ80,$AR80)-Fits!$B$121)^2/Fits!$B$122)&gt;=1),"",IF((Fits!$B$129-($AC80-(IF(Fits!$B$50="Row",Fits!$B$44,Fits!$B$47)*IF(Fits!$B$50="Row",$AQ80,$AR80)+Fits!$B$123))^2/(1-(1/Fits!$B$120+(IF(Fits!$B$50="Row",$AQ80,$AR80)-Fits!$B$121)^2/Fits!$B$122)))&lt;=0,"",($AC80-(IF(Fits!$B$50="Row",Fits!$B$44,Fits!$B$47)*IF(Fits!$B$50="Row",$AQ80,$AR80)+Fits!$B$123))/(SQRT((Fits!$B$129-($AC80-(IF(Fits!$B$50="Row",Fits!$B$44,Fits!$B$47)*IF(Fits!$B$50="Row",$AQ80,$AR80)+Fits!$B$123))^2/(1-(1/Fits!$B$120+(IF(Fits!$B$50="Row",$AQ80,$AR80)-Fits!$B$121)^2/Fits!$B$122)))/(Fits!$B$120-3))*SQRT(1-(1/Fits!$B$120+(IF(Fits!$B$50="Row",$AQ80,$AR80)-Fits!$B$121)^2/Fits!$B$122)))))))</f>
        <v/>
      </c>
      <c r="CD80" s="9" t="str">
        <f aca="false">IF($AU80="","",1)</f>
        <v/>
      </c>
      <c r="CE80" s="24" t="str">
        <f aca="false">IF($AU80="","",$AU80-Fits!$B$133)</f>
        <v/>
      </c>
      <c r="CF80" s="24" t="str">
        <f aca="false">IF($AU80="","",($AV80-(Fits!$B$56*$AU80+Fits!$B$57))-Fits!$B$56*($AU80-Fits!$B$133))</f>
        <v/>
      </c>
      <c r="CG80" s="25" t="str">
        <f aca="false">IF($AU80="","",$AU80^2)</f>
        <v/>
      </c>
      <c r="CH80" s="9" t="str">
        <f aca="false">IF($AW80="","",1)</f>
        <v/>
      </c>
      <c r="CI80" s="24" t="str">
        <f aca="false">IF($AW80="","",$AW80-Fits!$B$153)</f>
        <v/>
      </c>
      <c r="CJ80" s="24" t="str">
        <f aca="false">IF($AW80="","",($AX80-(Fits!$B$63*$AW80+Fits!$B$64))-Fits!$B$63*($AW80-Fits!$B$153))</f>
        <v/>
      </c>
      <c r="CK80" s="25" t="str">
        <f aca="false">IF($AW80="","",$AW80^2)</f>
        <v/>
      </c>
      <c r="CL80" s="26" t="str">
        <f aca="false">IF(OR($Z80="",Fits!$B$55&lt;3,Fits!$B$133="",Fits!$B$134="",Fits!$B$134=0,Fits!$B$136=""),"",SQRT((Fits!$B$136*Fits!$B$56)^2+SUMPRODUCT((Fits!$J$163:$J$175*(Fits!$B$163:$B$175/Fits!$B$55+Fits!$H$163:$H$175*($Z80-Fits!$B$133)/Fits!$B$134))^2)+SUMPRODUCT((Fits!$G$163:$G$175*(($Z80-Fits!$B$133)*Fits!$I$163:$I$175/Fits!$B$134-Fits!$B$163:$B$175*Fits!$B$56/Fits!$B$55))^2)))</f>
        <v/>
      </c>
      <c r="CM80" s="26" t="str">
        <f aca="false">IF($CL80="","",Setup!$B$32*$CL80)</f>
        <v/>
      </c>
      <c r="CN80" s="26" t="str">
        <f aca="false">IF(OR($AE80="",Fits!$B$62&lt;3,Fits!$B$153="",Fits!$B$154="",Fits!$B$154=0,Fits!$B$156=""),"",SQRT((Fits!$B$156*Fits!$B$63)^2+SUMPRODUCT((Fits!$J$183:$J$195*(Fits!$B$183:$B$195/Fits!$B$62+Fits!$H$183:$H$195*($AE80-Fits!$B$153)/Fits!$B$154))^2)+SUMPRODUCT((Fits!$G$183:$G$195*(($AE80-Fits!$B$153)*Fits!$I$183:$I$195/Fits!$B$154-Fits!$B$183:$B$195*Fits!$B$63/Fits!$B$62))^2)))</f>
        <v/>
      </c>
      <c r="CO80" s="26" t="str">
        <f aca="false">IF($CN80="","",Setup!$B$32*$CN80)</f>
        <v/>
      </c>
      <c r="CP80" s="9" t="n">
        <f aca="false">IF(OR(NOT(ISNUMBER($BJ80)),$EK80=1),$CP79,IF($BJ80&lt;=Setup!$B$26,$CP79+1,0))</f>
        <v>26</v>
      </c>
      <c r="CQ80" s="9" t="str">
        <f aca="false">IF($BT80="","",$A80)</f>
        <v/>
      </c>
      <c r="CR80" s="9" t="str">
        <f aca="false">IF($BW80="","",$A80)</f>
        <v/>
      </c>
      <c r="CS80" s="9" t="str">
        <f aca="false">IF($B80="","",IF(Setup!$A$37="",0,IF(ISNUMBER(SEARCH(Setup!$A$37,$B80)),37,0)))</f>
        <v/>
      </c>
      <c r="CT80" s="9" t="str">
        <f aca="false">IF($B80="","",IF(Setup!$A$38="",0,IF(ISNUMBER(SEARCH(Setup!$A$38,$B80)),38,0)))</f>
        <v/>
      </c>
      <c r="CU80" s="9" t="str">
        <f aca="false">IF($B80="","",IF(Setup!$A$39="",0,IF(ISNUMBER(SEARCH(Setup!$A$39,$B80)),39,0)))</f>
        <v/>
      </c>
      <c r="CV80" s="9" t="str">
        <f aca="false">IF($B80="","",IF(Setup!$A$40="",0,IF(ISNUMBER(SEARCH(Setup!$A$40,$B80)),40,0)))</f>
        <v/>
      </c>
      <c r="CW80" s="9" t="str">
        <f aca="false">IF($B80="","",IF(Setup!$A$41="",0,IF(ISNUMBER(SEARCH(Setup!$A$41,$B80)),41,0)))</f>
        <v/>
      </c>
      <c r="CX80" s="9" t="str">
        <f aca="false">IF($B80="","",IF(Setup!$A$42="",0,IF(ISNUMBER(SEARCH(Setup!$A$42,$B80)),42,0)))</f>
        <v/>
      </c>
      <c r="CY80" s="9" t="str">
        <f aca="false">IF($B80="","",IF(Setup!$A$43="",0,IF(ISNUMBER(SEARCH(Setup!$A$43,$B80)),43,0)))</f>
        <v/>
      </c>
      <c r="CZ80" s="9" t="str">
        <f aca="false">IF($B80="","",IF(Setup!$A$44="",0,IF(ISNUMBER(SEARCH(Setup!$A$44,$B80)),44,0)))</f>
        <v/>
      </c>
      <c r="DA80" s="9" t="str">
        <f aca="false">IF($B80="","",IF(Setup!$A$45="",0,IF(ISNUMBER(SEARCH(Setup!$A$45,$B80)),45,0)))</f>
        <v/>
      </c>
      <c r="DB80" s="9" t="str">
        <f aca="false">IF($B80="","",IF(Setup!$A$46="",0,IF(ISNUMBER(SEARCH(Setup!$A$46,$B80)),46,0)))</f>
        <v/>
      </c>
      <c r="DC80" s="9" t="str">
        <f aca="false">IF($B80="","",IF(Setup!$A$47="",0,IF(ISNUMBER(SEARCH(Setup!$A$47,$B80)),47,0)))</f>
        <v/>
      </c>
      <c r="DD80" s="9" t="str">
        <f aca="false">IF($B80="","",IF(Setup!$A$48="",0,IF(ISNUMBER(SEARCH(Setup!$A$48,$B80)),48,0)))</f>
        <v/>
      </c>
      <c r="DE80" s="9" t="str">
        <f aca="false">IF($B80="","",IF(Setup!$A$49="",0,IF(ISNUMBER(SEARCH(Setup!$A$49,$B80)),49,0)))</f>
        <v/>
      </c>
      <c r="DF80" s="9" t="e">
        <f aca="false">IF($B80="",NA(),$A80)</f>
        <v>#N/A</v>
      </c>
      <c r="DG80" s="9" t="e">
        <f aca="false">IF($BI80="",NA(),$BI80)</f>
        <v>#N/A</v>
      </c>
      <c r="DH80" s="9" t="e">
        <f aca="false">IF($N80="",NA(),$N80)</f>
        <v>#N/A</v>
      </c>
      <c r="DI80" s="9" t="e">
        <f aca="false">IF(AND($D80="Drift",$N80&lt;&gt;""),$N80,NA())</f>
        <v>#N/A</v>
      </c>
      <c r="DJ80" s="9" t="str">
        <f aca="false">IF(AND($D80="Drift",$N80&lt;&gt;""),$N80,"")</f>
        <v/>
      </c>
      <c r="DK80" s="9" t="str">
        <f aca="false">IF($DJ80="","",$A80)</f>
        <v/>
      </c>
      <c r="DL80" s="9" t="e">
        <f aca="false">IF($AN80="",NA(),$AM80)</f>
        <v>#N/A</v>
      </c>
      <c r="DM80" s="9" t="e">
        <f aca="false">IF($AN80="",NA(),$AN80)</f>
        <v>#N/A</v>
      </c>
      <c r="DN80" s="9" t="e">
        <f aca="false">IF(AND($D80="Sample",$L80&lt;&gt;""),$L80,NA())</f>
        <v>#N/A</v>
      </c>
      <c r="DO80" s="9" t="e">
        <f aca="false">IF(AND($D80="Sample",$L80&lt;&gt;"",Fits!$B$98&lt;&gt;""),Fits!$B$98,NA())</f>
        <v>#N/A</v>
      </c>
      <c r="DP80" s="9" t="e">
        <f aca="false">IF($AS80="",NA(),$AS80)</f>
        <v>#N/A</v>
      </c>
      <c r="DQ80" s="9" t="e">
        <f aca="false">IF(AND($D80="Drift",$AS80="",$X80&lt;&gt;""),$X80,NA())</f>
        <v>#N/A</v>
      </c>
      <c r="DR80" s="9" t="e">
        <f aca="false">IF(AND($D80="Drift",$Z80&lt;&gt;""),$Z80,NA())</f>
        <v>#N/A</v>
      </c>
      <c r="DS80" s="9" t="e">
        <f aca="false">IF(AND(OR($D80="Sample",$D80="Check"),$AA80&lt;&gt;""),$AA80,NA())</f>
        <v>#N/A</v>
      </c>
      <c r="DT80" s="9" t="e">
        <f aca="false">IF(OR($B80="",Fits!$B$138=""),NA(),Fits!$B$138)</f>
        <v>#N/A</v>
      </c>
      <c r="DU80" s="9" t="e">
        <f aca="false">IF(OR($B80="",Fits!$B$139=""),NA(),Fits!$B$139)</f>
        <v>#N/A</v>
      </c>
      <c r="DV80" s="9" t="e">
        <f aca="false">IF($BT80="",NA(),$BT80)</f>
        <v>#N/A</v>
      </c>
      <c r="DW80" s="9" t="e">
        <f aca="false">IF($AP80="",NA(),$AO80)</f>
        <v>#N/A</v>
      </c>
      <c r="DX80" s="9" t="e">
        <f aca="false">IF($AP80="",NA(),$AP80)</f>
        <v>#N/A</v>
      </c>
      <c r="DY80" s="9" t="e">
        <f aca="false">IF(AND($D80="Sample",$P80&lt;&gt;""),$P80,NA())</f>
        <v>#N/A</v>
      </c>
      <c r="DZ80" s="9" t="e">
        <f aca="false">IF(AND($D80="Sample",$P80&lt;&gt;"",Fits!$B$105&lt;&gt;""),Fits!$B$105,NA())</f>
        <v>#N/A</v>
      </c>
      <c r="EA80" s="9" t="e">
        <f aca="false">IF($AT80="",NA(),$AT80)</f>
        <v>#N/A</v>
      </c>
      <c r="EB80" s="9" t="e">
        <f aca="false">IF(AND($D80="Drift",$AT80="",$AC80&lt;&gt;""),$AC80,NA())</f>
        <v>#N/A</v>
      </c>
      <c r="EC80" s="9" t="e">
        <f aca="false">IF(AND($D80="Drift",$AE80&lt;&gt;""),$AE80,NA())</f>
        <v>#N/A</v>
      </c>
      <c r="ED80" s="9" t="e">
        <f aca="false">IF(AND(OR($D80="Sample",$D80="Check"),$AF80&lt;&gt;""),$AF80,NA())</f>
        <v>#N/A</v>
      </c>
      <c r="EE80" s="9" t="e">
        <f aca="false">IF(OR($B80="",Fits!$B$158=""),NA(),Fits!$B$158)</f>
        <v>#N/A</v>
      </c>
      <c r="EF80" s="9" t="e">
        <f aca="false">IF(OR($B80="",Fits!$B$159=""),NA(),Fits!$B$159)</f>
        <v>#N/A</v>
      </c>
      <c r="EG80" s="9" t="e">
        <f aca="false">IF($BW80="",NA(),$BW80)</f>
        <v>#N/A</v>
      </c>
      <c r="EH80" s="9" t="e">
        <f aca="false">IF(AND($EN80=1,ISNUMBER($N80)),$N80,NA())</f>
        <v>#N/A</v>
      </c>
      <c r="EI80" s="9" t="str">
        <f aca="false">IF($B80="","",$A80)</f>
        <v/>
      </c>
      <c r="EJ80" s="9" t="n">
        <f aca="false">IF(OR(AND(ISNUMBER($L80),Fits!$B$97&gt;0,$L80&gt;Fits!$B$97),AND(ISNUMBER($P80),Fits!$B$104&gt;0,$P80&gt;Fits!$B$104)),1,0)</f>
        <v>0</v>
      </c>
      <c r="EK80" s="9" t="n">
        <f aca="false">IF(OR($EJ79=1,$EJ78=1),1,0)</f>
        <v>0</v>
      </c>
      <c r="EL80" s="22" t="n">
        <f aca="false">IF(AND($EK80=0,ISNUMBER($N80)),$N80,$EL79)</f>
        <v>25.7</v>
      </c>
      <c r="EM80" s="9" t="str">
        <f aca="false">IF(AND($EK80=1,ISNUMBER($N80),ISNUMBER($EL80)),$N80-$EL80,"")</f>
        <v/>
      </c>
      <c r="EN80" s="9" t="n">
        <f aca="false">IF(Setup!$B$28="",0,IF(ISNUMBER($EM80),IF($EM80&gt;Setup!$B$28,1,0),0))</f>
        <v>0</v>
      </c>
      <c r="EO80" s="9" t="str">
        <f aca="false">IF($EN80=1,COUNTIF($EN$6:$EN80,1),"")</f>
        <v/>
      </c>
      <c r="EP80" s="9" t="n">
        <f aca="false">IF(AND($EJ79=1,OR($D80="Sample",$D80="Check")),1,0)</f>
        <v>0</v>
      </c>
      <c r="EQ80" s="9" t="str">
        <f aca="false">IF(ISNUMBER($BI80),IF(COUNT($BI$6:$BI80)&lt;=5,$BI80,""),"")</f>
        <v/>
      </c>
      <c r="ER80" s="9" t="n">
        <f aca="false">IF(OR(NOT(ISNUMBER($BJ80)),$EK80=1),$ER79,IF($BJ80&lt;=Setup!$B$26,IF($CP79=0,$A80,$ER79),""))</f>
        <v>27</v>
      </c>
    </row>
    <row r="81" customFormat="false" ht="15" hidden="false" customHeight="false" outlineLevel="0" collapsed="false">
      <c r="A81" s="8" t="n">
        <v>76</v>
      </c>
      <c r="B81" s="8" t="str">
        <f aca="false">IFERROR(INDEX(Raw!$B$2:$B$1001,MATCH($A81,Raw!$A$2:$A$1001,0)),"")</f>
        <v/>
      </c>
      <c r="C81" s="9" t="str">
        <f aca="false">IF($B81="","",MAX($CS81:$DE81))</f>
        <v/>
      </c>
      <c r="D81" s="8" t="str">
        <f aca="false">IF($B81="","",IF($C81=0,"Sample",INDEX(Setup!$B$37:$B$49,$C81-36)))</f>
        <v/>
      </c>
      <c r="E81" s="16" t="str">
        <f aca="false">IF($B81="","",IFERROR(IF(INDEX(Raw!$E$2:$E$1001,MATCH($A81,Raw!$A$2:$A$1001,0))=0,"",INDEX(Raw!$E$2:$E$1001,MATCH($A81,Raw!$A$2:$A$1001,0))),""))</f>
        <v/>
      </c>
      <c r="F81" s="18"/>
      <c r="G81" s="16" t="str">
        <f aca="false">IF($B81="","",IF($F81&lt;&gt;"",$F81,IF($E81="","",$E81)))</f>
        <v/>
      </c>
      <c r="H81" s="9" t="str">
        <f aca="false">IF($B81="","",SUMPRODUCT(MAX((Raw!$A$2:$A$1001=$A81)*(Raw!$R$2:$R$1001="N")*Raw!$D$2:$D$1001)))</f>
        <v/>
      </c>
      <c r="I81" s="9" t="str">
        <f aca="false">IF(OR($H81="",$H81=0),"",$A81&amp;"|N|"&amp;$H81)</f>
        <v/>
      </c>
      <c r="J81" s="9" t="str">
        <f aca="false">IF($B81="","",SUMPRODUCT(MIN((Raw!$A$2:$A$1001=$A81)*(Raw!$R$2:$R$1001="C")*Raw!$D$2:$D$1001+(1-(Raw!$A$2:$A$1001=$A81)*(Raw!$R$2:$R$1001="C"))*9999)))</f>
        <v/>
      </c>
      <c r="K81" s="9" t="str">
        <f aca="false">IF(OR($J81="",$J81=0,$J81=9999),"",$A81&amp;"|C|"&amp;$J81)</f>
        <v/>
      </c>
      <c r="L81" s="16" t="str">
        <f aca="false">IF($I81="","",IF(INDEX(Raw!$I$2:$I$1001,MATCH($I81,Raw!$S$2:$S$1001,0))&lt;&gt;0,"",INDEX(Raw!$H$2:$H$1001,MATCH($I81,Raw!$S$2:$S$1001,0))))</f>
        <v/>
      </c>
      <c r="M81" s="19" t="str">
        <f aca="false">IF($I81="","",IF(INDEX(Raw!$I$2:$I$1001,MATCH($I81,Raw!$S$2:$S$1001,0))&lt;&gt;0,"",INDEX(Raw!$F$2:$F$1001,MATCH($I81,Raw!$S$2:$S$1001,0))))</f>
        <v/>
      </c>
      <c r="N81" s="20" t="str">
        <f aca="false">IF($I81="","",IF(INDEX(Raw!$I$2:$I$1001,MATCH($I81,Raw!$S$2:$S$1001,0))&lt;&gt;0,"",INDEX(Raw!$G$2:$G$1001,MATCH($I81,Raw!$S$2:$S$1001,0))))</f>
        <v/>
      </c>
      <c r="O81" s="16" t="str">
        <f aca="false">IF($I81="","",IF(INDEX(Raw!$I$2:$I$1001,MATCH($I81,Raw!$S$2:$S$1001,0))&lt;&gt;0,"",INDEX(Raw!$N$2:$N$1001,MATCH($I81,Raw!$S$2:$S$1001,0))))</f>
        <v/>
      </c>
      <c r="P81" s="16" t="str">
        <f aca="false">IF($K81="","",IF(INDEX(Raw!$I$2:$I$1001,MATCH($K81,Raw!$S$2:$S$1001,0))&lt;&gt;0,"",INDEX(Raw!$K$2:$K$1001,MATCH($K81,Raw!$S$2:$S$1001,0))))</f>
        <v/>
      </c>
      <c r="Q81" s="19" t="str">
        <f aca="false">IF($K81="","",IF(INDEX(Raw!$I$2:$I$1001,MATCH($K81,Raw!$S$2:$S$1001,0))&lt;&gt;0,"",INDEX(Raw!$J$2:$J$1001,MATCH($K81,Raw!$S$2:$S$1001,0))))</f>
        <v/>
      </c>
      <c r="R81" s="16" t="str">
        <f aca="false">IF($K81="","",IF(INDEX(Raw!$I$2:$I$1001,MATCH($K81,Raw!$S$2:$S$1001,0))&lt;&gt;0,"",INDEX(Raw!$O$2:$O$1001,MATCH($K81,Raw!$S$2:$S$1001,0))))</f>
        <v/>
      </c>
      <c r="S81" s="21" t="str">
        <f aca="false">IF($B81="","",IF($C81=0,"",IF(INDEX(Setup!$D$37:$D$49,$C81-36)="","",INDEX(Setup!$D$37:$D$49,$C81-36))))</f>
        <v/>
      </c>
      <c r="T81" s="21" t="str">
        <f aca="false">IF($B81="","",IF($C81=0,"",IF(INDEX(Setup!$C$37:$C$49,$C81-36)="","",INDEX(Setup!$C$37:$C$49,$C81-36))))</f>
        <v/>
      </c>
      <c r="U81" s="21" t="str">
        <f aca="false">IF($B81="","",IF($C81=0,"",IF(INDEX(Setup!$F$37:$F$49,$C81-36)="","",INDEX(Setup!$F$37:$F$49,$C81-36))))</f>
        <v/>
      </c>
      <c r="V81" s="21" t="str">
        <f aca="false">IF($B81="","",IF($C81=0,"",IF(INDEX(Setup!$E$37:$E$49,$C81-36)="","",INDEX(Setup!$E$37:$E$49,$C81-36))))</f>
        <v/>
      </c>
      <c r="W81" s="16" t="str">
        <f aca="false">IF($O81="","",IF(OR(Fits!$C$5&lt;&gt;"Yes",$D81="Blank",$L81&lt;=Fits!$B$6),$O81,($L81*$O81-Fits!$B$6*Fits!$B$7)/($L81-Fits!$B$6)))</f>
        <v/>
      </c>
      <c r="X81" s="16" t="str">
        <f aca="false">IF($W81="","",$W81-Fits!$B$20*($L81-Fits!$B$16))</f>
        <v/>
      </c>
      <c r="Y81" s="22" t="str">
        <f aca="false">IF($W81="","",IF(OR(Fits!$B$38="Row",$BI81=""),$A81,$BI81))</f>
        <v/>
      </c>
      <c r="Z81" s="16" t="str">
        <f aca="false">IF($X81="","",$X81-Fits!$B$39*($Y81-Fits!$B$40))</f>
        <v/>
      </c>
      <c r="AA81" s="23" t="str">
        <f aca="false">IF(OR($Z81="",Fits!$B$55&lt;2),"",Fits!$B$56*$Z81+Fits!$B$57)</f>
        <v/>
      </c>
      <c r="AB81" s="16" t="str">
        <f aca="false">IF($R81="","",IF(OR(Fits!$C$9&lt;&gt;"Yes",$D81="Blank",$P81&lt;=Fits!$B$10),$R81,($P81*$R81-Fits!$B$10*Fits!$B$11)/($P81-Fits!$B$10)))</f>
        <v/>
      </c>
      <c r="AC81" s="16" t="str">
        <f aca="false">IF($AB81="","",$AB81-Fits!$B$28*($P81-Fits!$B$24))</f>
        <v/>
      </c>
      <c r="AD81" s="22" t="str">
        <f aca="false">IF($AB81="","",IF(OR(Fits!$B$50="Row",$BI81=""),$A81,$BI81))</f>
        <v/>
      </c>
      <c r="AE81" s="16" t="str">
        <f aca="false">IF($AC81="","",$AC81-Fits!$B$51*($AD81-Fits!$B$52))</f>
        <v/>
      </c>
      <c r="AF81" s="23" t="str">
        <f aca="false">IF(OR($AE81="",Fits!$B$62&lt;2),"",Fits!$B$63*$AE81+Fits!$B$64)</f>
        <v/>
      </c>
      <c r="AG81" s="21" t="str">
        <f aca="false">IF(OR($L81="",Fits!$B$69&lt;3),"",($L81-Fits!$B$71)/Fits!$B$70)</f>
        <v/>
      </c>
      <c r="AH81" s="21" t="str">
        <f aca="false">IF(OR($P81="",Fits!$B$75&lt;3),"",($P81-Fits!$B$77)/Fits!$B$76)</f>
        <v/>
      </c>
      <c r="AI81" s="23" t="str">
        <f aca="false">IF(OR($AG81="",$G81="",$G81=0),"",$AG81/($G81*1000)*100)</f>
        <v/>
      </c>
      <c r="AJ81" s="23" t="str">
        <f aca="false">IF(OR($AH81="",$G81="",$G81=0),"",$AH81/($G81*1000)*100)</f>
        <v/>
      </c>
      <c r="AK81" s="23" t="str">
        <f aca="false">IF(OR($AG81="",$AH81="",$AG81&lt;=0),"",($AH81/Setup!$B$52)/($AG81/Setup!$B$53))</f>
        <v/>
      </c>
      <c r="AL81" s="23" t="str">
        <f aca="false">IF(OR($AG81="",$AH81="",$AG81&lt;=0),"",$AH81/$AG81)</f>
        <v/>
      </c>
      <c r="AM81" s="9" t="str">
        <f aca="false">IF($D81="Linearity",IF($L81="","",$L81),"")</f>
        <v/>
      </c>
      <c r="AN81" s="9" t="str">
        <f aca="false">IF($D81="Linearity",IF($W81="","",$W81),"")</f>
        <v/>
      </c>
      <c r="AO81" s="9" t="str">
        <f aca="false">IF($D81="Linearity",IF($P81="","",$P81),"")</f>
        <v/>
      </c>
      <c r="AP81" s="9" t="str">
        <f aca="false">IF($D81="Linearity",IF($AB81="","",$AB81),"")</f>
        <v/>
      </c>
      <c r="AQ81" s="9" t="str">
        <f aca="false">IF($D81="Drift",IF($A81&lt;IF(Setup!$B$14="",0,Setup!$B$14),"",$A81),"")</f>
        <v/>
      </c>
      <c r="AR81" s="9" t="str">
        <f aca="false">IF($D81="Drift",IF($A81&lt;IF(Setup!$B$14="",0,Setup!$B$14),"",IF($BI81="","",$BI81)),"")</f>
        <v/>
      </c>
      <c r="AS81" s="9" t="str">
        <f aca="false">IF($D81="Drift",IF($A81&lt;IF(Setup!$B$14="",0,Setup!$B$14),"",IF(OR($X81="",$BX81=1),"",$X81)),"")</f>
        <v/>
      </c>
      <c r="AT81" s="9" t="str">
        <f aca="false">IF($D81="Drift",IF($A81&lt;IF(Setup!$B$14="",0,Setup!$B$14),"",IF(OR($AC81="",$BY81=1),"",$AC81)),"")</f>
        <v/>
      </c>
      <c r="AU81" s="9" t="str">
        <f aca="false">IF($D81="Anchor",IF(OR($Z81="",$S81=""),"",$Z81),"")</f>
        <v/>
      </c>
      <c r="AV81" s="9" t="str">
        <f aca="false">IF($D81="Anchor",IF(OR($Z81="",$S81=""),"",$S81),"")</f>
        <v/>
      </c>
      <c r="AW81" s="9" t="str">
        <f aca="false">IF($D81="Anchor",IF(OR($AE81="",$T81=""),"",$AE81),"")</f>
        <v/>
      </c>
      <c r="AX81" s="9" t="str">
        <f aca="false">IF($D81="Anchor",IF(OR($AE81="",$T81=""),"",$T81),"")</f>
        <v/>
      </c>
      <c r="AY81" s="9" t="str">
        <f aca="false">IF(OR($D81="Blank",$D81="Exclude",$D81="Sample",$D81="",$G81="",$U81="",$L81=""),"",$G81*1000*$U81/100)</f>
        <v/>
      </c>
      <c r="AZ81" s="9" t="str">
        <f aca="false">IF($AY81="","",$L81)</f>
        <v/>
      </c>
      <c r="BA81" s="9" t="str">
        <f aca="false">IF(OR($D81="Blank",$D81="Exclude",$D81="Sample",$D81="",$G81="",$V81="",$P81=""),"",$G81*1000*$V81/100)</f>
        <v/>
      </c>
      <c r="BB81" s="9" t="str">
        <f aca="false">IF($BA81="","",$P81)</f>
        <v/>
      </c>
      <c r="BC81" s="9" t="str">
        <f aca="false">IF(AND($D81="Blank",$L81&lt;&gt;""),$O81,"")</f>
        <v/>
      </c>
      <c r="BD81" s="9" t="str">
        <f aca="false">IF($BC81="","",$L81)</f>
        <v/>
      </c>
      <c r="BE81" s="9" t="str">
        <f aca="false">IF(AND($D81="Blank",$P81&lt;&gt;""),$R81,"")</f>
        <v/>
      </c>
      <c r="BF81" s="9" t="str">
        <f aca="false">IF($BE81="","",$P81)</f>
        <v/>
      </c>
      <c r="BG81" s="9" t="str">
        <f aca="false">IF(AND($D81="Drift",$BX81&lt;&gt;1),IF($AA81="","",$AA81),"")</f>
        <v/>
      </c>
      <c r="BH81" s="9" t="str">
        <f aca="false">IF(AND($D81="Drift",$BY81&lt;&gt;1),IF($AF81="","",$AF81),"")</f>
        <v/>
      </c>
      <c r="BI81" s="20" t="str">
        <f aca="false">IF($B81="","",IFERROR(INDEX(Raw!$G$2:$G$1001,MATCH($A81&amp;"|N|"&amp;SUMPRODUCT(MAX((Raw!$A$2:$A$1001=$A81)*(Raw!$R$2:$R$1001="N")*(Raw!$I$2:$I$1001=1)*Raw!$D$2:$D$1001)),Raw!$S$2:$S$1001,0)),""))</f>
        <v/>
      </c>
      <c r="BJ81" s="21" t="str">
        <f aca="false">IF(OR($BI81="",Fits!$B$85&lt;=0),"",($BI81-Fits!$B$83)/Fits!$B$85)</f>
        <v/>
      </c>
      <c r="BK81" s="9" t="str">
        <f aca="false">IF($AS81="","",IF($A81&gt;=Fits!$B$86,"",$A81))</f>
        <v/>
      </c>
      <c r="BL81" s="9" t="str">
        <f aca="false">IF($BK81="","",$X81)</f>
        <v/>
      </c>
      <c r="BM81" s="9" t="str">
        <f aca="false">IF($AS81="","",IF($A81&lt;Fits!$B$86,"",$A81))</f>
        <v/>
      </c>
      <c r="BN81" s="9" t="str">
        <f aca="false">IF($BM81="","",$X81)</f>
        <v/>
      </c>
      <c r="BO81" s="9" t="str">
        <f aca="false">IF(AND($D81="Drift",$BX81&lt;&gt;1),IF($O81="","",$O81),"")</f>
        <v/>
      </c>
      <c r="BP81" s="9" t="str">
        <f aca="false">IF(AND($D81="Drift",$BX81&lt;&gt;1),IF($W81="","",$W81),"")</f>
        <v/>
      </c>
      <c r="BQ81" s="9" t="str">
        <f aca="false">IF(AND($D81="Drift",$BX81&lt;&gt;1),IF($X81="","",$X81),"")</f>
        <v/>
      </c>
      <c r="BR81" s="9" t="str">
        <f aca="false">IF(AND($D81="Drift",$BX81&lt;&gt;1),IF($Z81="","",$Z81),"")</f>
        <v/>
      </c>
      <c r="BS81" s="9" t="str">
        <f aca="false">IF(OR($B81="",$H81=""),"",SUMPRODUCT(MIN((Raw!$A$2:$A$1001=$A81)*(Raw!$R$2:$R$1001="N")*(Raw!$I$2:$I$1001=0)*(Raw!$D$2:$D$1001&lt;$H81)*Raw!$D$2:$D$1001+(1-(Raw!$A$2:$A$1001=$A81)*(Raw!$R$2:$R$1001="N")*(Raw!$I$2:$I$1001=0)*(Raw!$D$2:$D$1001&lt;$H81))*9999)))</f>
        <v/>
      </c>
      <c r="BT81" s="16" t="str">
        <f aca="false">IF(OR($BS81="",$BS81=9999,$BS81=0),"",IFERROR(INDEX(Raw!$N$2:$N$1001,MATCH($A81&amp;"|N|"&amp;$BS81,Raw!$S$2:$S$1001,0)),""))</f>
        <v/>
      </c>
      <c r="BU81" s="9" t="str">
        <f aca="false">IF($B81="","",SUMPRODUCT(MIN((Raw!$A$2:$A$1001=$A81)*(Raw!$R$2:$R$1001="C")*(Raw!$I$2:$I$1001=1)*Raw!$D$2:$D$1001+(1-(Raw!$A$2:$A$1001=$A81)*(Raw!$R$2:$R$1001="C")*(Raw!$I$2:$I$1001=1))*9999)))</f>
        <v/>
      </c>
      <c r="BV81" s="9" t="str">
        <f aca="false">IF(OR($BU81="",$BU81=9999),"",SUMPRODUCT(MIN((Raw!$A$2:$A$1001=$A81)*(Raw!$R$2:$R$1001="C")*(Raw!$I$2:$I$1001=0)*(Raw!$D$2:$D$1001&gt;$BU81)*Raw!$D$2:$D$1001+(1-(Raw!$A$2:$A$1001=$A81)*(Raw!$R$2:$R$1001="C")*(Raw!$I$2:$I$1001=0)*(Raw!$D$2:$D$1001&gt;$BU81))*9999)))</f>
        <v/>
      </c>
      <c r="BW81" s="16" t="str">
        <f aca="false">IF(OR($BV81="",$BV81=9999,$BV81=0),"",IFERROR(INDEX(Raw!$O$2:$O$1001,MATCH($A81&amp;"|C|"&amp;$BV81,Raw!$S$2:$S$1001,0)),""))</f>
        <v/>
      </c>
      <c r="BX81" s="9" t="str">
        <f aca="false">IF($B81="","",IF(ISNUMBER(SEARCH(","&amp;$A81&amp;",",","&amp;SUBSTITUTE(Setup!$B$16," ","")&amp;",")),1,0))</f>
        <v/>
      </c>
      <c r="BY81" s="9" t="str">
        <f aca="false">IF($B81="","",IF(ISNUMBER(SEARCH(","&amp;$A81&amp;",",","&amp;SUBSTITUTE(Setup!$B$17," ","")&amp;",")),1,0))</f>
        <v/>
      </c>
      <c r="BZ81" s="22" t="str">
        <f aca="false">IF($AS81="","",IF(Fits!$B$38="Row",$AQ81,IF($AR81="","",$AR81)))</f>
        <v/>
      </c>
      <c r="CA81" s="22" t="str">
        <f aca="false">IF($AT81="","",IF(Fits!$B$50="Row",$AQ81,IF($AR81="","",$AR81)))</f>
        <v/>
      </c>
      <c r="CB81" s="20" t="str">
        <f aca="false">IF(OR($D81&lt;&gt;"Drift",$X81="",$A81&lt;IF(Setup!$B$14="",0,Setup!$B$14),Fits!$B$107&lt;3,Fits!$B$110="",Fits!$B$109=0,IF(Fits!$B$38="Row",$AQ81,$AR81)=""),"",IF($BX81=1,IF(OR(Fits!$B$111="",Fits!$B$111=0),"",($X81-(IF(Fits!$B$38="Row",Fits!$B$32,Fits!$B$35)*IF(Fits!$B$38="Row",$AQ81,$AR81)+Fits!$B$110))/(Fits!$B$111*SQRT(1+(1/Fits!$B$107+(IF(Fits!$B$38="Row",$AQ81,$AR81)-Fits!$B$108)^2/Fits!$B$109)))),IF(OR(Fits!$B$107&lt;4,(1/Fits!$B$107+(IF(Fits!$B$38="Row",$AQ81,$AR81)-Fits!$B$108)^2/Fits!$B$109)&gt;=1),"",IF((Fits!$B$116-($X81-(IF(Fits!$B$38="Row",Fits!$B$32,Fits!$B$35)*IF(Fits!$B$38="Row",$AQ81,$AR81)+Fits!$B$110))^2/(1-(1/Fits!$B$107+(IF(Fits!$B$38="Row",$AQ81,$AR81)-Fits!$B$108)^2/Fits!$B$109)))&lt;=0,"",($X81-(IF(Fits!$B$38="Row",Fits!$B$32,Fits!$B$35)*IF(Fits!$B$38="Row",$AQ81,$AR81)+Fits!$B$110))/(SQRT((Fits!$B$116-($X81-(IF(Fits!$B$38="Row",Fits!$B$32,Fits!$B$35)*IF(Fits!$B$38="Row",$AQ81,$AR81)+Fits!$B$110))^2/(1-(1/Fits!$B$107+(IF(Fits!$B$38="Row",$AQ81,$AR81)-Fits!$B$108)^2/Fits!$B$109)))/(Fits!$B$107-3))*SQRT(1-(1/Fits!$B$107+(IF(Fits!$B$38="Row",$AQ81,$AR81)-Fits!$B$108)^2/Fits!$B$109)))))))</f>
        <v/>
      </c>
      <c r="CC81" s="20" t="str">
        <f aca="false">IF(OR($D81&lt;&gt;"Drift",$AC81="",$A81&lt;IF(Setup!$B$14="",0,Setup!$B$14),Fits!$B$120&lt;3,Fits!$B$123="",Fits!$B$122=0,IF(Fits!$B$50="Row",$AQ81,$AR81)=""),"",IF($BY81=1,IF(OR(Fits!$B$124="",Fits!$B$124=0),"",($AC81-(IF(Fits!$B$50="Row",Fits!$B$44,Fits!$B$47)*IF(Fits!$B$50="Row",$AQ81,$AR81)+Fits!$B$123))/(Fits!$B$124*SQRT(1+(1/Fits!$B$120+(IF(Fits!$B$50="Row",$AQ81,$AR81)-Fits!$B$121)^2/Fits!$B$122)))),IF(OR(Fits!$B$120&lt;4,(1/Fits!$B$120+(IF(Fits!$B$50="Row",$AQ81,$AR81)-Fits!$B$121)^2/Fits!$B$122)&gt;=1),"",IF((Fits!$B$129-($AC81-(IF(Fits!$B$50="Row",Fits!$B$44,Fits!$B$47)*IF(Fits!$B$50="Row",$AQ81,$AR81)+Fits!$B$123))^2/(1-(1/Fits!$B$120+(IF(Fits!$B$50="Row",$AQ81,$AR81)-Fits!$B$121)^2/Fits!$B$122)))&lt;=0,"",($AC81-(IF(Fits!$B$50="Row",Fits!$B$44,Fits!$B$47)*IF(Fits!$B$50="Row",$AQ81,$AR81)+Fits!$B$123))/(SQRT((Fits!$B$129-($AC81-(IF(Fits!$B$50="Row",Fits!$B$44,Fits!$B$47)*IF(Fits!$B$50="Row",$AQ81,$AR81)+Fits!$B$123))^2/(1-(1/Fits!$B$120+(IF(Fits!$B$50="Row",$AQ81,$AR81)-Fits!$B$121)^2/Fits!$B$122)))/(Fits!$B$120-3))*SQRT(1-(1/Fits!$B$120+(IF(Fits!$B$50="Row",$AQ81,$AR81)-Fits!$B$121)^2/Fits!$B$122)))))))</f>
        <v/>
      </c>
      <c r="CD81" s="9" t="str">
        <f aca="false">IF($AU81="","",1)</f>
        <v/>
      </c>
      <c r="CE81" s="24" t="str">
        <f aca="false">IF($AU81="","",$AU81-Fits!$B$133)</f>
        <v/>
      </c>
      <c r="CF81" s="24" t="str">
        <f aca="false">IF($AU81="","",($AV81-(Fits!$B$56*$AU81+Fits!$B$57))-Fits!$B$56*($AU81-Fits!$B$133))</f>
        <v/>
      </c>
      <c r="CG81" s="25" t="str">
        <f aca="false">IF($AU81="","",$AU81^2)</f>
        <v/>
      </c>
      <c r="CH81" s="9" t="str">
        <f aca="false">IF($AW81="","",1)</f>
        <v/>
      </c>
      <c r="CI81" s="24" t="str">
        <f aca="false">IF($AW81="","",$AW81-Fits!$B$153)</f>
        <v/>
      </c>
      <c r="CJ81" s="24" t="str">
        <f aca="false">IF($AW81="","",($AX81-(Fits!$B$63*$AW81+Fits!$B$64))-Fits!$B$63*($AW81-Fits!$B$153))</f>
        <v/>
      </c>
      <c r="CK81" s="25" t="str">
        <f aca="false">IF($AW81="","",$AW81^2)</f>
        <v/>
      </c>
      <c r="CL81" s="26" t="str">
        <f aca="false">IF(OR($Z81="",Fits!$B$55&lt;3,Fits!$B$133="",Fits!$B$134="",Fits!$B$134=0,Fits!$B$136=""),"",SQRT((Fits!$B$136*Fits!$B$56)^2+SUMPRODUCT((Fits!$J$163:$J$175*(Fits!$B$163:$B$175/Fits!$B$55+Fits!$H$163:$H$175*($Z81-Fits!$B$133)/Fits!$B$134))^2)+SUMPRODUCT((Fits!$G$163:$G$175*(($Z81-Fits!$B$133)*Fits!$I$163:$I$175/Fits!$B$134-Fits!$B$163:$B$175*Fits!$B$56/Fits!$B$55))^2)))</f>
        <v/>
      </c>
      <c r="CM81" s="26" t="str">
        <f aca="false">IF($CL81="","",Setup!$B$32*$CL81)</f>
        <v/>
      </c>
      <c r="CN81" s="26" t="str">
        <f aca="false">IF(OR($AE81="",Fits!$B$62&lt;3,Fits!$B$153="",Fits!$B$154="",Fits!$B$154=0,Fits!$B$156=""),"",SQRT((Fits!$B$156*Fits!$B$63)^2+SUMPRODUCT((Fits!$J$183:$J$195*(Fits!$B$183:$B$195/Fits!$B$62+Fits!$H$183:$H$195*($AE81-Fits!$B$153)/Fits!$B$154))^2)+SUMPRODUCT((Fits!$G$183:$G$195*(($AE81-Fits!$B$153)*Fits!$I$183:$I$195/Fits!$B$154-Fits!$B$183:$B$195*Fits!$B$63/Fits!$B$62))^2)))</f>
        <v/>
      </c>
      <c r="CO81" s="26" t="str">
        <f aca="false">IF($CN81="","",Setup!$B$32*$CN81)</f>
        <v/>
      </c>
      <c r="CP81" s="9" t="n">
        <f aca="false">IF(OR(NOT(ISNUMBER($BJ81)),$EK81=1),$CP80,IF($BJ81&lt;=Setup!$B$26,$CP80+1,0))</f>
        <v>26</v>
      </c>
      <c r="CQ81" s="9" t="str">
        <f aca="false">IF($BT81="","",$A81)</f>
        <v/>
      </c>
      <c r="CR81" s="9" t="str">
        <f aca="false">IF($BW81="","",$A81)</f>
        <v/>
      </c>
      <c r="CS81" s="9" t="str">
        <f aca="false">IF($B81="","",IF(Setup!$A$37="",0,IF(ISNUMBER(SEARCH(Setup!$A$37,$B81)),37,0)))</f>
        <v/>
      </c>
      <c r="CT81" s="9" t="str">
        <f aca="false">IF($B81="","",IF(Setup!$A$38="",0,IF(ISNUMBER(SEARCH(Setup!$A$38,$B81)),38,0)))</f>
        <v/>
      </c>
      <c r="CU81" s="9" t="str">
        <f aca="false">IF($B81="","",IF(Setup!$A$39="",0,IF(ISNUMBER(SEARCH(Setup!$A$39,$B81)),39,0)))</f>
        <v/>
      </c>
      <c r="CV81" s="9" t="str">
        <f aca="false">IF($B81="","",IF(Setup!$A$40="",0,IF(ISNUMBER(SEARCH(Setup!$A$40,$B81)),40,0)))</f>
        <v/>
      </c>
      <c r="CW81" s="9" t="str">
        <f aca="false">IF($B81="","",IF(Setup!$A$41="",0,IF(ISNUMBER(SEARCH(Setup!$A$41,$B81)),41,0)))</f>
        <v/>
      </c>
      <c r="CX81" s="9" t="str">
        <f aca="false">IF($B81="","",IF(Setup!$A$42="",0,IF(ISNUMBER(SEARCH(Setup!$A$42,$B81)),42,0)))</f>
        <v/>
      </c>
      <c r="CY81" s="9" t="str">
        <f aca="false">IF($B81="","",IF(Setup!$A$43="",0,IF(ISNUMBER(SEARCH(Setup!$A$43,$B81)),43,0)))</f>
        <v/>
      </c>
      <c r="CZ81" s="9" t="str">
        <f aca="false">IF($B81="","",IF(Setup!$A$44="",0,IF(ISNUMBER(SEARCH(Setup!$A$44,$B81)),44,0)))</f>
        <v/>
      </c>
      <c r="DA81" s="9" t="str">
        <f aca="false">IF($B81="","",IF(Setup!$A$45="",0,IF(ISNUMBER(SEARCH(Setup!$A$45,$B81)),45,0)))</f>
        <v/>
      </c>
      <c r="DB81" s="9" t="str">
        <f aca="false">IF($B81="","",IF(Setup!$A$46="",0,IF(ISNUMBER(SEARCH(Setup!$A$46,$B81)),46,0)))</f>
        <v/>
      </c>
      <c r="DC81" s="9" t="str">
        <f aca="false">IF($B81="","",IF(Setup!$A$47="",0,IF(ISNUMBER(SEARCH(Setup!$A$47,$B81)),47,0)))</f>
        <v/>
      </c>
      <c r="DD81" s="9" t="str">
        <f aca="false">IF($B81="","",IF(Setup!$A$48="",0,IF(ISNUMBER(SEARCH(Setup!$A$48,$B81)),48,0)))</f>
        <v/>
      </c>
      <c r="DE81" s="9" t="str">
        <f aca="false">IF($B81="","",IF(Setup!$A$49="",0,IF(ISNUMBER(SEARCH(Setup!$A$49,$B81)),49,0)))</f>
        <v/>
      </c>
      <c r="DF81" s="9" t="e">
        <f aca="false">IF($B81="",NA(),$A81)</f>
        <v>#N/A</v>
      </c>
      <c r="DG81" s="9" t="e">
        <f aca="false">IF($BI81="",NA(),$BI81)</f>
        <v>#N/A</v>
      </c>
      <c r="DH81" s="9" t="e">
        <f aca="false">IF($N81="",NA(),$N81)</f>
        <v>#N/A</v>
      </c>
      <c r="DI81" s="9" t="e">
        <f aca="false">IF(AND($D81="Drift",$N81&lt;&gt;""),$N81,NA())</f>
        <v>#N/A</v>
      </c>
      <c r="DJ81" s="9" t="str">
        <f aca="false">IF(AND($D81="Drift",$N81&lt;&gt;""),$N81,"")</f>
        <v/>
      </c>
      <c r="DK81" s="9" t="str">
        <f aca="false">IF($DJ81="","",$A81)</f>
        <v/>
      </c>
      <c r="DL81" s="9" t="e">
        <f aca="false">IF($AN81="",NA(),$AM81)</f>
        <v>#N/A</v>
      </c>
      <c r="DM81" s="9" t="e">
        <f aca="false">IF($AN81="",NA(),$AN81)</f>
        <v>#N/A</v>
      </c>
      <c r="DN81" s="9" t="e">
        <f aca="false">IF(AND($D81="Sample",$L81&lt;&gt;""),$L81,NA())</f>
        <v>#N/A</v>
      </c>
      <c r="DO81" s="9" t="e">
        <f aca="false">IF(AND($D81="Sample",$L81&lt;&gt;"",Fits!$B$98&lt;&gt;""),Fits!$B$98,NA())</f>
        <v>#N/A</v>
      </c>
      <c r="DP81" s="9" t="e">
        <f aca="false">IF($AS81="",NA(),$AS81)</f>
        <v>#N/A</v>
      </c>
      <c r="DQ81" s="9" t="e">
        <f aca="false">IF(AND($D81="Drift",$AS81="",$X81&lt;&gt;""),$X81,NA())</f>
        <v>#N/A</v>
      </c>
      <c r="DR81" s="9" t="e">
        <f aca="false">IF(AND($D81="Drift",$Z81&lt;&gt;""),$Z81,NA())</f>
        <v>#N/A</v>
      </c>
      <c r="DS81" s="9" t="e">
        <f aca="false">IF(AND(OR($D81="Sample",$D81="Check"),$AA81&lt;&gt;""),$AA81,NA())</f>
        <v>#N/A</v>
      </c>
      <c r="DT81" s="9" t="e">
        <f aca="false">IF(OR($B81="",Fits!$B$138=""),NA(),Fits!$B$138)</f>
        <v>#N/A</v>
      </c>
      <c r="DU81" s="9" t="e">
        <f aca="false">IF(OR($B81="",Fits!$B$139=""),NA(),Fits!$B$139)</f>
        <v>#N/A</v>
      </c>
      <c r="DV81" s="9" t="e">
        <f aca="false">IF($BT81="",NA(),$BT81)</f>
        <v>#N/A</v>
      </c>
      <c r="DW81" s="9" t="e">
        <f aca="false">IF($AP81="",NA(),$AO81)</f>
        <v>#N/A</v>
      </c>
      <c r="DX81" s="9" t="e">
        <f aca="false">IF($AP81="",NA(),$AP81)</f>
        <v>#N/A</v>
      </c>
      <c r="DY81" s="9" t="e">
        <f aca="false">IF(AND($D81="Sample",$P81&lt;&gt;""),$P81,NA())</f>
        <v>#N/A</v>
      </c>
      <c r="DZ81" s="9" t="e">
        <f aca="false">IF(AND($D81="Sample",$P81&lt;&gt;"",Fits!$B$105&lt;&gt;""),Fits!$B$105,NA())</f>
        <v>#N/A</v>
      </c>
      <c r="EA81" s="9" t="e">
        <f aca="false">IF($AT81="",NA(),$AT81)</f>
        <v>#N/A</v>
      </c>
      <c r="EB81" s="9" t="e">
        <f aca="false">IF(AND($D81="Drift",$AT81="",$AC81&lt;&gt;""),$AC81,NA())</f>
        <v>#N/A</v>
      </c>
      <c r="EC81" s="9" t="e">
        <f aca="false">IF(AND($D81="Drift",$AE81&lt;&gt;""),$AE81,NA())</f>
        <v>#N/A</v>
      </c>
      <c r="ED81" s="9" t="e">
        <f aca="false">IF(AND(OR($D81="Sample",$D81="Check"),$AF81&lt;&gt;""),$AF81,NA())</f>
        <v>#N/A</v>
      </c>
      <c r="EE81" s="9" t="e">
        <f aca="false">IF(OR($B81="",Fits!$B$158=""),NA(),Fits!$B$158)</f>
        <v>#N/A</v>
      </c>
      <c r="EF81" s="9" t="e">
        <f aca="false">IF(OR($B81="",Fits!$B$159=""),NA(),Fits!$B$159)</f>
        <v>#N/A</v>
      </c>
      <c r="EG81" s="9" t="e">
        <f aca="false">IF($BW81="",NA(),$BW81)</f>
        <v>#N/A</v>
      </c>
      <c r="EH81" s="9" t="e">
        <f aca="false">IF(AND($EN81=1,ISNUMBER($N81)),$N81,NA())</f>
        <v>#N/A</v>
      </c>
      <c r="EI81" s="9" t="str">
        <f aca="false">IF($B81="","",$A81)</f>
        <v/>
      </c>
      <c r="EJ81" s="9" t="n">
        <f aca="false">IF(OR(AND(ISNUMBER($L81),Fits!$B$97&gt;0,$L81&gt;Fits!$B$97),AND(ISNUMBER($P81),Fits!$B$104&gt;0,$P81&gt;Fits!$B$104)),1,0)</f>
        <v>0</v>
      </c>
      <c r="EK81" s="9" t="n">
        <f aca="false">IF(OR($EJ80=1,$EJ79=1),1,0)</f>
        <v>0</v>
      </c>
      <c r="EL81" s="22" t="n">
        <f aca="false">IF(AND($EK81=0,ISNUMBER($N81)),$N81,$EL80)</f>
        <v>25.7</v>
      </c>
      <c r="EM81" s="9" t="str">
        <f aca="false">IF(AND($EK81=1,ISNUMBER($N81),ISNUMBER($EL81)),$N81-$EL81,"")</f>
        <v/>
      </c>
      <c r="EN81" s="9" t="n">
        <f aca="false">IF(Setup!$B$28="",0,IF(ISNUMBER($EM81),IF($EM81&gt;Setup!$B$28,1,0),0))</f>
        <v>0</v>
      </c>
      <c r="EO81" s="9" t="str">
        <f aca="false">IF($EN81=1,COUNTIF($EN$6:$EN81,1),"")</f>
        <v/>
      </c>
      <c r="EP81" s="9" t="n">
        <f aca="false">IF(AND($EJ80=1,OR($D81="Sample",$D81="Check")),1,0)</f>
        <v>0</v>
      </c>
      <c r="EQ81" s="9" t="str">
        <f aca="false">IF(ISNUMBER($BI81),IF(COUNT($BI$6:$BI81)&lt;=5,$BI81,""),"")</f>
        <v/>
      </c>
      <c r="ER81" s="9" t="n">
        <f aca="false">IF(OR(NOT(ISNUMBER($BJ81)),$EK81=1),$ER80,IF($BJ81&lt;=Setup!$B$26,IF($CP80=0,$A81,$ER80),""))</f>
        <v>27</v>
      </c>
    </row>
    <row r="82" customFormat="false" ht="15" hidden="false" customHeight="false" outlineLevel="0" collapsed="false">
      <c r="A82" s="8" t="n">
        <v>77</v>
      </c>
      <c r="B82" s="8" t="str">
        <f aca="false">IFERROR(INDEX(Raw!$B$2:$B$1001,MATCH($A82,Raw!$A$2:$A$1001,0)),"")</f>
        <v/>
      </c>
      <c r="C82" s="9" t="str">
        <f aca="false">IF($B82="","",MAX($CS82:$DE82))</f>
        <v/>
      </c>
      <c r="D82" s="8" t="str">
        <f aca="false">IF($B82="","",IF($C82=0,"Sample",INDEX(Setup!$B$37:$B$49,$C82-36)))</f>
        <v/>
      </c>
      <c r="E82" s="16" t="str">
        <f aca="false">IF($B82="","",IFERROR(IF(INDEX(Raw!$E$2:$E$1001,MATCH($A82,Raw!$A$2:$A$1001,0))=0,"",INDEX(Raw!$E$2:$E$1001,MATCH($A82,Raw!$A$2:$A$1001,0))),""))</f>
        <v/>
      </c>
      <c r="F82" s="18"/>
      <c r="G82" s="16" t="str">
        <f aca="false">IF($B82="","",IF($F82&lt;&gt;"",$F82,IF($E82="","",$E82)))</f>
        <v/>
      </c>
      <c r="H82" s="9" t="str">
        <f aca="false">IF($B82="","",SUMPRODUCT(MAX((Raw!$A$2:$A$1001=$A82)*(Raw!$R$2:$R$1001="N")*Raw!$D$2:$D$1001)))</f>
        <v/>
      </c>
      <c r="I82" s="9" t="str">
        <f aca="false">IF(OR($H82="",$H82=0),"",$A82&amp;"|N|"&amp;$H82)</f>
        <v/>
      </c>
      <c r="J82" s="9" t="str">
        <f aca="false">IF($B82="","",SUMPRODUCT(MIN((Raw!$A$2:$A$1001=$A82)*(Raw!$R$2:$R$1001="C")*Raw!$D$2:$D$1001+(1-(Raw!$A$2:$A$1001=$A82)*(Raw!$R$2:$R$1001="C"))*9999)))</f>
        <v/>
      </c>
      <c r="K82" s="9" t="str">
        <f aca="false">IF(OR($J82="",$J82=0,$J82=9999),"",$A82&amp;"|C|"&amp;$J82)</f>
        <v/>
      </c>
      <c r="L82" s="16" t="str">
        <f aca="false">IF($I82="","",IF(INDEX(Raw!$I$2:$I$1001,MATCH($I82,Raw!$S$2:$S$1001,0))&lt;&gt;0,"",INDEX(Raw!$H$2:$H$1001,MATCH($I82,Raw!$S$2:$S$1001,0))))</f>
        <v/>
      </c>
      <c r="M82" s="19" t="str">
        <f aca="false">IF($I82="","",IF(INDEX(Raw!$I$2:$I$1001,MATCH($I82,Raw!$S$2:$S$1001,0))&lt;&gt;0,"",INDEX(Raw!$F$2:$F$1001,MATCH($I82,Raw!$S$2:$S$1001,0))))</f>
        <v/>
      </c>
      <c r="N82" s="20" t="str">
        <f aca="false">IF($I82="","",IF(INDEX(Raw!$I$2:$I$1001,MATCH($I82,Raw!$S$2:$S$1001,0))&lt;&gt;0,"",INDEX(Raw!$G$2:$G$1001,MATCH($I82,Raw!$S$2:$S$1001,0))))</f>
        <v/>
      </c>
      <c r="O82" s="16" t="str">
        <f aca="false">IF($I82="","",IF(INDEX(Raw!$I$2:$I$1001,MATCH($I82,Raw!$S$2:$S$1001,0))&lt;&gt;0,"",INDEX(Raw!$N$2:$N$1001,MATCH($I82,Raw!$S$2:$S$1001,0))))</f>
        <v/>
      </c>
      <c r="P82" s="16" t="str">
        <f aca="false">IF($K82="","",IF(INDEX(Raw!$I$2:$I$1001,MATCH($K82,Raw!$S$2:$S$1001,0))&lt;&gt;0,"",INDEX(Raw!$K$2:$K$1001,MATCH($K82,Raw!$S$2:$S$1001,0))))</f>
        <v/>
      </c>
      <c r="Q82" s="19" t="str">
        <f aca="false">IF($K82="","",IF(INDEX(Raw!$I$2:$I$1001,MATCH($K82,Raw!$S$2:$S$1001,0))&lt;&gt;0,"",INDEX(Raw!$J$2:$J$1001,MATCH($K82,Raw!$S$2:$S$1001,0))))</f>
        <v/>
      </c>
      <c r="R82" s="16" t="str">
        <f aca="false">IF($K82="","",IF(INDEX(Raw!$I$2:$I$1001,MATCH($K82,Raw!$S$2:$S$1001,0))&lt;&gt;0,"",INDEX(Raw!$O$2:$O$1001,MATCH($K82,Raw!$S$2:$S$1001,0))))</f>
        <v/>
      </c>
      <c r="S82" s="21" t="str">
        <f aca="false">IF($B82="","",IF($C82=0,"",IF(INDEX(Setup!$D$37:$D$49,$C82-36)="","",INDEX(Setup!$D$37:$D$49,$C82-36))))</f>
        <v/>
      </c>
      <c r="T82" s="21" t="str">
        <f aca="false">IF($B82="","",IF($C82=0,"",IF(INDEX(Setup!$C$37:$C$49,$C82-36)="","",INDEX(Setup!$C$37:$C$49,$C82-36))))</f>
        <v/>
      </c>
      <c r="U82" s="21" t="str">
        <f aca="false">IF($B82="","",IF($C82=0,"",IF(INDEX(Setup!$F$37:$F$49,$C82-36)="","",INDEX(Setup!$F$37:$F$49,$C82-36))))</f>
        <v/>
      </c>
      <c r="V82" s="21" t="str">
        <f aca="false">IF($B82="","",IF($C82=0,"",IF(INDEX(Setup!$E$37:$E$49,$C82-36)="","",INDEX(Setup!$E$37:$E$49,$C82-36))))</f>
        <v/>
      </c>
      <c r="W82" s="16" t="str">
        <f aca="false">IF($O82="","",IF(OR(Fits!$C$5&lt;&gt;"Yes",$D82="Blank",$L82&lt;=Fits!$B$6),$O82,($L82*$O82-Fits!$B$6*Fits!$B$7)/($L82-Fits!$B$6)))</f>
        <v/>
      </c>
      <c r="X82" s="16" t="str">
        <f aca="false">IF($W82="","",$W82-Fits!$B$20*($L82-Fits!$B$16))</f>
        <v/>
      </c>
      <c r="Y82" s="22" t="str">
        <f aca="false">IF($W82="","",IF(OR(Fits!$B$38="Row",$BI82=""),$A82,$BI82))</f>
        <v/>
      </c>
      <c r="Z82" s="16" t="str">
        <f aca="false">IF($X82="","",$X82-Fits!$B$39*($Y82-Fits!$B$40))</f>
        <v/>
      </c>
      <c r="AA82" s="23" t="str">
        <f aca="false">IF(OR($Z82="",Fits!$B$55&lt;2),"",Fits!$B$56*$Z82+Fits!$B$57)</f>
        <v/>
      </c>
      <c r="AB82" s="16" t="str">
        <f aca="false">IF($R82="","",IF(OR(Fits!$C$9&lt;&gt;"Yes",$D82="Blank",$P82&lt;=Fits!$B$10),$R82,($P82*$R82-Fits!$B$10*Fits!$B$11)/($P82-Fits!$B$10)))</f>
        <v/>
      </c>
      <c r="AC82" s="16" t="str">
        <f aca="false">IF($AB82="","",$AB82-Fits!$B$28*($P82-Fits!$B$24))</f>
        <v/>
      </c>
      <c r="AD82" s="22" t="str">
        <f aca="false">IF($AB82="","",IF(OR(Fits!$B$50="Row",$BI82=""),$A82,$BI82))</f>
        <v/>
      </c>
      <c r="AE82" s="16" t="str">
        <f aca="false">IF($AC82="","",$AC82-Fits!$B$51*($AD82-Fits!$B$52))</f>
        <v/>
      </c>
      <c r="AF82" s="23" t="str">
        <f aca="false">IF(OR($AE82="",Fits!$B$62&lt;2),"",Fits!$B$63*$AE82+Fits!$B$64)</f>
        <v/>
      </c>
      <c r="AG82" s="21" t="str">
        <f aca="false">IF(OR($L82="",Fits!$B$69&lt;3),"",($L82-Fits!$B$71)/Fits!$B$70)</f>
        <v/>
      </c>
      <c r="AH82" s="21" t="str">
        <f aca="false">IF(OR($P82="",Fits!$B$75&lt;3),"",($P82-Fits!$B$77)/Fits!$B$76)</f>
        <v/>
      </c>
      <c r="AI82" s="23" t="str">
        <f aca="false">IF(OR($AG82="",$G82="",$G82=0),"",$AG82/($G82*1000)*100)</f>
        <v/>
      </c>
      <c r="AJ82" s="23" t="str">
        <f aca="false">IF(OR($AH82="",$G82="",$G82=0),"",$AH82/($G82*1000)*100)</f>
        <v/>
      </c>
      <c r="AK82" s="23" t="str">
        <f aca="false">IF(OR($AG82="",$AH82="",$AG82&lt;=0),"",($AH82/Setup!$B$52)/($AG82/Setup!$B$53))</f>
        <v/>
      </c>
      <c r="AL82" s="23" t="str">
        <f aca="false">IF(OR($AG82="",$AH82="",$AG82&lt;=0),"",$AH82/$AG82)</f>
        <v/>
      </c>
      <c r="AM82" s="9" t="str">
        <f aca="false">IF($D82="Linearity",IF($L82="","",$L82),"")</f>
        <v/>
      </c>
      <c r="AN82" s="9" t="str">
        <f aca="false">IF($D82="Linearity",IF($W82="","",$W82),"")</f>
        <v/>
      </c>
      <c r="AO82" s="9" t="str">
        <f aca="false">IF($D82="Linearity",IF($P82="","",$P82),"")</f>
        <v/>
      </c>
      <c r="AP82" s="9" t="str">
        <f aca="false">IF($D82="Linearity",IF($AB82="","",$AB82),"")</f>
        <v/>
      </c>
      <c r="AQ82" s="9" t="str">
        <f aca="false">IF($D82="Drift",IF($A82&lt;IF(Setup!$B$14="",0,Setup!$B$14),"",$A82),"")</f>
        <v/>
      </c>
      <c r="AR82" s="9" t="str">
        <f aca="false">IF($D82="Drift",IF($A82&lt;IF(Setup!$B$14="",0,Setup!$B$14),"",IF($BI82="","",$BI82)),"")</f>
        <v/>
      </c>
      <c r="AS82" s="9" t="str">
        <f aca="false">IF($D82="Drift",IF($A82&lt;IF(Setup!$B$14="",0,Setup!$B$14),"",IF(OR($X82="",$BX82=1),"",$X82)),"")</f>
        <v/>
      </c>
      <c r="AT82" s="9" t="str">
        <f aca="false">IF($D82="Drift",IF($A82&lt;IF(Setup!$B$14="",0,Setup!$B$14),"",IF(OR($AC82="",$BY82=1),"",$AC82)),"")</f>
        <v/>
      </c>
      <c r="AU82" s="9" t="str">
        <f aca="false">IF($D82="Anchor",IF(OR($Z82="",$S82=""),"",$Z82),"")</f>
        <v/>
      </c>
      <c r="AV82" s="9" t="str">
        <f aca="false">IF($D82="Anchor",IF(OR($Z82="",$S82=""),"",$S82),"")</f>
        <v/>
      </c>
      <c r="AW82" s="9" t="str">
        <f aca="false">IF($D82="Anchor",IF(OR($AE82="",$T82=""),"",$AE82),"")</f>
        <v/>
      </c>
      <c r="AX82" s="9" t="str">
        <f aca="false">IF($D82="Anchor",IF(OR($AE82="",$T82=""),"",$T82),"")</f>
        <v/>
      </c>
      <c r="AY82" s="9" t="str">
        <f aca="false">IF(OR($D82="Blank",$D82="Exclude",$D82="Sample",$D82="",$G82="",$U82="",$L82=""),"",$G82*1000*$U82/100)</f>
        <v/>
      </c>
      <c r="AZ82" s="9" t="str">
        <f aca="false">IF($AY82="","",$L82)</f>
        <v/>
      </c>
      <c r="BA82" s="9" t="str">
        <f aca="false">IF(OR($D82="Blank",$D82="Exclude",$D82="Sample",$D82="",$G82="",$V82="",$P82=""),"",$G82*1000*$V82/100)</f>
        <v/>
      </c>
      <c r="BB82" s="9" t="str">
        <f aca="false">IF($BA82="","",$P82)</f>
        <v/>
      </c>
      <c r="BC82" s="9" t="str">
        <f aca="false">IF(AND($D82="Blank",$L82&lt;&gt;""),$O82,"")</f>
        <v/>
      </c>
      <c r="BD82" s="9" t="str">
        <f aca="false">IF($BC82="","",$L82)</f>
        <v/>
      </c>
      <c r="BE82" s="9" t="str">
        <f aca="false">IF(AND($D82="Blank",$P82&lt;&gt;""),$R82,"")</f>
        <v/>
      </c>
      <c r="BF82" s="9" t="str">
        <f aca="false">IF($BE82="","",$P82)</f>
        <v/>
      </c>
      <c r="BG82" s="9" t="str">
        <f aca="false">IF(AND($D82="Drift",$BX82&lt;&gt;1),IF($AA82="","",$AA82),"")</f>
        <v/>
      </c>
      <c r="BH82" s="9" t="str">
        <f aca="false">IF(AND($D82="Drift",$BY82&lt;&gt;1),IF($AF82="","",$AF82),"")</f>
        <v/>
      </c>
      <c r="BI82" s="20" t="str">
        <f aca="false">IF($B82="","",IFERROR(INDEX(Raw!$G$2:$G$1001,MATCH($A82&amp;"|N|"&amp;SUMPRODUCT(MAX((Raw!$A$2:$A$1001=$A82)*(Raw!$R$2:$R$1001="N")*(Raw!$I$2:$I$1001=1)*Raw!$D$2:$D$1001)),Raw!$S$2:$S$1001,0)),""))</f>
        <v/>
      </c>
      <c r="BJ82" s="21" t="str">
        <f aca="false">IF(OR($BI82="",Fits!$B$85&lt;=0),"",($BI82-Fits!$B$83)/Fits!$B$85)</f>
        <v/>
      </c>
      <c r="BK82" s="9" t="str">
        <f aca="false">IF($AS82="","",IF($A82&gt;=Fits!$B$86,"",$A82))</f>
        <v/>
      </c>
      <c r="BL82" s="9" t="str">
        <f aca="false">IF($BK82="","",$X82)</f>
        <v/>
      </c>
      <c r="BM82" s="9" t="str">
        <f aca="false">IF($AS82="","",IF($A82&lt;Fits!$B$86,"",$A82))</f>
        <v/>
      </c>
      <c r="BN82" s="9" t="str">
        <f aca="false">IF($BM82="","",$X82)</f>
        <v/>
      </c>
      <c r="BO82" s="9" t="str">
        <f aca="false">IF(AND($D82="Drift",$BX82&lt;&gt;1),IF($O82="","",$O82),"")</f>
        <v/>
      </c>
      <c r="BP82" s="9" t="str">
        <f aca="false">IF(AND($D82="Drift",$BX82&lt;&gt;1),IF($W82="","",$W82),"")</f>
        <v/>
      </c>
      <c r="BQ82" s="9" t="str">
        <f aca="false">IF(AND($D82="Drift",$BX82&lt;&gt;1),IF($X82="","",$X82),"")</f>
        <v/>
      </c>
      <c r="BR82" s="9" t="str">
        <f aca="false">IF(AND($D82="Drift",$BX82&lt;&gt;1),IF($Z82="","",$Z82),"")</f>
        <v/>
      </c>
      <c r="BS82" s="9" t="str">
        <f aca="false">IF(OR($B82="",$H82=""),"",SUMPRODUCT(MIN((Raw!$A$2:$A$1001=$A82)*(Raw!$R$2:$R$1001="N")*(Raw!$I$2:$I$1001=0)*(Raw!$D$2:$D$1001&lt;$H82)*Raw!$D$2:$D$1001+(1-(Raw!$A$2:$A$1001=$A82)*(Raw!$R$2:$R$1001="N")*(Raw!$I$2:$I$1001=0)*(Raw!$D$2:$D$1001&lt;$H82))*9999)))</f>
        <v/>
      </c>
      <c r="BT82" s="16" t="str">
        <f aca="false">IF(OR($BS82="",$BS82=9999,$BS82=0),"",IFERROR(INDEX(Raw!$N$2:$N$1001,MATCH($A82&amp;"|N|"&amp;$BS82,Raw!$S$2:$S$1001,0)),""))</f>
        <v/>
      </c>
      <c r="BU82" s="9" t="str">
        <f aca="false">IF($B82="","",SUMPRODUCT(MIN((Raw!$A$2:$A$1001=$A82)*(Raw!$R$2:$R$1001="C")*(Raw!$I$2:$I$1001=1)*Raw!$D$2:$D$1001+(1-(Raw!$A$2:$A$1001=$A82)*(Raw!$R$2:$R$1001="C")*(Raw!$I$2:$I$1001=1))*9999)))</f>
        <v/>
      </c>
      <c r="BV82" s="9" t="str">
        <f aca="false">IF(OR($BU82="",$BU82=9999),"",SUMPRODUCT(MIN((Raw!$A$2:$A$1001=$A82)*(Raw!$R$2:$R$1001="C")*(Raw!$I$2:$I$1001=0)*(Raw!$D$2:$D$1001&gt;$BU82)*Raw!$D$2:$D$1001+(1-(Raw!$A$2:$A$1001=$A82)*(Raw!$R$2:$R$1001="C")*(Raw!$I$2:$I$1001=0)*(Raw!$D$2:$D$1001&gt;$BU82))*9999)))</f>
        <v/>
      </c>
      <c r="BW82" s="16" t="str">
        <f aca="false">IF(OR($BV82="",$BV82=9999,$BV82=0),"",IFERROR(INDEX(Raw!$O$2:$O$1001,MATCH($A82&amp;"|C|"&amp;$BV82,Raw!$S$2:$S$1001,0)),""))</f>
        <v/>
      </c>
      <c r="BX82" s="9" t="str">
        <f aca="false">IF($B82="","",IF(ISNUMBER(SEARCH(","&amp;$A82&amp;",",","&amp;SUBSTITUTE(Setup!$B$16," ","")&amp;",")),1,0))</f>
        <v/>
      </c>
      <c r="BY82" s="9" t="str">
        <f aca="false">IF($B82="","",IF(ISNUMBER(SEARCH(","&amp;$A82&amp;",",","&amp;SUBSTITUTE(Setup!$B$17," ","")&amp;",")),1,0))</f>
        <v/>
      </c>
      <c r="BZ82" s="22" t="str">
        <f aca="false">IF($AS82="","",IF(Fits!$B$38="Row",$AQ82,IF($AR82="","",$AR82)))</f>
        <v/>
      </c>
      <c r="CA82" s="22" t="str">
        <f aca="false">IF($AT82="","",IF(Fits!$B$50="Row",$AQ82,IF($AR82="","",$AR82)))</f>
        <v/>
      </c>
      <c r="CB82" s="20" t="str">
        <f aca="false">IF(OR($D82&lt;&gt;"Drift",$X82="",$A82&lt;IF(Setup!$B$14="",0,Setup!$B$14),Fits!$B$107&lt;3,Fits!$B$110="",Fits!$B$109=0,IF(Fits!$B$38="Row",$AQ82,$AR82)=""),"",IF($BX82=1,IF(OR(Fits!$B$111="",Fits!$B$111=0),"",($X82-(IF(Fits!$B$38="Row",Fits!$B$32,Fits!$B$35)*IF(Fits!$B$38="Row",$AQ82,$AR82)+Fits!$B$110))/(Fits!$B$111*SQRT(1+(1/Fits!$B$107+(IF(Fits!$B$38="Row",$AQ82,$AR82)-Fits!$B$108)^2/Fits!$B$109)))),IF(OR(Fits!$B$107&lt;4,(1/Fits!$B$107+(IF(Fits!$B$38="Row",$AQ82,$AR82)-Fits!$B$108)^2/Fits!$B$109)&gt;=1),"",IF((Fits!$B$116-($X82-(IF(Fits!$B$38="Row",Fits!$B$32,Fits!$B$35)*IF(Fits!$B$38="Row",$AQ82,$AR82)+Fits!$B$110))^2/(1-(1/Fits!$B$107+(IF(Fits!$B$38="Row",$AQ82,$AR82)-Fits!$B$108)^2/Fits!$B$109)))&lt;=0,"",($X82-(IF(Fits!$B$38="Row",Fits!$B$32,Fits!$B$35)*IF(Fits!$B$38="Row",$AQ82,$AR82)+Fits!$B$110))/(SQRT((Fits!$B$116-($X82-(IF(Fits!$B$38="Row",Fits!$B$32,Fits!$B$35)*IF(Fits!$B$38="Row",$AQ82,$AR82)+Fits!$B$110))^2/(1-(1/Fits!$B$107+(IF(Fits!$B$38="Row",$AQ82,$AR82)-Fits!$B$108)^2/Fits!$B$109)))/(Fits!$B$107-3))*SQRT(1-(1/Fits!$B$107+(IF(Fits!$B$38="Row",$AQ82,$AR82)-Fits!$B$108)^2/Fits!$B$109)))))))</f>
        <v/>
      </c>
      <c r="CC82" s="20" t="str">
        <f aca="false">IF(OR($D82&lt;&gt;"Drift",$AC82="",$A82&lt;IF(Setup!$B$14="",0,Setup!$B$14),Fits!$B$120&lt;3,Fits!$B$123="",Fits!$B$122=0,IF(Fits!$B$50="Row",$AQ82,$AR82)=""),"",IF($BY82=1,IF(OR(Fits!$B$124="",Fits!$B$124=0),"",($AC82-(IF(Fits!$B$50="Row",Fits!$B$44,Fits!$B$47)*IF(Fits!$B$50="Row",$AQ82,$AR82)+Fits!$B$123))/(Fits!$B$124*SQRT(1+(1/Fits!$B$120+(IF(Fits!$B$50="Row",$AQ82,$AR82)-Fits!$B$121)^2/Fits!$B$122)))),IF(OR(Fits!$B$120&lt;4,(1/Fits!$B$120+(IF(Fits!$B$50="Row",$AQ82,$AR82)-Fits!$B$121)^2/Fits!$B$122)&gt;=1),"",IF((Fits!$B$129-($AC82-(IF(Fits!$B$50="Row",Fits!$B$44,Fits!$B$47)*IF(Fits!$B$50="Row",$AQ82,$AR82)+Fits!$B$123))^2/(1-(1/Fits!$B$120+(IF(Fits!$B$50="Row",$AQ82,$AR82)-Fits!$B$121)^2/Fits!$B$122)))&lt;=0,"",($AC82-(IF(Fits!$B$50="Row",Fits!$B$44,Fits!$B$47)*IF(Fits!$B$50="Row",$AQ82,$AR82)+Fits!$B$123))/(SQRT((Fits!$B$129-($AC82-(IF(Fits!$B$50="Row",Fits!$B$44,Fits!$B$47)*IF(Fits!$B$50="Row",$AQ82,$AR82)+Fits!$B$123))^2/(1-(1/Fits!$B$120+(IF(Fits!$B$50="Row",$AQ82,$AR82)-Fits!$B$121)^2/Fits!$B$122)))/(Fits!$B$120-3))*SQRT(1-(1/Fits!$B$120+(IF(Fits!$B$50="Row",$AQ82,$AR82)-Fits!$B$121)^2/Fits!$B$122)))))))</f>
        <v/>
      </c>
      <c r="CD82" s="9" t="str">
        <f aca="false">IF($AU82="","",1)</f>
        <v/>
      </c>
      <c r="CE82" s="24" t="str">
        <f aca="false">IF($AU82="","",$AU82-Fits!$B$133)</f>
        <v/>
      </c>
      <c r="CF82" s="24" t="str">
        <f aca="false">IF($AU82="","",($AV82-(Fits!$B$56*$AU82+Fits!$B$57))-Fits!$B$56*($AU82-Fits!$B$133))</f>
        <v/>
      </c>
      <c r="CG82" s="25" t="str">
        <f aca="false">IF($AU82="","",$AU82^2)</f>
        <v/>
      </c>
      <c r="CH82" s="9" t="str">
        <f aca="false">IF($AW82="","",1)</f>
        <v/>
      </c>
      <c r="CI82" s="24" t="str">
        <f aca="false">IF($AW82="","",$AW82-Fits!$B$153)</f>
        <v/>
      </c>
      <c r="CJ82" s="24" t="str">
        <f aca="false">IF($AW82="","",($AX82-(Fits!$B$63*$AW82+Fits!$B$64))-Fits!$B$63*($AW82-Fits!$B$153))</f>
        <v/>
      </c>
      <c r="CK82" s="25" t="str">
        <f aca="false">IF($AW82="","",$AW82^2)</f>
        <v/>
      </c>
      <c r="CL82" s="26" t="str">
        <f aca="false">IF(OR($Z82="",Fits!$B$55&lt;3,Fits!$B$133="",Fits!$B$134="",Fits!$B$134=0,Fits!$B$136=""),"",SQRT((Fits!$B$136*Fits!$B$56)^2+SUMPRODUCT((Fits!$J$163:$J$175*(Fits!$B$163:$B$175/Fits!$B$55+Fits!$H$163:$H$175*($Z82-Fits!$B$133)/Fits!$B$134))^2)+SUMPRODUCT((Fits!$G$163:$G$175*(($Z82-Fits!$B$133)*Fits!$I$163:$I$175/Fits!$B$134-Fits!$B$163:$B$175*Fits!$B$56/Fits!$B$55))^2)))</f>
        <v/>
      </c>
      <c r="CM82" s="26" t="str">
        <f aca="false">IF($CL82="","",Setup!$B$32*$CL82)</f>
        <v/>
      </c>
      <c r="CN82" s="26" t="str">
        <f aca="false">IF(OR($AE82="",Fits!$B$62&lt;3,Fits!$B$153="",Fits!$B$154="",Fits!$B$154=0,Fits!$B$156=""),"",SQRT((Fits!$B$156*Fits!$B$63)^2+SUMPRODUCT((Fits!$J$183:$J$195*(Fits!$B$183:$B$195/Fits!$B$62+Fits!$H$183:$H$195*($AE82-Fits!$B$153)/Fits!$B$154))^2)+SUMPRODUCT((Fits!$G$183:$G$195*(($AE82-Fits!$B$153)*Fits!$I$183:$I$195/Fits!$B$154-Fits!$B$183:$B$195*Fits!$B$63/Fits!$B$62))^2)))</f>
        <v/>
      </c>
      <c r="CO82" s="26" t="str">
        <f aca="false">IF($CN82="","",Setup!$B$32*$CN82)</f>
        <v/>
      </c>
      <c r="CP82" s="9" t="n">
        <f aca="false">IF(OR(NOT(ISNUMBER($BJ82)),$EK82=1),$CP81,IF($BJ82&lt;=Setup!$B$26,$CP81+1,0))</f>
        <v>26</v>
      </c>
      <c r="CQ82" s="9" t="str">
        <f aca="false">IF($BT82="","",$A82)</f>
        <v/>
      </c>
      <c r="CR82" s="9" t="str">
        <f aca="false">IF($BW82="","",$A82)</f>
        <v/>
      </c>
      <c r="CS82" s="9" t="str">
        <f aca="false">IF($B82="","",IF(Setup!$A$37="",0,IF(ISNUMBER(SEARCH(Setup!$A$37,$B82)),37,0)))</f>
        <v/>
      </c>
      <c r="CT82" s="9" t="str">
        <f aca="false">IF($B82="","",IF(Setup!$A$38="",0,IF(ISNUMBER(SEARCH(Setup!$A$38,$B82)),38,0)))</f>
        <v/>
      </c>
      <c r="CU82" s="9" t="str">
        <f aca="false">IF($B82="","",IF(Setup!$A$39="",0,IF(ISNUMBER(SEARCH(Setup!$A$39,$B82)),39,0)))</f>
        <v/>
      </c>
      <c r="CV82" s="9" t="str">
        <f aca="false">IF($B82="","",IF(Setup!$A$40="",0,IF(ISNUMBER(SEARCH(Setup!$A$40,$B82)),40,0)))</f>
        <v/>
      </c>
      <c r="CW82" s="9" t="str">
        <f aca="false">IF($B82="","",IF(Setup!$A$41="",0,IF(ISNUMBER(SEARCH(Setup!$A$41,$B82)),41,0)))</f>
        <v/>
      </c>
      <c r="CX82" s="9" t="str">
        <f aca="false">IF($B82="","",IF(Setup!$A$42="",0,IF(ISNUMBER(SEARCH(Setup!$A$42,$B82)),42,0)))</f>
        <v/>
      </c>
      <c r="CY82" s="9" t="str">
        <f aca="false">IF($B82="","",IF(Setup!$A$43="",0,IF(ISNUMBER(SEARCH(Setup!$A$43,$B82)),43,0)))</f>
        <v/>
      </c>
      <c r="CZ82" s="9" t="str">
        <f aca="false">IF($B82="","",IF(Setup!$A$44="",0,IF(ISNUMBER(SEARCH(Setup!$A$44,$B82)),44,0)))</f>
        <v/>
      </c>
      <c r="DA82" s="9" t="str">
        <f aca="false">IF($B82="","",IF(Setup!$A$45="",0,IF(ISNUMBER(SEARCH(Setup!$A$45,$B82)),45,0)))</f>
        <v/>
      </c>
      <c r="DB82" s="9" t="str">
        <f aca="false">IF($B82="","",IF(Setup!$A$46="",0,IF(ISNUMBER(SEARCH(Setup!$A$46,$B82)),46,0)))</f>
        <v/>
      </c>
      <c r="DC82" s="9" t="str">
        <f aca="false">IF($B82="","",IF(Setup!$A$47="",0,IF(ISNUMBER(SEARCH(Setup!$A$47,$B82)),47,0)))</f>
        <v/>
      </c>
      <c r="DD82" s="9" t="str">
        <f aca="false">IF($B82="","",IF(Setup!$A$48="",0,IF(ISNUMBER(SEARCH(Setup!$A$48,$B82)),48,0)))</f>
        <v/>
      </c>
      <c r="DE82" s="9" t="str">
        <f aca="false">IF($B82="","",IF(Setup!$A$49="",0,IF(ISNUMBER(SEARCH(Setup!$A$49,$B82)),49,0)))</f>
        <v/>
      </c>
      <c r="DF82" s="9" t="e">
        <f aca="false">IF($B82="",NA(),$A82)</f>
        <v>#N/A</v>
      </c>
      <c r="DG82" s="9" t="e">
        <f aca="false">IF($BI82="",NA(),$BI82)</f>
        <v>#N/A</v>
      </c>
      <c r="DH82" s="9" t="e">
        <f aca="false">IF($N82="",NA(),$N82)</f>
        <v>#N/A</v>
      </c>
      <c r="DI82" s="9" t="e">
        <f aca="false">IF(AND($D82="Drift",$N82&lt;&gt;""),$N82,NA())</f>
        <v>#N/A</v>
      </c>
      <c r="DJ82" s="9" t="str">
        <f aca="false">IF(AND($D82="Drift",$N82&lt;&gt;""),$N82,"")</f>
        <v/>
      </c>
      <c r="DK82" s="9" t="str">
        <f aca="false">IF($DJ82="","",$A82)</f>
        <v/>
      </c>
      <c r="DL82" s="9" t="e">
        <f aca="false">IF($AN82="",NA(),$AM82)</f>
        <v>#N/A</v>
      </c>
      <c r="DM82" s="9" t="e">
        <f aca="false">IF($AN82="",NA(),$AN82)</f>
        <v>#N/A</v>
      </c>
      <c r="DN82" s="9" t="e">
        <f aca="false">IF(AND($D82="Sample",$L82&lt;&gt;""),$L82,NA())</f>
        <v>#N/A</v>
      </c>
      <c r="DO82" s="9" t="e">
        <f aca="false">IF(AND($D82="Sample",$L82&lt;&gt;"",Fits!$B$98&lt;&gt;""),Fits!$B$98,NA())</f>
        <v>#N/A</v>
      </c>
      <c r="DP82" s="9" t="e">
        <f aca="false">IF($AS82="",NA(),$AS82)</f>
        <v>#N/A</v>
      </c>
      <c r="DQ82" s="9" t="e">
        <f aca="false">IF(AND($D82="Drift",$AS82="",$X82&lt;&gt;""),$X82,NA())</f>
        <v>#N/A</v>
      </c>
      <c r="DR82" s="9" t="e">
        <f aca="false">IF(AND($D82="Drift",$Z82&lt;&gt;""),$Z82,NA())</f>
        <v>#N/A</v>
      </c>
      <c r="DS82" s="9" t="e">
        <f aca="false">IF(AND(OR($D82="Sample",$D82="Check"),$AA82&lt;&gt;""),$AA82,NA())</f>
        <v>#N/A</v>
      </c>
      <c r="DT82" s="9" t="e">
        <f aca="false">IF(OR($B82="",Fits!$B$138=""),NA(),Fits!$B$138)</f>
        <v>#N/A</v>
      </c>
      <c r="DU82" s="9" t="e">
        <f aca="false">IF(OR($B82="",Fits!$B$139=""),NA(),Fits!$B$139)</f>
        <v>#N/A</v>
      </c>
      <c r="DV82" s="9" t="e">
        <f aca="false">IF($BT82="",NA(),$BT82)</f>
        <v>#N/A</v>
      </c>
      <c r="DW82" s="9" t="e">
        <f aca="false">IF($AP82="",NA(),$AO82)</f>
        <v>#N/A</v>
      </c>
      <c r="DX82" s="9" t="e">
        <f aca="false">IF($AP82="",NA(),$AP82)</f>
        <v>#N/A</v>
      </c>
      <c r="DY82" s="9" t="e">
        <f aca="false">IF(AND($D82="Sample",$P82&lt;&gt;""),$P82,NA())</f>
        <v>#N/A</v>
      </c>
      <c r="DZ82" s="9" t="e">
        <f aca="false">IF(AND($D82="Sample",$P82&lt;&gt;"",Fits!$B$105&lt;&gt;""),Fits!$B$105,NA())</f>
        <v>#N/A</v>
      </c>
      <c r="EA82" s="9" t="e">
        <f aca="false">IF($AT82="",NA(),$AT82)</f>
        <v>#N/A</v>
      </c>
      <c r="EB82" s="9" t="e">
        <f aca="false">IF(AND($D82="Drift",$AT82="",$AC82&lt;&gt;""),$AC82,NA())</f>
        <v>#N/A</v>
      </c>
      <c r="EC82" s="9" t="e">
        <f aca="false">IF(AND($D82="Drift",$AE82&lt;&gt;""),$AE82,NA())</f>
        <v>#N/A</v>
      </c>
      <c r="ED82" s="9" t="e">
        <f aca="false">IF(AND(OR($D82="Sample",$D82="Check"),$AF82&lt;&gt;""),$AF82,NA())</f>
        <v>#N/A</v>
      </c>
      <c r="EE82" s="9" t="e">
        <f aca="false">IF(OR($B82="",Fits!$B$158=""),NA(),Fits!$B$158)</f>
        <v>#N/A</v>
      </c>
      <c r="EF82" s="9" t="e">
        <f aca="false">IF(OR($B82="",Fits!$B$159=""),NA(),Fits!$B$159)</f>
        <v>#N/A</v>
      </c>
      <c r="EG82" s="9" t="e">
        <f aca="false">IF($BW82="",NA(),$BW82)</f>
        <v>#N/A</v>
      </c>
      <c r="EH82" s="9" t="e">
        <f aca="false">IF(AND($EN82=1,ISNUMBER($N82)),$N82,NA())</f>
        <v>#N/A</v>
      </c>
      <c r="EI82" s="9" t="str">
        <f aca="false">IF($B82="","",$A82)</f>
        <v/>
      </c>
      <c r="EJ82" s="9" t="n">
        <f aca="false">IF(OR(AND(ISNUMBER($L82),Fits!$B$97&gt;0,$L82&gt;Fits!$B$97),AND(ISNUMBER($P82),Fits!$B$104&gt;0,$P82&gt;Fits!$B$104)),1,0)</f>
        <v>0</v>
      </c>
      <c r="EK82" s="9" t="n">
        <f aca="false">IF(OR($EJ81=1,$EJ80=1),1,0)</f>
        <v>0</v>
      </c>
      <c r="EL82" s="22" t="n">
        <f aca="false">IF(AND($EK82=0,ISNUMBER($N82)),$N82,$EL81)</f>
        <v>25.7</v>
      </c>
      <c r="EM82" s="9" t="str">
        <f aca="false">IF(AND($EK82=1,ISNUMBER($N82),ISNUMBER($EL82)),$N82-$EL82,"")</f>
        <v/>
      </c>
      <c r="EN82" s="9" t="n">
        <f aca="false">IF(Setup!$B$28="",0,IF(ISNUMBER($EM82),IF($EM82&gt;Setup!$B$28,1,0),0))</f>
        <v>0</v>
      </c>
      <c r="EO82" s="9" t="str">
        <f aca="false">IF($EN82=1,COUNTIF($EN$6:$EN82,1),"")</f>
        <v/>
      </c>
      <c r="EP82" s="9" t="n">
        <f aca="false">IF(AND($EJ81=1,OR($D82="Sample",$D82="Check")),1,0)</f>
        <v>0</v>
      </c>
      <c r="EQ82" s="9" t="str">
        <f aca="false">IF(ISNUMBER($BI82),IF(COUNT($BI$6:$BI82)&lt;=5,$BI82,""),"")</f>
        <v/>
      </c>
      <c r="ER82" s="9" t="n">
        <f aca="false">IF(OR(NOT(ISNUMBER($BJ82)),$EK82=1),$ER81,IF($BJ82&lt;=Setup!$B$26,IF($CP81=0,$A82,$ER81),""))</f>
        <v>27</v>
      </c>
    </row>
    <row r="83" customFormat="false" ht="15" hidden="false" customHeight="false" outlineLevel="0" collapsed="false">
      <c r="A83" s="8" t="n">
        <v>78</v>
      </c>
      <c r="B83" s="8" t="str">
        <f aca="false">IFERROR(INDEX(Raw!$B$2:$B$1001,MATCH($A83,Raw!$A$2:$A$1001,0)),"")</f>
        <v/>
      </c>
      <c r="C83" s="9" t="str">
        <f aca="false">IF($B83="","",MAX($CS83:$DE83))</f>
        <v/>
      </c>
      <c r="D83" s="8" t="str">
        <f aca="false">IF($B83="","",IF($C83=0,"Sample",INDEX(Setup!$B$37:$B$49,$C83-36)))</f>
        <v/>
      </c>
      <c r="E83" s="16" t="str">
        <f aca="false">IF($B83="","",IFERROR(IF(INDEX(Raw!$E$2:$E$1001,MATCH($A83,Raw!$A$2:$A$1001,0))=0,"",INDEX(Raw!$E$2:$E$1001,MATCH($A83,Raw!$A$2:$A$1001,0))),""))</f>
        <v/>
      </c>
      <c r="F83" s="18"/>
      <c r="G83" s="16" t="str">
        <f aca="false">IF($B83="","",IF($F83&lt;&gt;"",$F83,IF($E83="","",$E83)))</f>
        <v/>
      </c>
      <c r="H83" s="9" t="str">
        <f aca="false">IF($B83="","",SUMPRODUCT(MAX((Raw!$A$2:$A$1001=$A83)*(Raw!$R$2:$R$1001="N")*Raw!$D$2:$D$1001)))</f>
        <v/>
      </c>
      <c r="I83" s="9" t="str">
        <f aca="false">IF(OR($H83="",$H83=0),"",$A83&amp;"|N|"&amp;$H83)</f>
        <v/>
      </c>
      <c r="J83" s="9" t="str">
        <f aca="false">IF($B83="","",SUMPRODUCT(MIN((Raw!$A$2:$A$1001=$A83)*(Raw!$R$2:$R$1001="C")*Raw!$D$2:$D$1001+(1-(Raw!$A$2:$A$1001=$A83)*(Raw!$R$2:$R$1001="C"))*9999)))</f>
        <v/>
      </c>
      <c r="K83" s="9" t="str">
        <f aca="false">IF(OR($J83="",$J83=0,$J83=9999),"",$A83&amp;"|C|"&amp;$J83)</f>
        <v/>
      </c>
      <c r="L83" s="16" t="str">
        <f aca="false">IF($I83="","",IF(INDEX(Raw!$I$2:$I$1001,MATCH($I83,Raw!$S$2:$S$1001,0))&lt;&gt;0,"",INDEX(Raw!$H$2:$H$1001,MATCH($I83,Raw!$S$2:$S$1001,0))))</f>
        <v/>
      </c>
      <c r="M83" s="19" t="str">
        <f aca="false">IF($I83="","",IF(INDEX(Raw!$I$2:$I$1001,MATCH($I83,Raw!$S$2:$S$1001,0))&lt;&gt;0,"",INDEX(Raw!$F$2:$F$1001,MATCH($I83,Raw!$S$2:$S$1001,0))))</f>
        <v/>
      </c>
      <c r="N83" s="20" t="str">
        <f aca="false">IF($I83="","",IF(INDEX(Raw!$I$2:$I$1001,MATCH($I83,Raw!$S$2:$S$1001,0))&lt;&gt;0,"",INDEX(Raw!$G$2:$G$1001,MATCH($I83,Raw!$S$2:$S$1001,0))))</f>
        <v/>
      </c>
      <c r="O83" s="16" t="str">
        <f aca="false">IF($I83="","",IF(INDEX(Raw!$I$2:$I$1001,MATCH($I83,Raw!$S$2:$S$1001,0))&lt;&gt;0,"",INDEX(Raw!$N$2:$N$1001,MATCH($I83,Raw!$S$2:$S$1001,0))))</f>
        <v/>
      </c>
      <c r="P83" s="16" t="str">
        <f aca="false">IF($K83="","",IF(INDEX(Raw!$I$2:$I$1001,MATCH($K83,Raw!$S$2:$S$1001,0))&lt;&gt;0,"",INDEX(Raw!$K$2:$K$1001,MATCH($K83,Raw!$S$2:$S$1001,0))))</f>
        <v/>
      </c>
      <c r="Q83" s="19" t="str">
        <f aca="false">IF($K83="","",IF(INDEX(Raw!$I$2:$I$1001,MATCH($K83,Raw!$S$2:$S$1001,0))&lt;&gt;0,"",INDEX(Raw!$J$2:$J$1001,MATCH($K83,Raw!$S$2:$S$1001,0))))</f>
        <v/>
      </c>
      <c r="R83" s="16" t="str">
        <f aca="false">IF($K83="","",IF(INDEX(Raw!$I$2:$I$1001,MATCH($K83,Raw!$S$2:$S$1001,0))&lt;&gt;0,"",INDEX(Raw!$O$2:$O$1001,MATCH($K83,Raw!$S$2:$S$1001,0))))</f>
        <v/>
      </c>
      <c r="S83" s="21" t="str">
        <f aca="false">IF($B83="","",IF($C83=0,"",IF(INDEX(Setup!$D$37:$D$49,$C83-36)="","",INDEX(Setup!$D$37:$D$49,$C83-36))))</f>
        <v/>
      </c>
      <c r="T83" s="21" t="str">
        <f aca="false">IF($B83="","",IF($C83=0,"",IF(INDEX(Setup!$C$37:$C$49,$C83-36)="","",INDEX(Setup!$C$37:$C$49,$C83-36))))</f>
        <v/>
      </c>
      <c r="U83" s="21" t="str">
        <f aca="false">IF($B83="","",IF($C83=0,"",IF(INDEX(Setup!$F$37:$F$49,$C83-36)="","",INDEX(Setup!$F$37:$F$49,$C83-36))))</f>
        <v/>
      </c>
      <c r="V83" s="21" t="str">
        <f aca="false">IF($B83="","",IF($C83=0,"",IF(INDEX(Setup!$E$37:$E$49,$C83-36)="","",INDEX(Setup!$E$37:$E$49,$C83-36))))</f>
        <v/>
      </c>
      <c r="W83" s="16" t="str">
        <f aca="false">IF($O83="","",IF(OR(Fits!$C$5&lt;&gt;"Yes",$D83="Blank",$L83&lt;=Fits!$B$6),$O83,($L83*$O83-Fits!$B$6*Fits!$B$7)/($L83-Fits!$B$6)))</f>
        <v/>
      </c>
      <c r="X83" s="16" t="str">
        <f aca="false">IF($W83="","",$W83-Fits!$B$20*($L83-Fits!$B$16))</f>
        <v/>
      </c>
      <c r="Y83" s="22" t="str">
        <f aca="false">IF($W83="","",IF(OR(Fits!$B$38="Row",$BI83=""),$A83,$BI83))</f>
        <v/>
      </c>
      <c r="Z83" s="16" t="str">
        <f aca="false">IF($X83="","",$X83-Fits!$B$39*($Y83-Fits!$B$40))</f>
        <v/>
      </c>
      <c r="AA83" s="23" t="str">
        <f aca="false">IF(OR($Z83="",Fits!$B$55&lt;2),"",Fits!$B$56*$Z83+Fits!$B$57)</f>
        <v/>
      </c>
      <c r="AB83" s="16" t="str">
        <f aca="false">IF($R83="","",IF(OR(Fits!$C$9&lt;&gt;"Yes",$D83="Blank",$P83&lt;=Fits!$B$10),$R83,($P83*$R83-Fits!$B$10*Fits!$B$11)/($P83-Fits!$B$10)))</f>
        <v/>
      </c>
      <c r="AC83" s="16" t="str">
        <f aca="false">IF($AB83="","",$AB83-Fits!$B$28*($P83-Fits!$B$24))</f>
        <v/>
      </c>
      <c r="AD83" s="22" t="str">
        <f aca="false">IF($AB83="","",IF(OR(Fits!$B$50="Row",$BI83=""),$A83,$BI83))</f>
        <v/>
      </c>
      <c r="AE83" s="16" t="str">
        <f aca="false">IF($AC83="","",$AC83-Fits!$B$51*($AD83-Fits!$B$52))</f>
        <v/>
      </c>
      <c r="AF83" s="23" t="str">
        <f aca="false">IF(OR($AE83="",Fits!$B$62&lt;2),"",Fits!$B$63*$AE83+Fits!$B$64)</f>
        <v/>
      </c>
      <c r="AG83" s="21" t="str">
        <f aca="false">IF(OR($L83="",Fits!$B$69&lt;3),"",($L83-Fits!$B$71)/Fits!$B$70)</f>
        <v/>
      </c>
      <c r="AH83" s="21" t="str">
        <f aca="false">IF(OR($P83="",Fits!$B$75&lt;3),"",($P83-Fits!$B$77)/Fits!$B$76)</f>
        <v/>
      </c>
      <c r="AI83" s="23" t="str">
        <f aca="false">IF(OR($AG83="",$G83="",$G83=0),"",$AG83/($G83*1000)*100)</f>
        <v/>
      </c>
      <c r="AJ83" s="23" t="str">
        <f aca="false">IF(OR($AH83="",$G83="",$G83=0),"",$AH83/($G83*1000)*100)</f>
        <v/>
      </c>
      <c r="AK83" s="23" t="str">
        <f aca="false">IF(OR($AG83="",$AH83="",$AG83&lt;=0),"",($AH83/Setup!$B$52)/($AG83/Setup!$B$53))</f>
        <v/>
      </c>
      <c r="AL83" s="23" t="str">
        <f aca="false">IF(OR($AG83="",$AH83="",$AG83&lt;=0),"",$AH83/$AG83)</f>
        <v/>
      </c>
      <c r="AM83" s="9" t="str">
        <f aca="false">IF($D83="Linearity",IF($L83="","",$L83),"")</f>
        <v/>
      </c>
      <c r="AN83" s="9" t="str">
        <f aca="false">IF($D83="Linearity",IF($W83="","",$W83),"")</f>
        <v/>
      </c>
      <c r="AO83" s="9" t="str">
        <f aca="false">IF($D83="Linearity",IF($P83="","",$P83),"")</f>
        <v/>
      </c>
      <c r="AP83" s="9" t="str">
        <f aca="false">IF($D83="Linearity",IF($AB83="","",$AB83),"")</f>
        <v/>
      </c>
      <c r="AQ83" s="9" t="str">
        <f aca="false">IF($D83="Drift",IF($A83&lt;IF(Setup!$B$14="",0,Setup!$B$14),"",$A83),"")</f>
        <v/>
      </c>
      <c r="AR83" s="9" t="str">
        <f aca="false">IF($D83="Drift",IF($A83&lt;IF(Setup!$B$14="",0,Setup!$B$14),"",IF($BI83="","",$BI83)),"")</f>
        <v/>
      </c>
      <c r="AS83" s="9" t="str">
        <f aca="false">IF($D83="Drift",IF($A83&lt;IF(Setup!$B$14="",0,Setup!$B$14),"",IF(OR($X83="",$BX83=1),"",$X83)),"")</f>
        <v/>
      </c>
      <c r="AT83" s="9" t="str">
        <f aca="false">IF($D83="Drift",IF($A83&lt;IF(Setup!$B$14="",0,Setup!$B$14),"",IF(OR($AC83="",$BY83=1),"",$AC83)),"")</f>
        <v/>
      </c>
      <c r="AU83" s="9" t="str">
        <f aca="false">IF($D83="Anchor",IF(OR($Z83="",$S83=""),"",$Z83),"")</f>
        <v/>
      </c>
      <c r="AV83" s="9" t="str">
        <f aca="false">IF($D83="Anchor",IF(OR($Z83="",$S83=""),"",$S83),"")</f>
        <v/>
      </c>
      <c r="AW83" s="9" t="str">
        <f aca="false">IF($D83="Anchor",IF(OR($AE83="",$T83=""),"",$AE83),"")</f>
        <v/>
      </c>
      <c r="AX83" s="9" t="str">
        <f aca="false">IF($D83="Anchor",IF(OR($AE83="",$T83=""),"",$T83),"")</f>
        <v/>
      </c>
      <c r="AY83" s="9" t="str">
        <f aca="false">IF(OR($D83="Blank",$D83="Exclude",$D83="Sample",$D83="",$G83="",$U83="",$L83=""),"",$G83*1000*$U83/100)</f>
        <v/>
      </c>
      <c r="AZ83" s="9" t="str">
        <f aca="false">IF($AY83="","",$L83)</f>
        <v/>
      </c>
      <c r="BA83" s="9" t="str">
        <f aca="false">IF(OR($D83="Blank",$D83="Exclude",$D83="Sample",$D83="",$G83="",$V83="",$P83=""),"",$G83*1000*$V83/100)</f>
        <v/>
      </c>
      <c r="BB83" s="9" t="str">
        <f aca="false">IF($BA83="","",$P83)</f>
        <v/>
      </c>
      <c r="BC83" s="9" t="str">
        <f aca="false">IF(AND($D83="Blank",$L83&lt;&gt;""),$O83,"")</f>
        <v/>
      </c>
      <c r="BD83" s="9" t="str">
        <f aca="false">IF($BC83="","",$L83)</f>
        <v/>
      </c>
      <c r="BE83" s="9" t="str">
        <f aca="false">IF(AND($D83="Blank",$P83&lt;&gt;""),$R83,"")</f>
        <v/>
      </c>
      <c r="BF83" s="9" t="str">
        <f aca="false">IF($BE83="","",$P83)</f>
        <v/>
      </c>
      <c r="BG83" s="9" t="str">
        <f aca="false">IF(AND($D83="Drift",$BX83&lt;&gt;1),IF($AA83="","",$AA83),"")</f>
        <v/>
      </c>
      <c r="BH83" s="9" t="str">
        <f aca="false">IF(AND($D83="Drift",$BY83&lt;&gt;1),IF($AF83="","",$AF83),"")</f>
        <v/>
      </c>
      <c r="BI83" s="20" t="str">
        <f aca="false">IF($B83="","",IFERROR(INDEX(Raw!$G$2:$G$1001,MATCH($A83&amp;"|N|"&amp;SUMPRODUCT(MAX((Raw!$A$2:$A$1001=$A83)*(Raw!$R$2:$R$1001="N")*(Raw!$I$2:$I$1001=1)*Raw!$D$2:$D$1001)),Raw!$S$2:$S$1001,0)),""))</f>
        <v/>
      </c>
      <c r="BJ83" s="21" t="str">
        <f aca="false">IF(OR($BI83="",Fits!$B$85&lt;=0),"",($BI83-Fits!$B$83)/Fits!$B$85)</f>
        <v/>
      </c>
      <c r="BK83" s="9" t="str">
        <f aca="false">IF($AS83="","",IF($A83&gt;=Fits!$B$86,"",$A83))</f>
        <v/>
      </c>
      <c r="BL83" s="9" t="str">
        <f aca="false">IF($BK83="","",$X83)</f>
        <v/>
      </c>
      <c r="BM83" s="9" t="str">
        <f aca="false">IF($AS83="","",IF($A83&lt;Fits!$B$86,"",$A83))</f>
        <v/>
      </c>
      <c r="BN83" s="9" t="str">
        <f aca="false">IF($BM83="","",$X83)</f>
        <v/>
      </c>
      <c r="BO83" s="9" t="str">
        <f aca="false">IF(AND($D83="Drift",$BX83&lt;&gt;1),IF($O83="","",$O83),"")</f>
        <v/>
      </c>
      <c r="BP83" s="9" t="str">
        <f aca="false">IF(AND($D83="Drift",$BX83&lt;&gt;1),IF($W83="","",$W83),"")</f>
        <v/>
      </c>
      <c r="BQ83" s="9" t="str">
        <f aca="false">IF(AND($D83="Drift",$BX83&lt;&gt;1),IF($X83="","",$X83),"")</f>
        <v/>
      </c>
      <c r="BR83" s="9" t="str">
        <f aca="false">IF(AND($D83="Drift",$BX83&lt;&gt;1),IF($Z83="","",$Z83),"")</f>
        <v/>
      </c>
      <c r="BS83" s="9" t="str">
        <f aca="false">IF(OR($B83="",$H83=""),"",SUMPRODUCT(MIN((Raw!$A$2:$A$1001=$A83)*(Raw!$R$2:$R$1001="N")*(Raw!$I$2:$I$1001=0)*(Raw!$D$2:$D$1001&lt;$H83)*Raw!$D$2:$D$1001+(1-(Raw!$A$2:$A$1001=$A83)*(Raw!$R$2:$R$1001="N")*(Raw!$I$2:$I$1001=0)*(Raw!$D$2:$D$1001&lt;$H83))*9999)))</f>
        <v/>
      </c>
      <c r="BT83" s="16" t="str">
        <f aca="false">IF(OR($BS83="",$BS83=9999,$BS83=0),"",IFERROR(INDEX(Raw!$N$2:$N$1001,MATCH($A83&amp;"|N|"&amp;$BS83,Raw!$S$2:$S$1001,0)),""))</f>
        <v/>
      </c>
      <c r="BU83" s="9" t="str">
        <f aca="false">IF($B83="","",SUMPRODUCT(MIN((Raw!$A$2:$A$1001=$A83)*(Raw!$R$2:$R$1001="C")*(Raw!$I$2:$I$1001=1)*Raw!$D$2:$D$1001+(1-(Raw!$A$2:$A$1001=$A83)*(Raw!$R$2:$R$1001="C")*(Raw!$I$2:$I$1001=1))*9999)))</f>
        <v/>
      </c>
      <c r="BV83" s="9" t="str">
        <f aca="false">IF(OR($BU83="",$BU83=9999),"",SUMPRODUCT(MIN((Raw!$A$2:$A$1001=$A83)*(Raw!$R$2:$R$1001="C")*(Raw!$I$2:$I$1001=0)*(Raw!$D$2:$D$1001&gt;$BU83)*Raw!$D$2:$D$1001+(1-(Raw!$A$2:$A$1001=$A83)*(Raw!$R$2:$R$1001="C")*(Raw!$I$2:$I$1001=0)*(Raw!$D$2:$D$1001&gt;$BU83))*9999)))</f>
        <v/>
      </c>
      <c r="BW83" s="16" t="str">
        <f aca="false">IF(OR($BV83="",$BV83=9999,$BV83=0),"",IFERROR(INDEX(Raw!$O$2:$O$1001,MATCH($A83&amp;"|C|"&amp;$BV83,Raw!$S$2:$S$1001,0)),""))</f>
        <v/>
      </c>
      <c r="BX83" s="9" t="str">
        <f aca="false">IF($B83="","",IF(ISNUMBER(SEARCH(","&amp;$A83&amp;",",","&amp;SUBSTITUTE(Setup!$B$16," ","")&amp;",")),1,0))</f>
        <v/>
      </c>
      <c r="BY83" s="9" t="str">
        <f aca="false">IF($B83="","",IF(ISNUMBER(SEARCH(","&amp;$A83&amp;",",","&amp;SUBSTITUTE(Setup!$B$17," ","")&amp;",")),1,0))</f>
        <v/>
      </c>
      <c r="BZ83" s="22" t="str">
        <f aca="false">IF($AS83="","",IF(Fits!$B$38="Row",$AQ83,IF($AR83="","",$AR83)))</f>
        <v/>
      </c>
      <c r="CA83" s="22" t="str">
        <f aca="false">IF($AT83="","",IF(Fits!$B$50="Row",$AQ83,IF($AR83="","",$AR83)))</f>
        <v/>
      </c>
      <c r="CB83" s="20" t="str">
        <f aca="false">IF(OR($D83&lt;&gt;"Drift",$X83="",$A83&lt;IF(Setup!$B$14="",0,Setup!$B$14),Fits!$B$107&lt;3,Fits!$B$110="",Fits!$B$109=0,IF(Fits!$B$38="Row",$AQ83,$AR83)=""),"",IF($BX83=1,IF(OR(Fits!$B$111="",Fits!$B$111=0),"",($X83-(IF(Fits!$B$38="Row",Fits!$B$32,Fits!$B$35)*IF(Fits!$B$38="Row",$AQ83,$AR83)+Fits!$B$110))/(Fits!$B$111*SQRT(1+(1/Fits!$B$107+(IF(Fits!$B$38="Row",$AQ83,$AR83)-Fits!$B$108)^2/Fits!$B$109)))),IF(OR(Fits!$B$107&lt;4,(1/Fits!$B$107+(IF(Fits!$B$38="Row",$AQ83,$AR83)-Fits!$B$108)^2/Fits!$B$109)&gt;=1),"",IF((Fits!$B$116-($X83-(IF(Fits!$B$38="Row",Fits!$B$32,Fits!$B$35)*IF(Fits!$B$38="Row",$AQ83,$AR83)+Fits!$B$110))^2/(1-(1/Fits!$B$107+(IF(Fits!$B$38="Row",$AQ83,$AR83)-Fits!$B$108)^2/Fits!$B$109)))&lt;=0,"",($X83-(IF(Fits!$B$38="Row",Fits!$B$32,Fits!$B$35)*IF(Fits!$B$38="Row",$AQ83,$AR83)+Fits!$B$110))/(SQRT((Fits!$B$116-($X83-(IF(Fits!$B$38="Row",Fits!$B$32,Fits!$B$35)*IF(Fits!$B$38="Row",$AQ83,$AR83)+Fits!$B$110))^2/(1-(1/Fits!$B$107+(IF(Fits!$B$38="Row",$AQ83,$AR83)-Fits!$B$108)^2/Fits!$B$109)))/(Fits!$B$107-3))*SQRT(1-(1/Fits!$B$107+(IF(Fits!$B$38="Row",$AQ83,$AR83)-Fits!$B$108)^2/Fits!$B$109)))))))</f>
        <v/>
      </c>
      <c r="CC83" s="20" t="str">
        <f aca="false">IF(OR($D83&lt;&gt;"Drift",$AC83="",$A83&lt;IF(Setup!$B$14="",0,Setup!$B$14),Fits!$B$120&lt;3,Fits!$B$123="",Fits!$B$122=0,IF(Fits!$B$50="Row",$AQ83,$AR83)=""),"",IF($BY83=1,IF(OR(Fits!$B$124="",Fits!$B$124=0),"",($AC83-(IF(Fits!$B$50="Row",Fits!$B$44,Fits!$B$47)*IF(Fits!$B$50="Row",$AQ83,$AR83)+Fits!$B$123))/(Fits!$B$124*SQRT(1+(1/Fits!$B$120+(IF(Fits!$B$50="Row",$AQ83,$AR83)-Fits!$B$121)^2/Fits!$B$122)))),IF(OR(Fits!$B$120&lt;4,(1/Fits!$B$120+(IF(Fits!$B$50="Row",$AQ83,$AR83)-Fits!$B$121)^2/Fits!$B$122)&gt;=1),"",IF((Fits!$B$129-($AC83-(IF(Fits!$B$50="Row",Fits!$B$44,Fits!$B$47)*IF(Fits!$B$50="Row",$AQ83,$AR83)+Fits!$B$123))^2/(1-(1/Fits!$B$120+(IF(Fits!$B$50="Row",$AQ83,$AR83)-Fits!$B$121)^2/Fits!$B$122)))&lt;=0,"",($AC83-(IF(Fits!$B$50="Row",Fits!$B$44,Fits!$B$47)*IF(Fits!$B$50="Row",$AQ83,$AR83)+Fits!$B$123))/(SQRT((Fits!$B$129-($AC83-(IF(Fits!$B$50="Row",Fits!$B$44,Fits!$B$47)*IF(Fits!$B$50="Row",$AQ83,$AR83)+Fits!$B$123))^2/(1-(1/Fits!$B$120+(IF(Fits!$B$50="Row",$AQ83,$AR83)-Fits!$B$121)^2/Fits!$B$122)))/(Fits!$B$120-3))*SQRT(1-(1/Fits!$B$120+(IF(Fits!$B$50="Row",$AQ83,$AR83)-Fits!$B$121)^2/Fits!$B$122)))))))</f>
        <v/>
      </c>
      <c r="CD83" s="9" t="str">
        <f aca="false">IF($AU83="","",1)</f>
        <v/>
      </c>
      <c r="CE83" s="24" t="str">
        <f aca="false">IF($AU83="","",$AU83-Fits!$B$133)</f>
        <v/>
      </c>
      <c r="CF83" s="24" t="str">
        <f aca="false">IF($AU83="","",($AV83-(Fits!$B$56*$AU83+Fits!$B$57))-Fits!$B$56*($AU83-Fits!$B$133))</f>
        <v/>
      </c>
      <c r="CG83" s="25" t="str">
        <f aca="false">IF($AU83="","",$AU83^2)</f>
        <v/>
      </c>
      <c r="CH83" s="9" t="str">
        <f aca="false">IF($AW83="","",1)</f>
        <v/>
      </c>
      <c r="CI83" s="24" t="str">
        <f aca="false">IF($AW83="","",$AW83-Fits!$B$153)</f>
        <v/>
      </c>
      <c r="CJ83" s="24" t="str">
        <f aca="false">IF($AW83="","",($AX83-(Fits!$B$63*$AW83+Fits!$B$64))-Fits!$B$63*($AW83-Fits!$B$153))</f>
        <v/>
      </c>
      <c r="CK83" s="25" t="str">
        <f aca="false">IF($AW83="","",$AW83^2)</f>
        <v/>
      </c>
      <c r="CL83" s="26" t="str">
        <f aca="false">IF(OR($Z83="",Fits!$B$55&lt;3,Fits!$B$133="",Fits!$B$134="",Fits!$B$134=0,Fits!$B$136=""),"",SQRT((Fits!$B$136*Fits!$B$56)^2+SUMPRODUCT((Fits!$J$163:$J$175*(Fits!$B$163:$B$175/Fits!$B$55+Fits!$H$163:$H$175*($Z83-Fits!$B$133)/Fits!$B$134))^2)+SUMPRODUCT((Fits!$G$163:$G$175*(($Z83-Fits!$B$133)*Fits!$I$163:$I$175/Fits!$B$134-Fits!$B$163:$B$175*Fits!$B$56/Fits!$B$55))^2)))</f>
        <v/>
      </c>
      <c r="CM83" s="26" t="str">
        <f aca="false">IF($CL83="","",Setup!$B$32*$CL83)</f>
        <v/>
      </c>
      <c r="CN83" s="26" t="str">
        <f aca="false">IF(OR($AE83="",Fits!$B$62&lt;3,Fits!$B$153="",Fits!$B$154="",Fits!$B$154=0,Fits!$B$156=""),"",SQRT((Fits!$B$156*Fits!$B$63)^2+SUMPRODUCT((Fits!$J$183:$J$195*(Fits!$B$183:$B$195/Fits!$B$62+Fits!$H$183:$H$195*($AE83-Fits!$B$153)/Fits!$B$154))^2)+SUMPRODUCT((Fits!$G$183:$G$195*(($AE83-Fits!$B$153)*Fits!$I$183:$I$195/Fits!$B$154-Fits!$B$183:$B$195*Fits!$B$63/Fits!$B$62))^2)))</f>
        <v/>
      </c>
      <c r="CO83" s="26" t="str">
        <f aca="false">IF($CN83="","",Setup!$B$32*$CN83)</f>
        <v/>
      </c>
      <c r="CP83" s="9" t="n">
        <f aca="false">IF(OR(NOT(ISNUMBER($BJ83)),$EK83=1),$CP82,IF($BJ83&lt;=Setup!$B$26,$CP82+1,0))</f>
        <v>26</v>
      </c>
      <c r="CQ83" s="9" t="str">
        <f aca="false">IF($BT83="","",$A83)</f>
        <v/>
      </c>
      <c r="CR83" s="9" t="str">
        <f aca="false">IF($BW83="","",$A83)</f>
        <v/>
      </c>
      <c r="CS83" s="9" t="str">
        <f aca="false">IF($B83="","",IF(Setup!$A$37="",0,IF(ISNUMBER(SEARCH(Setup!$A$37,$B83)),37,0)))</f>
        <v/>
      </c>
      <c r="CT83" s="9" t="str">
        <f aca="false">IF($B83="","",IF(Setup!$A$38="",0,IF(ISNUMBER(SEARCH(Setup!$A$38,$B83)),38,0)))</f>
        <v/>
      </c>
      <c r="CU83" s="9" t="str">
        <f aca="false">IF($B83="","",IF(Setup!$A$39="",0,IF(ISNUMBER(SEARCH(Setup!$A$39,$B83)),39,0)))</f>
        <v/>
      </c>
      <c r="CV83" s="9" t="str">
        <f aca="false">IF($B83="","",IF(Setup!$A$40="",0,IF(ISNUMBER(SEARCH(Setup!$A$40,$B83)),40,0)))</f>
        <v/>
      </c>
      <c r="CW83" s="9" t="str">
        <f aca="false">IF($B83="","",IF(Setup!$A$41="",0,IF(ISNUMBER(SEARCH(Setup!$A$41,$B83)),41,0)))</f>
        <v/>
      </c>
      <c r="CX83" s="9" t="str">
        <f aca="false">IF($B83="","",IF(Setup!$A$42="",0,IF(ISNUMBER(SEARCH(Setup!$A$42,$B83)),42,0)))</f>
        <v/>
      </c>
      <c r="CY83" s="9" t="str">
        <f aca="false">IF($B83="","",IF(Setup!$A$43="",0,IF(ISNUMBER(SEARCH(Setup!$A$43,$B83)),43,0)))</f>
        <v/>
      </c>
      <c r="CZ83" s="9" t="str">
        <f aca="false">IF($B83="","",IF(Setup!$A$44="",0,IF(ISNUMBER(SEARCH(Setup!$A$44,$B83)),44,0)))</f>
        <v/>
      </c>
      <c r="DA83" s="9" t="str">
        <f aca="false">IF($B83="","",IF(Setup!$A$45="",0,IF(ISNUMBER(SEARCH(Setup!$A$45,$B83)),45,0)))</f>
        <v/>
      </c>
      <c r="DB83" s="9" t="str">
        <f aca="false">IF($B83="","",IF(Setup!$A$46="",0,IF(ISNUMBER(SEARCH(Setup!$A$46,$B83)),46,0)))</f>
        <v/>
      </c>
      <c r="DC83" s="9" t="str">
        <f aca="false">IF($B83="","",IF(Setup!$A$47="",0,IF(ISNUMBER(SEARCH(Setup!$A$47,$B83)),47,0)))</f>
        <v/>
      </c>
      <c r="DD83" s="9" t="str">
        <f aca="false">IF($B83="","",IF(Setup!$A$48="",0,IF(ISNUMBER(SEARCH(Setup!$A$48,$B83)),48,0)))</f>
        <v/>
      </c>
      <c r="DE83" s="9" t="str">
        <f aca="false">IF($B83="","",IF(Setup!$A$49="",0,IF(ISNUMBER(SEARCH(Setup!$A$49,$B83)),49,0)))</f>
        <v/>
      </c>
      <c r="DF83" s="9" t="e">
        <f aca="false">IF($B83="",NA(),$A83)</f>
        <v>#N/A</v>
      </c>
      <c r="DG83" s="9" t="e">
        <f aca="false">IF($BI83="",NA(),$BI83)</f>
        <v>#N/A</v>
      </c>
      <c r="DH83" s="9" t="e">
        <f aca="false">IF($N83="",NA(),$N83)</f>
        <v>#N/A</v>
      </c>
      <c r="DI83" s="9" t="e">
        <f aca="false">IF(AND($D83="Drift",$N83&lt;&gt;""),$N83,NA())</f>
        <v>#N/A</v>
      </c>
      <c r="DJ83" s="9" t="str">
        <f aca="false">IF(AND($D83="Drift",$N83&lt;&gt;""),$N83,"")</f>
        <v/>
      </c>
      <c r="DK83" s="9" t="str">
        <f aca="false">IF($DJ83="","",$A83)</f>
        <v/>
      </c>
      <c r="DL83" s="9" t="e">
        <f aca="false">IF($AN83="",NA(),$AM83)</f>
        <v>#N/A</v>
      </c>
      <c r="DM83" s="9" t="e">
        <f aca="false">IF($AN83="",NA(),$AN83)</f>
        <v>#N/A</v>
      </c>
      <c r="DN83" s="9" t="e">
        <f aca="false">IF(AND($D83="Sample",$L83&lt;&gt;""),$L83,NA())</f>
        <v>#N/A</v>
      </c>
      <c r="DO83" s="9" t="e">
        <f aca="false">IF(AND($D83="Sample",$L83&lt;&gt;"",Fits!$B$98&lt;&gt;""),Fits!$B$98,NA())</f>
        <v>#N/A</v>
      </c>
      <c r="DP83" s="9" t="e">
        <f aca="false">IF($AS83="",NA(),$AS83)</f>
        <v>#N/A</v>
      </c>
      <c r="DQ83" s="9" t="e">
        <f aca="false">IF(AND($D83="Drift",$AS83="",$X83&lt;&gt;""),$X83,NA())</f>
        <v>#N/A</v>
      </c>
      <c r="DR83" s="9" t="e">
        <f aca="false">IF(AND($D83="Drift",$Z83&lt;&gt;""),$Z83,NA())</f>
        <v>#N/A</v>
      </c>
      <c r="DS83" s="9" t="e">
        <f aca="false">IF(AND(OR($D83="Sample",$D83="Check"),$AA83&lt;&gt;""),$AA83,NA())</f>
        <v>#N/A</v>
      </c>
      <c r="DT83" s="9" t="e">
        <f aca="false">IF(OR($B83="",Fits!$B$138=""),NA(),Fits!$B$138)</f>
        <v>#N/A</v>
      </c>
      <c r="DU83" s="9" t="e">
        <f aca="false">IF(OR($B83="",Fits!$B$139=""),NA(),Fits!$B$139)</f>
        <v>#N/A</v>
      </c>
      <c r="DV83" s="9" t="e">
        <f aca="false">IF($BT83="",NA(),$BT83)</f>
        <v>#N/A</v>
      </c>
      <c r="DW83" s="9" t="e">
        <f aca="false">IF($AP83="",NA(),$AO83)</f>
        <v>#N/A</v>
      </c>
      <c r="DX83" s="9" t="e">
        <f aca="false">IF($AP83="",NA(),$AP83)</f>
        <v>#N/A</v>
      </c>
      <c r="DY83" s="9" t="e">
        <f aca="false">IF(AND($D83="Sample",$P83&lt;&gt;""),$P83,NA())</f>
        <v>#N/A</v>
      </c>
      <c r="DZ83" s="9" t="e">
        <f aca="false">IF(AND($D83="Sample",$P83&lt;&gt;"",Fits!$B$105&lt;&gt;""),Fits!$B$105,NA())</f>
        <v>#N/A</v>
      </c>
      <c r="EA83" s="9" t="e">
        <f aca="false">IF($AT83="",NA(),$AT83)</f>
        <v>#N/A</v>
      </c>
      <c r="EB83" s="9" t="e">
        <f aca="false">IF(AND($D83="Drift",$AT83="",$AC83&lt;&gt;""),$AC83,NA())</f>
        <v>#N/A</v>
      </c>
      <c r="EC83" s="9" t="e">
        <f aca="false">IF(AND($D83="Drift",$AE83&lt;&gt;""),$AE83,NA())</f>
        <v>#N/A</v>
      </c>
      <c r="ED83" s="9" t="e">
        <f aca="false">IF(AND(OR($D83="Sample",$D83="Check"),$AF83&lt;&gt;""),$AF83,NA())</f>
        <v>#N/A</v>
      </c>
      <c r="EE83" s="9" t="e">
        <f aca="false">IF(OR($B83="",Fits!$B$158=""),NA(),Fits!$B$158)</f>
        <v>#N/A</v>
      </c>
      <c r="EF83" s="9" t="e">
        <f aca="false">IF(OR($B83="",Fits!$B$159=""),NA(),Fits!$B$159)</f>
        <v>#N/A</v>
      </c>
      <c r="EG83" s="9" t="e">
        <f aca="false">IF($BW83="",NA(),$BW83)</f>
        <v>#N/A</v>
      </c>
      <c r="EH83" s="9" t="e">
        <f aca="false">IF(AND($EN83=1,ISNUMBER($N83)),$N83,NA())</f>
        <v>#N/A</v>
      </c>
      <c r="EI83" s="9" t="str">
        <f aca="false">IF($B83="","",$A83)</f>
        <v/>
      </c>
      <c r="EJ83" s="9" t="n">
        <f aca="false">IF(OR(AND(ISNUMBER($L83),Fits!$B$97&gt;0,$L83&gt;Fits!$B$97),AND(ISNUMBER($P83),Fits!$B$104&gt;0,$P83&gt;Fits!$B$104)),1,0)</f>
        <v>0</v>
      </c>
      <c r="EK83" s="9" t="n">
        <f aca="false">IF(OR($EJ82=1,$EJ81=1),1,0)</f>
        <v>0</v>
      </c>
      <c r="EL83" s="22" t="n">
        <f aca="false">IF(AND($EK83=0,ISNUMBER($N83)),$N83,$EL82)</f>
        <v>25.7</v>
      </c>
      <c r="EM83" s="9" t="str">
        <f aca="false">IF(AND($EK83=1,ISNUMBER($N83),ISNUMBER($EL83)),$N83-$EL83,"")</f>
        <v/>
      </c>
      <c r="EN83" s="9" t="n">
        <f aca="false">IF(Setup!$B$28="",0,IF(ISNUMBER($EM83),IF($EM83&gt;Setup!$B$28,1,0),0))</f>
        <v>0</v>
      </c>
      <c r="EO83" s="9" t="str">
        <f aca="false">IF($EN83=1,COUNTIF($EN$6:$EN83,1),"")</f>
        <v/>
      </c>
      <c r="EP83" s="9" t="n">
        <f aca="false">IF(AND($EJ82=1,OR($D83="Sample",$D83="Check")),1,0)</f>
        <v>0</v>
      </c>
      <c r="EQ83" s="9" t="str">
        <f aca="false">IF(ISNUMBER($BI83),IF(COUNT($BI$6:$BI83)&lt;=5,$BI83,""),"")</f>
        <v/>
      </c>
      <c r="ER83" s="9" t="n">
        <f aca="false">IF(OR(NOT(ISNUMBER($BJ83)),$EK83=1),$ER82,IF($BJ83&lt;=Setup!$B$26,IF($CP82=0,$A83,$ER82),""))</f>
        <v>27</v>
      </c>
    </row>
    <row r="84" customFormat="false" ht="15" hidden="false" customHeight="false" outlineLevel="0" collapsed="false">
      <c r="A84" s="8" t="n">
        <v>79</v>
      </c>
      <c r="B84" s="8" t="str">
        <f aca="false">IFERROR(INDEX(Raw!$B$2:$B$1001,MATCH($A84,Raw!$A$2:$A$1001,0)),"")</f>
        <v/>
      </c>
      <c r="C84" s="9" t="str">
        <f aca="false">IF($B84="","",MAX($CS84:$DE84))</f>
        <v/>
      </c>
      <c r="D84" s="8" t="str">
        <f aca="false">IF($B84="","",IF($C84=0,"Sample",INDEX(Setup!$B$37:$B$49,$C84-36)))</f>
        <v/>
      </c>
      <c r="E84" s="16" t="str">
        <f aca="false">IF($B84="","",IFERROR(IF(INDEX(Raw!$E$2:$E$1001,MATCH($A84,Raw!$A$2:$A$1001,0))=0,"",INDEX(Raw!$E$2:$E$1001,MATCH($A84,Raw!$A$2:$A$1001,0))),""))</f>
        <v/>
      </c>
      <c r="F84" s="18"/>
      <c r="G84" s="16" t="str">
        <f aca="false">IF($B84="","",IF($F84&lt;&gt;"",$F84,IF($E84="","",$E84)))</f>
        <v/>
      </c>
      <c r="H84" s="9" t="str">
        <f aca="false">IF($B84="","",SUMPRODUCT(MAX((Raw!$A$2:$A$1001=$A84)*(Raw!$R$2:$R$1001="N")*Raw!$D$2:$D$1001)))</f>
        <v/>
      </c>
      <c r="I84" s="9" t="str">
        <f aca="false">IF(OR($H84="",$H84=0),"",$A84&amp;"|N|"&amp;$H84)</f>
        <v/>
      </c>
      <c r="J84" s="9" t="str">
        <f aca="false">IF($B84="","",SUMPRODUCT(MIN((Raw!$A$2:$A$1001=$A84)*(Raw!$R$2:$R$1001="C")*Raw!$D$2:$D$1001+(1-(Raw!$A$2:$A$1001=$A84)*(Raw!$R$2:$R$1001="C"))*9999)))</f>
        <v/>
      </c>
      <c r="K84" s="9" t="str">
        <f aca="false">IF(OR($J84="",$J84=0,$J84=9999),"",$A84&amp;"|C|"&amp;$J84)</f>
        <v/>
      </c>
      <c r="L84" s="16" t="str">
        <f aca="false">IF($I84="","",IF(INDEX(Raw!$I$2:$I$1001,MATCH($I84,Raw!$S$2:$S$1001,0))&lt;&gt;0,"",INDEX(Raw!$H$2:$H$1001,MATCH($I84,Raw!$S$2:$S$1001,0))))</f>
        <v/>
      </c>
      <c r="M84" s="19" t="str">
        <f aca="false">IF($I84="","",IF(INDEX(Raw!$I$2:$I$1001,MATCH($I84,Raw!$S$2:$S$1001,0))&lt;&gt;0,"",INDEX(Raw!$F$2:$F$1001,MATCH($I84,Raw!$S$2:$S$1001,0))))</f>
        <v/>
      </c>
      <c r="N84" s="20" t="str">
        <f aca="false">IF($I84="","",IF(INDEX(Raw!$I$2:$I$1001,MATCH($I84,Raw!$S$2:$S$1001,0))&lt;&gt;0,"",INDEX(Raw!$G$2:$G$1001,MATCH($I84,Raw!$S$2:$S$1001,0))))</f>
        <v/>
      </c>
      <c r="O84" s="16" t="str">
        <f aca="false">IF($I84="","",IF(INDEX(Raw!$I$2:$I$1001,MATCH($I84,Raw!$S$2:$S$1001,0))&lt;&gt;0,"",INDEX(Raw!$N$2:$N$1001,MATCH($I84,Raw!$S$2:$S$1001,0))))</f>
        <v/>
      </c>
      <c r="P84" s="16" t="str">
        <f aca="false">IF($K84="","",IF(INDEX(Raw!$I$2:$I$1001,MATCH($K84,Raw!$S$2:$S$1001,0))&lt;&gt;0,"",INDEX(Raw!$K$2:$K$1001,MATCH($K84,Raw!$S$2:$S$1001,0))))</f>
        <v/>
      </c>
      <c r="Q84" s="19" t="str">
        <f aca="false">IF($K84="","",IF(INDEX(Raw!$I$2:$I$1001,MATCH($K84,Raw!$S$2:$S$1001,0))&lt;&gt;0,"",INDEX(Raw!$J$2:$J$1001,MATCH($K84,Raw!$S$2:$S$1001,0))))</f>
        <v/>
      </c>
      <c r="R84" s="16" t="str">
        <f aca="false">IF($K84="","",IF(INDEX(Raw!$I$2:$I$1001,MATCH($K84,Raw!$S$2:$S$1001,0))&lt;&gt;0,"",INDEX(Raw!$O$2:$O$1001,MATCH($K84,Raw!$S$2:$S$1001,0))))</f>
        <v/>
      </c>
      <c r="S84" s="21" t="str">
        <f aca="false">IF($B84="","",IF($C84=0,"",IF(INDEX(Setup!$D$37:$D$49,$C84-36)="","",INDEX(Setup!$D$37:$D$49,$C84-36))))</f>
        <v/>
      </c>
      <c r="T84" s="21" t="str">
        <f aca="false">IF($B84="","",IF($C84=0,"",IF(INDEX(Setup!$C$37:$C$49,$C84-36)="","",INDEX(Setup!$C$37:$C$49,$C84-36))))</f>
        <v/>
      </c>
      <c r="U84" s="21" t="str">
        <f aca="false">IF($B84="","",IF($C84=0,"",IF(INDEX(Setup!$F$37:$F$49,$C84-36)="","",INDEX(Setup!$F$37:$F$49,$C84-36))))</f>
        <v/>
      </c>
      <c r="V84" s="21" t="str">
        <f aca="false">IF($B84="","",IF($C84=0,"",IF(INDEX(Setup!$E$37:$E$49,$C84-36)="","",INDEX(Setup!$E$37:$E$49,$C84-36))))</f>
        <v/>
      </c>
      <c r="W84" s="16" t="str">
        <f aca="false">IF($O84="","",IF(OR(Fits!$C$5&lt;&gt;"Yes",$D84="Blank",$L84&lt;=Fits!$B$6),$O84,($L84*$O84-Fits!$B$6*Fits!$B$7)/($L84-Fits!$B$6)))</f>
        <v/>
      </c>
      <c r="X84" s="16" t="str">
        <f aca="false">IF($W84="","",$W84-Fits!$B$20*($L84-Fits!$B$16))</f>
        <v/>
      </c>
      <c r="Y84" s="22" t="str">
        <f aca="false">IF($W84="","",IF(OR(Fits!$B$38="Row",$BI84=""),$A84,$BI84))</f>
        <v/>
      </c>
      <c r="Z84" s="16" t="str">
        <f aca="false">IF($X84="","",$X84-Fits!$B$39*($Y84-Fits!$B$40))</f>
        <v/>
      </c>
      <c r="AA84" s="23" t="str">
        <f aca="false">IF(OR($Z84="",Fits!$B$55&lt;2),"",Fits!$B$56*$Z84+Fits!$B$57)</f>
        <v/>
      </c>
      <c r="AB84" s="16" t="str">
        <f aca="false">IF($R84="","",IF(OR(Fits!$C$9&lt;&gt;"Yes",$D84="Blank",$P84&lt;=Fits!$B$10),$R84,($P84*$R84-Fits!$B$10*Fits!$B$11)/($P84-Fits!$B$10)))</f>
        <v/>
      </c>
      <c r="AC84" s="16" t="str">
        <f aca="false">IF($AB84="","",$AB84-Fits!$B$28*($P84-Fits!$B$24))</f>
        <v/>
      </c>
      <c r="AD84" s="22" t="str">
        <f aca="false">IF($AB84="","",IF(OR(Fits!$B$50="Row",$BI84=""),$A84,$BI84))</f>
        <v/>
      </c>
      <c r="AE84" s="16" t="str">
        <f aca="false">IF($AC84="","",$AC84-Fits!$B$51*($AD84-Fits!$B$52))</f>
        <v/>
      </c>
      <c r="AF84" s="23" t="str">
        <f aca="false">IF(OR($AE84="",Fits!$B$62&lt;2),"",Fits!$B$63*$AE84+Fits!$B$64)</f>
        <v/>
      </c>
      <c r="AG84" s="21" t="str">
        <f aca="false">IF(OR($L84="",Fits!$B$69&lt;3),"",($L84-Fits!$B$71)/Fits!$B$70)</f>
        <v/>
      </c>
      <c r="AH84" s="21" t="str">
        <f aca="false">IF(OR($P84="",Fits!$B$75&lt;3),"",($P84-Fits!$B$77)/Fits!$B$76)</f>
        <v/>
      </c>
      <c r="AI84" s="23" t="str">
        <f aca="false">IF(OR($AG84="",$G84="",$G84=0),"",$AG84/($G84*1000)*100)</f>
        <v/>
      </c>
      <c r="AJ84" s="23" t="str">
        <f aca="false">IF(OR($AH84="",$G84="",$G84=0),"",$AH84/($G84*1000)*100)</f>
        <v/>
      </c>
      <c r="AK84" s="23" t="str">
        <f aca="false">IF(OR($AG84="",$AH84="",$AG84&lt;=0),"",($AH84/Setup!$B$52)/($AG84/Setup!$B$53))</f>
        <v/>
      </c>
      <c r="AL84" s="23" t="str">
        <f aca="false">IF(OR($AG84="",$AH84="",$AG84&lt;=0),"",$AH84/$AG84)</f>
        <v/>
      </c>
      <c r="AM84" s="9" t="str">
        <f aca="false">IF($D84="Linearity",IF($L84="","",$L84),"")</f>
        <v/>
      </c>
      <c r="AN84" s="9" t="str">
        <f aca="false">IF($D84="Linearity",IF($W84="","",$W84),"")</f>
        <v/>
      </c>
      <c r="AO84" s="9" t="str">
        <f aca="false">IF($D84="Linearity",IF($P84="","",$P84),"")</f>
        <v/>
      </c>
      <c r="AP84" s="9" t="str">
        <f aca="false">IF($D84="Linearity",IF($AB84="","",$AB84),"")</f>
        <v/>
      </c>
      <c r="AQ84" s="9" t="str">
        <f aca="false">IF($D84="Drift",IF($A84&lt;IF(Setup!$B$14="",0,Setup!$B$14),"",$A84),"")</f>
        <v/>
      </c>
      <c r="AR84" s="9" t="str">
        <f aca="false">IF($D84="Drift",IF($A84&lt;IF(Setup!$B$14="",0,Setup!$B$14),"",IF($BI84="","",$BI84)),"")</f>
        <v/>
      </c>
      <c r="AS84" s="9" t="str">
        <f aca="false">IF($D84="Drift",IF($A84&lt;IF(Setup!$B$14="",0,Setup!$B$14),"",IF(OR($X84="",$BX84=1),"",$X84)),"")</f>
        <v/>
      </c>
      <c r="AT84" s="9" t="str">
        <f aca="false">IF($D84="Drift",IF($A84&lt;IF(Setup!$B$14="",0,Setup!$B$14),"",IF(OR($AC84="",$BY84=1),"",$AC84)),"")</f>
        <v/>
      </c>
      <c r="AU84" s="9" t="str">
        <f aca="false">IF($D84="Anchor",IF(OR($Z84="",$S84=""),"",$Z84),"")</f>
        <v/>
      </c>
      <c r="AV84" s="9" t="str">
        <f aca="false">IF($D84="Anchor",IF(OR($Z84="",$S84=""),"",$S84),"")</f>
        <v/>
      </c>
      <c r="AW84" s="9" t="str">
        <f aca="false">IF($D84="Anchor",IF(OR($AE84="",$T84=""),"",$AE84),"")</f>
        <v/>
      </c>
      <c r="AX84" s="9" t="str">
        <f aca="false">IF($D84="Anchor",IF(OR($AE84="",$T84=""),"",$T84),"")</f>
        <v/>
      </c>
      <c r="AY84" s="9" t="str">
        <f aca="false">IF(OR($D84="Blank",$D84="Exclude",$D84="Sample",$D84="",$G84="",$U84="",$L84=""),"",$G84*1000*$U84/100)</f>
        <v/>
      </c>
      <c r="AZ84" s="9" t="str">
        <f aca="false">IF($AY84="","",$L84)</f>
        <v/>
      </c>
      <c r="BA84" s="9" t="str">
        <f aca="false">IF(OR($D84="Blank",$D84="Exclude",$D84="Sample",$D84="",$G84="",$V84="",$P84=""),"",$G84*1000*$V84/100)</f>
        <v/>
      </c>
      <c r="BB84" s="9" t="str">
        <f aca="false">IF($BA84="","",$P84)</f>
        <v/>
      </c>
      <c r="BC84" s="9" t="str">
        <f aca="false">IF(AND($D84="Blank",$L84&lt;&gt;""),$O84,"")</f>
        <v/>
      </c>
      <c r="BD84" s="9" t="str">
        <f aca="false">IF($BC84="","",$L84)</f>
        <v/>
      </c>
      <c r="BE84" s="9" t="str">
        <f aca="false">IF(AND($D84="Blank",$P84&lt;&gt;""),$R84,"")</f>
        <v/>
      </c>
      <c r="BF84" s="9" t="str">
        <f aca="false">IF($BE84="","",$P84)</f>
        <v/>
      </c>
      <c r="BG84" s="9" t="str">
        <f aca="false">IF(AND($D84="Drift",$BX84&lt;&gt;1),IF($AA84="","",$AA84),"")</f>
        <v/>
      </c>
      <c r="BH84" s="9" t="str">
        <f aca="false">IF(AND($D84="Drift",$BY84&lt;&gt;1),IF($AF84="","",$AF84),"")</f>
        <v/>
      </c>
      <c r="BI84" s="20" t="str">
        <f aca="false">IF($B84="","",IFERROR(INDEX(Raw!$G$2:$G$1001,MATCH($A84&amp;"|N|"&amp;SUMPRODUCT(MAX((Raw!$A$2:$A$1001=$A84)*(Raw!$R$2:$R$1001="N")*(Raw!$I$2:$I$1001=1)*Raw!$D$2:$D$1001)),Raw!$S$2:$S$1001,0)),""))</f>
        <v/>
      </c>
      <c r="BJ84" s="21" t="str">
        <f aca="false">IF(OR($BI84="",Fits!$B$85&lt;=0),"",($BI84-Fits!$B$83)/Fits!$B$85)</f>
        <v/>
      </c>
      <c r="BK84" s="9" t="str">
        <f aca="false">IF($AS84="","",IF($A84&gt;=Fits!$B$86,"",$A84))</f>
        <v/>
      </c>
      <c r="BL84" s="9" t="str">
        <f aca="false">IF($BK84="","",$X84)</f>
        <v/>
      </c>
      <c r="BM84" s="9" t="str">
        <f aca="false">IF($AS84="","",IF($A84&lt;Fits!$B$86,"",$A84))</f>
        <v/>
      </c>
      <c r="BN84" s="9" t="str">
        <f aca="false">IF($BM84="","",$X84)</f>
        <v/>
      </c>
      <c r="BO84" s="9" t="str">
        <f aca="false">IF(AND($D84="Drift",$BX84&lt;&gt;1),IF($O84="","",$O84),"")</f>
        <v/>
      </c>
      <c r="BP84" s="9" t="str">
        <f aca="false">IF(AND($D84="Drift",$BX84&lt;&gt;1),IF($W84="","",$W84),"")</f>
        <v/>
      </c>
      <c r="BQ84" s="9" t="str">
        <f aca="false">IF(AND($D84="Drift",$BX84&lt;&gt;1),IF($X84="","",$X84),"")</f>
        <v/>
      </c>
      <c r="BR84" s="9" t="str">
        <f aca="false">IF(AND($D84="Drift",$BX84&lt;&gt;1),IF($Z84="","",$Z84),"")</f>
        <v/>
      </c>
      <c r="BS84" s="9" t="str">
        <f aca="false">IF(OR($B84="",$H84=""),"",SUMPRODUCT(MIN((Raw!$A$2:$A$1001=$A84)*(Raw!$R$2:$R$1001="N")*(Raw!$I$2:$I$1001=0)*(Raw!$D$2:$D$1001&lt;$H84)*Raw!$D$2:$D$1001+(1-(Raw!$A$2:$A$1001=$A84)*(Raw!$R$2:$R$1001="N")*(Raw!$I$2:$I$1001=0)*(Raw!$D$2:$D$1001&lt;$H84))*9999)))</f>
        <v/>
      </c>
      <c r="BT84" s="16" t="str">
        <f aca="false">IF(OR($BS84="",$BS84=9999,$BS84=0),"",IFERROR(INDEX(Raw!$N$2:$N$1001,MATCH($A84&amp;"|N|"&amp;$BS84,Raw!$S$2:$S$1001,0)),""))</f>
        <v/>
      </c>
      <c r="BU84" s="9" t="str">
        <f aca="false">IF($B84="","",SUMPRODUCT(MIN((Raw!$A$2:$A$1001=$A84)*(Raw!$R$2:$R$1001="C")*(Raw!$I$2:$I$1001=1)*Raw!$D$2:$D$1001+(1-(Raw!$A$2:$A$1001=$A84)*(Raw!$R$2:$R$1001="C")*(Raw!$I$2:$I$1001=1))*9999)))</f>
        <v/>
      </c>
      <c r="BV84" s="9" t="str">
        <f aca="false">IF(OR($BU84="",$BU84=9999),"",SUMPRODUCT(MIN((Raw!$A$2:$A$1001=$A84)*(Raw!$R$2:$R$1001="C")*(Raw!$I$2:$I$1001=0)*(Raw!$D$2:$D$1001&gt;$BU84)*Raw!$D$2:$D$1001+(1-(Raw!$A$2:$A$1001=$A84)*(Raw!$R$2:$R$1001="C")*(Raw!$I$2:$I$1001=0)*(Raw!$D$2:$D$1001&gt;$BU84))*9999)))</f>
        <v/>
      </c>
      <c r="BW84" s="16" t="str">
        <f aca="false">IF(OR($BV84="",$BV84=9999,$BV84=0),"",IFERROR(INDEX(Raw!$O$2:$O$1001,MATCH($A84&amp;"|C|"&amp;$BV84,Raw!$S$2:$S$1001,0)),""))</f>
        <v/>
      </c>
      <c r="BX84" s="9" t="str">
        <f aca="false">IF($B84="","",IF(ISNUMBER(SEARCH(","&amp;$A84&amp;",",","&amp;SUBSTITUTE(Setup!$B$16," ","")&amp;",")),1,0))</f>
        <v/>
      </c>
      <c r="BY84" s="9" t="str">
        <f aca="false">IF($B84="","",IF(ISNUMBER(SEARCH(","&amp;$A84&amp;",",","&amp;SUBSTITUTE(Setup!$B$17," ","")&amp;",")),1,0))</f>
        <v/>
      </c>
      <c r="BZ84" s="22" t="str">
        <f aca="false">IF($AS84="","",IF(Fits!$B$38="Row",$AQ84,IF($AR84="","",$AR84)))</f>
        <v/>
      </c>
      <c r="CA84" s="22" t="str">
        <f aca="false">IF($AT84="","",IF(Fits!$B$50="Row",$AQ84,IF($AR84="","",$AR84)))</f>
        <v/>
      </c>
      <c r="CB84" s="20" t="str">
        <f aca="false">IF(OR($D84&lt;&gt;"Drift",$X84="",$A84&lt;IF(Setup!$B$14="",0,Setup!$B$14),Fits!$B$107&lt;3,Fits!$B$110="",Fits!$B$109=0,IF(Fits!$B$38="Row",$AQ84,$AR84)=""),"",IF($BX84=1,IF(OR(Fits!$B$111="",Fits!$B$111=0),"",($X84-(IF(Fits!$B$38="Row",Fits!$B$32,Fits!$B$35)*IF(Fits!$B$38="Row",$AQ84,$AR84)+Fits!$B$110))/(Fits!$B$111*SQRT(1+(1/Fits!$B$107+(IF(Fits!$B$38="Row",$AQ84,$AR84)-Fits!$B$108)^2/Fits!$B$109)))),IF(OR(Fits!$B$107&lt;4,(1/Fits!$B$107+(IF(Fits!$B$38="Row",$AQ84,$AR84)-Fits!$B$108)^2/Fits!$B$109)&gt;=1),"",IF((Fits!$B$116-($X84-(IF(Fits!$B$38="Row",Fits!$B$32,Fits!$B$35)*IF(Fits!$B$38="Row",$AQ84,$AR84)+Fits!$B$110))^2/(1-(1/Fits!$B$107+(IF(Fits!$B$38="Row",$AQ84,$AR84)-Fits!$B$108)^2/Fits!$B$109)))&lt;=0,"",($X84-(IF(Fits!$B$38="Row",Fits!$B$32,Fits!$B$35)*IF(Fits!$B$38="Row",$AQ84,$AR84)+Fits!$B$110))/(SQRT((Fits!$B$116-($X84-(IF(Fits!$B$38="Row",Fits!$B$32,Fits!$B$35)*IF(Fits!$B$38="Row",$AQ84,$AR84)+Fits!$B$110))^2/(1-(1/Fits!$B$107+(IF(Fits!$B$38="Row",$AQ84,$AR84)-Fits!$B$108)^2/Fits!$B$109)))/(Fits!$B$107-3))*SQRT(1-(1/Fits!$B$107+(IF(Fits!$B$38="Row",$AQ84,$AR84)-Fits!$B$108)^2/Fits!$B$109)))))))</f>
        <v/>
      </c>
      <c r="CC84" s="20" t="str">
        <f aca="false">IF(OR($D84&lt;&gt;"Drift",$AC84="",$A84&lt;IF(Setup!$B$14="",0,Setup!$B$14),Fits!$B$120&lt;3,Fits!$B$123="",Fits!$B$122=0,IF(Fits!$B$50="Row",$AQ84,$AR84)=""),"",IF($BY84=1,IF(OR(Fits!$B$124="",Fits!$B$124=0),"",($AC84-(IF(Fits!$B$50="Row",Fits!$B$44,Fits!$B$47)*IF(Fits!$B$50="Row",$AQ84,$AR84)+Fits!$B$123))/(Fits!$B$124*SQRT(1+(1/Fits!$B$120+(IF(Fits!$B$50="Row",$AQ84,$AR84)-Fits!$B$121)^2/Fits!$B$122)))),IF(OR(Fits!$B$120&lt;4,(1/Fits!$B$120+(IF(Fits!$B$50="Row",$AQ84,$AR84)-Fits!$B$121)^2/Fits!$B$122)&gt;=1),"",IF((Fits!$B$129-($AC84-(IF(Fits!$B$50="Row",Fits!$B$44,Fits!$B$47)*IF(Fits!$B$50="Row",$AQ84,$AR84)+Fits!$B$123))^2/(1-(1/Fits!$B$120+(IF(Fits!$B$50="Row",$AQ84,$AR84)-Fits!$B$121)^2/Fits!$B$122)))&lt;=0,"",($AC84-(IF(Fits!$B$50="Row",Fits!$B$44,Fits!$B$47)*IF(Fits!$B$50="Row",$AQ84,$AR84)+Fits!$B$123))/(SQRT((Fits!$B$129-($AC84-(IF(Fits!$B$50="Row",Fits!$B$44,Fits!$B$47)*IF(Fits!$B$50="Row",$AQ84,$AR84)+Fits!$B$123))^2/(1-(1/Fits!$B$120+(IF(Fits!$B$50="Row",$AQ84,$AR84)-Fits!$B$121)^2/Fits!$B$122)))/(Fits!$B$120-3))*SQRT(1-(1/Fits!$B$120+(IF(Fits!$B$50="Row",$AQ84,$AR84)-Fits!$B$121)^2/Fits!$B$122)))))))</f>
        <v/>
      </c>
      <c r="CD84" s="9" t="str">
        <f aca="false">IF($AU84="","",1)</f>
        <v/>
      </c>
      <c r="CE84" s="24" t="str">
        <f aca="false">IF($AU84="","",$AU84-Fits!$B$133)</f>
        <v/>
      </c>
      <c r="CF84" s="24" t="str">
        <f aca="false">IF($AU84="","",($AV84-(Fits!$B$56*$AU84+Fits!$B$57))-Fits!$B$56*($AU84-Fits!$B$133))</f>
        <v/>
      </c>
      <c r="CG84" s="25" t="str">
        <f aca="false">IF($AU84="","",$AU84^2)</f>
        <v/>
      </c>
      <c r="CH84" s="9" t="str">
        <f aca="false">IF($AW84="","",1)</f>
        <v/>
      </c>
      <c r="CI84" s="24" t="str">
        <f aca="false">IF($AW84="","",$AW84-Fits!$B$153)</f>
        <v/>
      </c>
      <c r="CJ84" s="24" t="str">
        <f aca="false">IF($AW84="","",($AX84-(Fits!$B$63*$AW84+Fits!$B$64))-Fits!$B$63*($AW84-Fits!$B$153))</f>
        <v/>
      </c>
      <c r="CK84" s="25" t="str">
        <f aca="false">IF($AW84="","",$AW84^2)</f>
        <v/>
      </c>
      <c r="CL84" s="26" t="str">
        <f aca="false">IF(OR($Z84="",Fits!$B$55&lt;3,Fits!$B$133="",Fits!$B$134="",Fits!$B$134=0,Fits!$B$136=""),"",SQRT((Fits!$B$136*Fits!$B$56)^2+SUMPRODUCT((Fits!$J$163:$J$175*(Fits!$B$163:$B$175/Fits!$B$55+Fits!$H$163:$H$175*($Z84-Fits!$B$133)/Fits!$B$134))^2)+SUMPRODUCT((Fits!$G$163:$G$175*(($Z84-Fits!$B$133)*Fits!$I$163:$I$175/Fits!$B$134-Fits!$B$163:$B$175*Fits!$B$56/Fits!$B$55))^2)))</f>
        <v/>
      </c>
      <c r="CM84" s="26" t="str">
        <f aca="false">IF($CL84="","",Setup!$B$32*$CL84)</f>
        <v/>
      </c>
      <c r="CN84" s="26" t="str">
        <f aca="false">IF(OR($AE84="",Fits!$B$62&lt;3,Fits!$B$153="",Fits!$B$154="",Fits!$B$154=0,Fits!$B$156=""),"",SQRT((Fits!$B$156*Fits!$B$63)^2+SUMPRODUCT((Fits!$J$183:$J$195*(Fits!$B$183:$B$195/Fits!$B$62+Fits!$H$183:$H$195*($AE84-Fits!$B$153)/Fits!$B$154))^2)+SUMPRODUCT((Fits!$G$183:$G$195*(($AE84-Fits!$B$153)*Fits!$I$183:$I$195/Fits!$B$154-Fits!$B$183:$B$195*Fits!$B$63/Fits!$B$62))^2)))</f>
        <v/>
      </c>
      <c r="CO84" s="26" t="str">
        <f aca="false">IF($CN84="","",Setup!$B$32*$CN84)</f>
        <v/>
      </c>
      <c r="CP84" s="9" t="n">
        <f aca="false">IF(OR(NOT(ISNUMBER($BJ84)),$EK84=1),$CP83,IF($BJ84&lt;=Setup!$B$26,$CP83+1,0))</f>
        <v>26</v>
      </c>
      <c r="CQ84" s="9" t="str">
        <f aca="false">IF($BT84="","",$A84)</f>
        <v/>
      </c>
      <c r="CR84" s="9" t="str">
        <f aca="false">IF($BW84="","",$A84)</f>
        <v/>
      </c>
      <c r="CS84" s="9" t="str">
        <f aca="false">IF($B84="","",IF(Setup!$A$37="",0,IF(ISNUMBER(SEARCH(Setup!$A$37,$B84)),37,0)))</f>
        <v/>
      </c>
      <c r="CT84" s="9" t="str">
        <f aca="false">IF($B84="","",IF(Setup!$A$38="",0,IF(ISNUMBER(SEARCH(Setup!$A$38,$B84)),38,0)))</f>
        <v/>
      </c>
      <c r="CU84" s="9" t="str">
        <f aca="false">IF($B84="","",IF(Setup!$A$39="",0,IF(ISNUMBER(SEARCH(Setup!$A$39,$B84)),39,0)))</f>
        <v/>
      </c>
      <c r="CV84" s="9" t="str">
        <f aca="false">IF($B84="","",IF(Setup!$A$40="",0,IF(ISNUMBER(SEARCH(Setup!$A$40,$B84)),40,0)))</f>
        <v/>
      </c>
      <c r="CW84" s="9" t="str">
        <f aca="false">IF($B84="","",IF(Setup!$A$41="",0,IF(ISNUMBER(SEARCH(Setup!$A$41,$B84)),41,0)))</f>
        <v/>
      </c>
      <c r="CX84" s="9" t="str">
        <f aca="false">IF($B84="","",IF(Setup!$A$42="",0,IF(ISNUMBER(SEARCH(Setup!$A$42,$B84)),42,0)))</f>
        <v/>
      </c>
      <c r="CY84" s="9" t="str">
        <f aca="false">IF($B84="","",IF(Setup!$A$43="",0,IF(ISNUMBER(SEARCH(Setup!$A$43,$B84)),43,0)))</f>
        <v/>
      </c>
      <c r="CZ84" s="9" t="str">
        <f aca="false">IF($B84="","",IF(Setup!$A$44="",0,IF(ISNUMBER(SEARCH(Setup!$A$44,$B84)),44,0)))</f>
        <v/>
      </c>
      <c r="DA84" s="9" t="str">
        <f aca="false">IF($B84="","",IF(Setup!$A$45="",0,IF(ISNUMBER(SEARCH(Setup!$A$45,$B84)),45,0)))</f>
        <v/>
      </c>
      <c r="DB84" s="9" t="str">
        <f aca="false">IF($B84="","",IF(Setup!$A$46="",0,IF(ISNUMBER(SEARCH(Setup!$A$46,$B84)),46,0)))</f>
        <v/>
      </c>
      <c r="DC84" s="9" t="str">
        <f aca="false">IF($B84="","",IF(Setup!$A$47="",0,IF(ISNUMBER(SEARCH(Setup!$A$47,$B84)),47,0)))</f>
        <v/>
      </c>
      <c r="DD84" s="9" t="str">
        <f aca="false">IF($B84="","",IF(Setup!$A$48="",0,IF(ISNUMBER(SEARCH(Setup!$A$48,$B84)),48,0)))</f>
        <v/>
      </c>
      <c r="DE84" s="9" t="str">
        <f aca="false">IF($B84="","",IF(Setup!$A$49="",0,IF(ISNUMBER(SEARCH(Setup!$A$49,$B84)),49,0)))</f>
        <v/>
      </c>
      <c r="DF84" s="9" t="e">
        <f aca="false">IF($B84="",NA(),$A84)</f>
        <v>#N/A</v>
      </c>
      <c r="DG84" s="9" t="e">
        <f aca="false">IF($BI84="",NA(),$BI84)</f>
        <v>#N/A</v>
      </c>
      <c r="DH84" s="9" t="e">
        <f aca="false">IF($N84="",NA(),$N84)</f>
        <v>#N/A</v>
      </c>
      <c r="DI84" s="9" t="e">
        <f aca="false">IF(AND($D84="Drift",$N84&lt;&gt;""),$N84,NA())</f>
        <v>#N/A</v>
      </c>
      <c r="DJ84" s="9" t="str">
        <f aca="false">IF(AND($D84="Drift",$N84&lt;&gt;""),$N84,"")</f>
        <v/>
      </c>
      <c r="DK84" s="9" t="str">
        <f aca="false">IF($DJ84="","",$A84)</f>
        <v/>
      </c>
      <c r="DL84" s="9" t="e">
        <f aca="false">IF($AN84="",NA(),$AM84)</f>
        <v>#N/A</v>
      </c>
      <c r="DM84" s="9" t="e">
        <f aca="false">IF($AN84="",NA(),$AN84)</f>
        <v>#N/A</v>
      </c>
      <c r="DN84" s="9" t="e">
        <f aca="false">IF(AND($D84="Sample",$L84&lt;&gt;""),$L84,NA())</f>
        <v>#N/A</v>
      </c>
      <c r="DO84" s="9" t="e">
        <f aca="false">IF(AND($D84="Sample",$L84&lt;&gt;"",Fits!$B$98&lt;&gt;""),Fits!$B$98,NA())</f>
        <v>#N/A</v>
      </c>
      <c r="DP84" s="9" t="e">
        <f aca="false">IF($AS84="",NA(),$AS84)</f>
        <v>#N/A</v>
      </c>
      <c r="DQ84" s="9" t="e">
        <f aca="false">IF(AND($D84="Drift",$AS84="",$X84&lt;&gt;""),$X84,NA())</f>
        <v>#N/A</v>
      </c>
      <c r="DR84" s="9" t="e">
        <f aca="false">IF(AND($D84="Drift",$Z84&lt;&gt;""),$Z84,NA())</f>
        <v>#N/A</v>
      </c>
      <c r="DS84" s="9" t="e">
        <f aca="false">IF(AND(OR($D84="Sample",$D84="Check"),$AA84&lt;&gt;""),$AA84,NA())</f>
        <v>#N/A</v>
      </c>
      <c r="DT84" s="9" t="e">
        <f aca="false">IF(OR($B84="",Fits!$B$138=""),NA(),Fits!$B$138)</f>
        <v>#N/A</v>
      </c>
      <c r="DU84" s="9" t="e">
        <f aca="false">IF(OR($B84="",Fits!$B$139=""),NA(),Fits!$B$139)</f>
        <v>#N/A</v>
      </c>
      <c r="DV84" s="9" t="e">
        <f aca="false">IF($BT84="",NA(),$BT84)</f>
        <v>#N/A</v>
      </c>
      <c r="DW84" s="9" t="e">
        <f aca="false">IF($AP84="",NA(),$AO84)</f>
        <v>#N/A</v>
      </c>
      <c r="DX84" s="9" t="e">
        <f aca="false">IF($AP84="",NA(),$AP84)</f>
        <v>#N/A</v>
      </c>
      <c r="DY84" s="9" t="e">
        <f aca="false">IF(AND($D84="Sample",$P84&lt;&gt;""),$P84,NA())</f>
        <v>#N/A</v>
      </c>
      <c r="DZ84" s="9" t="e">
        <f aca="false">IF(AND($D84="Sample",$P84&lt;&gt;"",Fits!$B$105&lt;&gt;""),Fits!$B$105,NA())</f>
        <v>#N/A</v>
      </c>
      <c r="EA84" s="9" t="e">
        <f aca="false">IF($AT84="",NA(),$AT84)</f>
        <v>#N/A</v>
      </c>
      <c r="EB84" s="9" t="e">
        <f aca="false">IF(AND($D84="Drift",$AT84="",$AC84&lt;&gt;""),$AC84,NA())</f>
        <v>#N/A</v>
      </c>
      <c r="EC84" s="9" t="e">
        <f aca="false">IF(AND($D84="Drift",$AE84&lt;&gt;""),$AE84,NA())</f>
        <v>#N/A</v>
      </c>
      <c r="ED84" s="9" t="e">
        <f aca="false">IF(AND(OR($D84="Sample",$D84="Check"),$AF84&lt;&gt;""),$AF84,NA())</f>
        <v>#N/A</v>
      </c>
      <c r="EE84" s="9" t="e">
        <f aca="false">IF(OR($B84="",Fits!$B$158=""),NA(),Fits!$B$158)</f>
        <v>#N/A</v>
      </c>
      <c r="EF84" s="9" t="e">
        <f aca="false">IF(OR($B84="",Fits!$B$159=""),NA(),Fits!$B$159)</f>
        <v>#N/A</v>
      </c>
      <c r="EG84" s="9" t="e">
        <f aca="false">IF($BW84="",NA(),$BW84)</f>
        <v>#N/A</v>
      </c>
      <c r="EH84" s="9" t="e">
        <f aca="false">IF(AND($EN84=1,ISNUMBER($N84)),$N84,NA())</f>
        <v>#N/A</v>
      </c>
      <c r="EI84" s="9" t="str">
        <f aca="false">IF($B84="","",$A84)</f>
        <v/>
      </c>
      <c r="EJ84" s="9" t="n">
        <f aca="false">IF(OR(AND(ISNUMBER($L84),Fits!$B$97&gt;0,$L84&gt;Fits!$B$97),AND(ISNUMBER($P84),Fits!$B$104&gt;0,$P84&gt;Fits!$B$104)),1,0)</f>
        <v>0</v>
      </c>
      <c r="EK84" s="9" t="n">
        <f aca="false">IF(OR($EJ83=1,$EJ82=1),1,0)</f>
        <v>0</v>
      </c>
      <c r="EL84" s="22" t="n">
        <f aca="false">IF(AND($EK84=0,ISNUMBER($N84)),$N84,$EL83)</f>
        <v>25.7</v>
      </c>
      <c r="EM84" s="9" t="str">
        <f aca="false">IF(AND($EK84=1,ISNUMBER($N84),ISNUMBER($EL84)),$N84-$EL84,"")</f>
        <v/>
      </c>
      <c r="EN84" s="9" t="n">
        <f aca="false">IF(Setup!$B$28="",0,IF(ISNUMBER($EM84),IF($EM84&gt;Setup!$B$28,1,0),0))</f>
        <v>0</v>
      </c>
      <c r="EO84" s="9" t="str">
        <f aca="false">IF($EN84=1,COUNTIF($EN$6:$EN84,1),"")</f>
        <v/>
      </c>
      <c r="EP84" s="9" t="n">
        <f aca="false">IF(AND($EJ83=1,OR($D84="Sample",$D84="Check")),1,0)</f>
        <v>0</v>
      </c>
      <c r="EQ84" s="9" t="str">
        <f aca="false">IF(ISNUMBER($BI84),IF(COUNT($BI$6:$BI84)&lt;=5,$BI84,""),"")</f>
        <v/>
      </c>
      <c r="ER84" s="9" t="n">
        <f aca="false">IF(OR(NOT(ISNUMBER($BJ84)),$EK84=1),$ER83,IF($BJ84&lt;=Setup!$B$26,IF($CP83=0,$A84,$ER83),""))</f>
        <v>27</v>
      </c>
    </row>
    <row r="85" customFormat="false" ht="15" hidden="false" customHeight="false" outlineLevel="0" collapsed="false">
      <c r="A85" s="8" t="n">
        <v>80</v>
      </c>
      <c r="B85" s="8" t="str">
        <f aca="false">IFERROR(INDEX(Raw!$B$2:$B$1001,MATCH($A85,Raw!$A$2:$A$1001,0)),"")</f>
        <v/>
      </c>
      <c r="C85" s="9" t="str">
        <f aca="false">IF($B85="","",MAX($CS85:$DE85))</f>
        <v/>
      </c>
      <c r="D85" s="8" t="str">
        <f aca="false">IF($B85="","",IF($C85=0,"Sample",INDEX(Setup!$B$37:$B$49,$C85-36)))</f>
        <v/>
      </c>
      <c r="E85" s="16" t="str">
        <f aca="false">IF($B85="","",IFERROR(IF(INDEX(Raw!$E$2:$E$1001,MATCH($A85,Raw!$A$2:$A$1001,0))=0,"",INDEX(Raw!$E$2:$E$1001,MATCH($A85,Raw!$A$2:$A$1001,0))),""))</f>
        <v/>
      </c>
      <c r="F85" s="18"/>
      <c r="G85" s="16" t="str">
        <f aca="false">IF($B85="","",IF($F85&lt;&gt;"",$F85,IF($E85="","",$E85)))</f>
        <v/>
      </c>
      <c r="H85" s="9" t="str">
        <f aca="false">IF($B85="","",SUMPRODUCT(MAX((Raw!$A$2:$A$1001=$A85)*(Raw!$R$2:$R$1001="N")*Raw!$D$2:$D$1001)))</f>
        <v/>
      </c>
      <c r="I85" s="9" t="str">
        <f aca="false">IF(OR($H85="",$H85=0),"",$A85&amp;"|N|"&amp;$H85)</f>
        <v/>
      </c>
      <c r="J85" s="9" t="str">
        <f aca="false">IF($B85="","",SUMPRODUCT(MIN((Raw!$A$2:$A$1001=$A85)*(Raw!$R$2:$R$1001="C")*Raw!$D$2:$D$1001+(1-(Raw!$A$2:$A$1001=$A85)*(Raw!$R$2:$R$1001="C"))*9999)))</f>
        <v/>
      </c>
      <c r="K85" s="9" t="str">
        <f aca="false">IF(OR($J85="",$J85=0,$J85=9999),"",$A85&amp;"|C|"&amp;$J85)</f>
        <v/>
      </c>
      <c r="L85" s="16" t="str">
        <f aca="false">IF($I85="","",IF(INDEX(Raw!$I$2:$I$1001,MATCH($I85,Raw!$S$2:$S$1001,0))&lt;&gt;0,"",INDEX(Raw!$H$2:$H$1001,MATCH($I85,Raw!$S$2:$S$1001,0))))</f>
        <v/>
      </c>
      <c r="M85" s="19" t="str">
        <f aca="false">IF($I85="","",IF(INDEX(Raw!$I$2:$I$1001,MATCH($I85,Raw!$S$2:$S$1001,0))&lt;&gt;0,"",INDEX(Raw!$F$2:$F$1001,MATCH($I85,Raw!$S$2:$S$1001,0))))</f>
        <v/>
      </c>
      <c r="N85" s="20" t="str">
        <f aca="false">IF($I85="","",IF(INDEX(Raw!$I$2:$I$1001,MATCH($I85,Raw!$S$2:$S$1001,0))&lt;&gt;0,"",INDEX(Raw!$G$2:$G$1001,MATCH($I85,Raw!$S$2:$S$1001,0))))</f>
        <v/>
      </c>
      <c r="O85" s="16" t="str">
        <f aca="false">IF($I85="","",IF(INDEX(Raw!$I$2:$I$1001,MATCH($I85,Raw!$S$2:$S$1001,0))&lt;&gt;0,"",INDEX(Raw!$N$2:$N$1001,MATCH($I85,Raw!$S$2:$S$1001,0))))</f>
        <v/>
      </c>
      <c r="P85" s="16" t="str">
        <f aca="false">IF($K85="","",IF(INDEX(Raw!$I$2:$I$1001,MATCH($K85,Raw!$S$2:$S$1001,0))&lt;&gt;0,"",INDEX(Raw!$K$2:$K$1001,MATCH($K85,Raw!$S$2:$S$1001,0))))</f>
        <v/>
      </c>
      <c r="Q85" s="19" t="str">
        <f aca="false">IF($K85="","",IF(INDEX(Raw!$I$2:$I$1001,MATCH($K85,Raw!$S$2:$S$1001,0))&lt;&gt;0,"",INDEX(Raw!$J$2:$J$1001,MATCH($K85,Raw!$S$2:$S$1001,0))))</f>
        <v/>
      </c>
      <c r="R85" s="16" t="str">
        <f aca="false">IF($K85="","",IF(INDEX(Raw!$I$2:$I$1001,MATCH($K85,Raw!$S$2:$S$1001,0))&lt;&gt;0,"",INDEX(Raw!$O$2:$O$1001,MATCH($K85,Raw!$S$2:$S$1001,0))))</f>
        <v/>
      </c>
      <c r="S85" s="21" t="str">
        <f aca="false">IF($B85="","",IF($C85=0,"",IF(INDEX(Setup!$D$37:$D$49,$C85-36)="","",INDEX(Setup!$D$37:$D$49,$C85-36))))</f>
        <v/>
      </c>
      <c r="T85" s="21" t="str">
        <f aca="false">IF($B85="","",IF($C85=0,"",IF(INDEX(Setup!$C$37:$C$49,$C85-36)="","",INDEX(Setup!$C$37:$C$49,$C85-36))))</f>
        <v/>
      </c>
      <c r="U85" s="21" t="str">
        <f aca="false">IF($B85="","",IF($C85=0,"",IF(INDEX(Setup!$F$37:$F$49,$C85-36)="","",INDEX(Setup!$F$37:$F$49,$C85-36))))</f>
        <v/>
      </c>
      <c r="V85" s="21" t="str">
        <f aca="false">IF($B85="","",IF($C85=0,"",IF(INDEX(Setup!$E$37:$E$49,$C85-36)="","",INDEX(Setup!$E$37:$E$49,$C85-36))))</f>
        <v/>
      </c>
      <c r="W85" s="16" t="str">
        <f aca="false">IF($O85="","",IF(OR(Fits!$C$5&lt;&gt;"Yes",$D85="Blank",$L85&lt;=Fits!$B$6),$O85,($L85*$O85-Fits!$B$6*Fits!$B$7)/($L85-Fits!$B$6)))</f>
        <v/>
      </c>
      <c r="X85" s="16" t="str">
        <f aca="false">IF($W85="","",$W85-Fits!$B$20*($L85-Fits!$B$16))</f>
        <v/>
      </c>
      <c r="Y85" s="22" t="str">
        <f aca="false">IF($W85="","",IF(OR(Fits!$B$38="Row",$BI85=""),$A85,$BI85))</f>
        <v/>
      </c>
      <c r="Z85" s="16" t="str">
        <f aca="false">IF($X85="","",$X85-Fits!$B$39*($Y85-Fits!$B$40))</f>
        <v/>
      </c>
      <c r="AA85" s="23" t="str">
        <f aca="false">IF(OR($Z85="",Fits!$B$55&lt;2),"",Fits!$B$56*$Z85+Fits!$B$57)</f>
        <v/>
      </c>
      <c r="AB85" s="16" t="str">
        <f aca="false">IF($R85="","",IF(OR(Fits!$C$9&lt;&gt;"Yes",$D85="Blank",$P85&lt;=Fits!$B$10),$R85,($P85*$R85-Fits!$B$10*Fits!$B$11)/($P85-Fits!$B$10)))</f>
        <v/>
      </c>
      <c r="AC85" s="16" t="str">
        <f aca="false">IF($AB85="","",$AB85-Fits!$B$28*($P85-Fits!$B$24))</f>
        <v/>
      </c>
      <c r="AD85" s="22" t="str">
        <f aca="false">IF($AB85="","",IF(OR(Fits!$B$50="Row",$BI85=""),$A85,$BI85))</f>
        <v/>
      </c>
      <c r="AE85" s="16" t="str">
        <f aca="false">IF($AC85="","",$AC85-Fits!$B$51*($AD85-Fits!$B$52))</f>
        <v/>
      </c>
      <c r="AF85" s="23" t="str">
        <f aca="false">IF(OR($AE85="",Fits!$B$62&lt;2),"",Fits!$B$63*$AE85+Fits!$B$64)</f>
        <v/>
      </c>
      <c r="AG85" s="21" t="str">
        <f aca="false">IF(OR($L85="",Fits!$B$69&lt;3),"",($L85-Fits!$B$71)/Fits!$B$70)</f>
        <v/>
      </c>
      <c r="AH85" s="21" t="str">
        <f aca="false">IF(OR($P85="",Fits!$B$75&lt;3),"",($P85-Fits!$B$77)/Fits!$B$76)</f>
        <v/>
      </c>
      <c r="AI85" s="23" t="str">
        <f aca="false">IF(OR($AG85="",$G85="",$G85=0),"",$AG85/($G85*1000)*100)</f>
        <v/>
      </c>
      <c r="AJ85" s="23" t="str">
        <f aca="false">IF(OR($AH85="",$G85="",$G85=0),"",$AH85/($G85*1000)*100)</f>
        <v/>
      </c>
      <c r="AK85" s="23" t="str">
        <f aca="false">IF(OR($AG85="",$AH85="",$AG85&lt;=0),"",($AH85/Setup!$B$52)/($AG85/Setup!$B$53))</f>
        <v/>
      </c>
      <c r="AL85" s="23" t="str">
        <f aca="false">IF(OR($AG85="",$AH85="",$AG85&lt;=0),"",$AH85/$AG85)</f>
        <v/>
      </c>
      <c r="AM85" s="9" t="str">
        <f aca="false">IF($D85="Linearity",IF($L85="","",$L85),"")</f>
        <v/>
      </c>
      <c r="AN85" s="9" t="str">
        <f aca="false">IF($D85="Linearity",IF($W85="","",$W85),"")</f>
        <v/>
      </c>
      <c r="AO85" s="9" t="str">
        <f aca="false">IF($D85="Linearity",IF($P85="","",$P85),"")</f>
        <v/>
      </c>
      <c r="AP85" s="9" t="str">
        <f aca="false">IF($D85="Linearity",IF($AB85="","",$AB85),"")</f>
        <v/>
      </c>
      <c r="AQ85" s="9" t="str">
        <f aca="false">IF($D85="Drift",IF($A85&lt;IF(Setup!$B$14="",0,Setup!$B$14),"",$A85),"")</f>
        <v/>
      </c>
      <c r="AR85" s="9" t="str">
        <f aca="false">IF($D85="Drift",IF($A85&lt;IF(Setup!$B$14="",0,Setup!$B$14),"",IF($BI85="","",$BI85)),"")</f>
        <v/>
      </c>
      <c r="AS85" s="9" t="str">
        <f aca="false">IF($D85="Drift",IF($A85&lt;IF(Setup!$B$14="",0,Setup!$B$14),"",IF(OR($X85="",$BX85=1),"",$X85)),"")</f>
        <v/>
      </c>
      <c r="AT85" s="9" t="str">
        <f aca="false">IF($D85="Drift",IF($A85&lt;IF(Setup!$B$14="",0,Setup!$B$14),"",IF(OR($AC85="",$BY85=1),"",$AC85)),"")</f>
        <v/>
      </c>
      <c r="AU85" s="9" t="str">
        <f aca="false">IF($D85="Anchor",IF(OR($Z85="",$S85=""),"",$Z85),"")</f>
        <v/>
      </c>
      <c r="AV85" s="9" t="str">
        <f aca="false">IF($D85="Anchor",IF(OR($Z85="",$S85=""),"",$S85),"")</f>
        <v/>
      </c>
      <c r="AW85" s="9" t="str">
        <f aca="false">IF($D85="Anchor",IF(OR($AE85="",$T85=""),"",$AE85),"")</f>
        <v/>
      </c>
      <c r="AX85" s="9" t="str">
        <f aca="false">IF($D85="Anchor",IF(OR($AE85="",$T85=""),"",$T85),"")</f>
        <v/>
      </c>
      <c r="AY85" s="9" t="str">
        <f aca="false">IF(OR($D85="Blank",$D85="Exclude",$D85="Sample",$D85="",$G85="",$U85="",$L85=""),"",$G85*1000*$U85/100)</f>
        <v/>
      </c>
      <c r="AZ85" s="9" t="str">
        <f aca="false">IF($AY85="","",$L85)</f>
        <v/>
      </c>
      <c r="BA85" s="9" t="str">
        <f aca="false">IF(OR($D85="Blank",$D85="Exclude",$D85="Sample",$D85="",$G85="",$V85="",$P85=""),"",$G85*1000*$V85/100)</f>
        <v/>
      </c>
      <c r="BB85" s="9" t="str">
        <f aca="false">IF($BA85="","",$P85)</f>
        <v/>
      </c>
      <c r="BC85" s="9" t="str">
        <f aca="false">IF(AND($D85="Blank",$L85&lt;&gt;""),$O85,"")</f>
        <v/>
      </c>
      <c r="BD85" s="9" t="str">
        <f aca="false">IF($BC85="","",$L85)</f>
        <v/>
      </c>
      <c r="BE85" s="9" t="str">
        <f aca="false">IF(AND($D85="Blank",$P85&lt;&gt;""),$R85,"")</f>
        <v/>
      </c>
      <c r="BF85" s="9" t="str">
        <f aca="false">IF($BE85="","",$P85)</f>
        <v/>
      </c>
      <c r="BG85" s="9" t="str">
        <f aca="false">IF(AND($D85="Drift",$BX85&lt;&gt;1),IF($AA85="","",$AA85),"")</f>
        <v/>
      </c>
      <c r="BH85" s="9" t="str">
        <f aca="false">IF(AND($D85="Drift",$BY85&lt;&gt;1),IF($AF85="","",$AF85),"")</f>
        <v/>
      </c>
      <c r="BI85" s="20" t="str">
        <f aca="false">IF($B85="","",IFERROR(INDEX(Raw!$G$2:$G$1001,MATCH($A85&amp;"|N|"&amp;SUMPRODUCT(MAX((Raw!$A$2:$A$1001=$A85)*(Raw!$R$2:$R$1001="N")*(Raw!$I$2:$I$1001=1)*Raw!$D$2:$D$1001)),Raw!$S$2:$S$1001,0)),""))</f>
        <v/>
      </c>
      <c r="BJ85" s="21" t="str">
        <f aca="false">IF(OR($BI85="",Fits!$B$85&lt;=0),"",($BI85-Fits!$B$83)/Fits!$B$85)</f>
        <v/>
      </c>
      <c r="BK85" s="9" t="str">
        <f aca="false">IF($AS85="","",IF($A85&gt;=Fits!$B$86,"",$A85))</f>
        <v/>
      </c>
      <c r="BL85" s="9" t="str">
        <f aca="false">IF($BK85="","",$X85)</f>
        <v/>
      </c>
      <c r="BM85" s="9" t="str">
        <f aca="false">IF($AS85="","",IF($A85&lt;Fits!$B$86,"",$A85))</f>
        <v/>
      </c>
      <c r="BN85" s="9" t="str">
        <f aca="false">IF($BM85="","",$X85)</f>
        <v/>
      </c>
      <c r="BO85" s="9" t="str">
        <f aca="false">IF(AND($D85="Drift",$BX85&lt;&gt;1),IF($O85="","",$O85),"")</f>
        <v/>
      </c>
      <c r="BP85" s="9" t="str">
        <f aca="false">IF(AND($D85="Drift",$BX85&lt;&gt;1),IF($W85="","",$W85),"")</f>
        <v/>
      </c>
      <c r="BQ85" s="9" t="str">
        <f aca="false">IF(AND($D85="Drift",$BX85&lt;&gt;1),IF($X85="","",$X85),"")</f>
        <v/>
      </c>
      <c r="BR85" s="9" t="str">
        <f aca="false">IF(AND($D85="Drift",$BX85&lt;&gt;1),IF($Z85="","",$Z85),"")</f>
        <v/>
      </c>
      <c r="BS85" s="9" t="str">
        <f aca="false">IF(OR($B85="",$H85=""),"",SUMPRODUCT(MIN((Raw!$A$2:$A$1001=$A85)*(Raw!$R$2:$R$1001="N")*(Raw!$I$2:$I$1001=0)*(Raw!$D$2:$D$1001&lt;$H85)*Raw!$D$2:$D$1001+(1-(Raw!$A$2:$A$1001=$A85)*(Raw!$R$2:$R$1001="N")*(Raw!$I$2:$I$1001=0)*(Raw!$D$2:$D$1001&lt;$H85))*9999)))</f>
        <v/>
      </c>
      <c r="BT85" s="16" t="str">
        <f aca="false">IF(OR($BS85="",$BS85=9999,$BS85=0),"",IFERROR(INDEX(Raw!$N$2:$N$1001,MATCH($A85&amp;"|N|"&amp;$BS85,Raw!$S$2:$S$1001,0)),""))</f>
        <v/>
      </c>
      <c r="BU85" s="9" t="str">
        <f aca="false">IF($B85="","",SUMPRODUCT(MIN((Raw!$A$2:$A$1001=$A85)*(Raw!$R$2:$R$1001="C")*(Raw!$I$2:$I$1001=1)*Raw!$D$2:$D$1001+(1-(Raw!$A$2:$A$1001=$A85)*(Raw!$R$2:$R$1001="C")*(Raw!$I$2:$I$1001=1))*9999)))</f>
        <v/>
      </c>
      <c r="BV85" s="9" t="str">
        <f aca="false">IF(OR($BU85="",$BU85=9999),"",SUMPRODUCT(MIN((Raw!$A$2:$A$1001=$A85)*(Raw!$R$2:$R$1001="C")*(Raw!$I$2:$I$1001=0)*(Raw!$D$2:$D$1001&gt;$BU85)*Raw!$D$2:$D$1001+(1-(Raw!$A$2:$A$1001=$A85)*(Raw!$R$2:$R$1001="C")*(Raw!$I$2:$I$1001=0)*(Raw!$D$2:$D$1001&gt;$BU85))*9999)))</f>
        <v/>
      </c>
      <c r="BW85" s="16" t="str">
        <f aca="false">IF(OR($BV85="",$BV85=9999,$BV85=0),"",IFERROR(INDEX(Raw!$O$2:$O$1001,MATCH($A85&amp;"|C|"&amp;$BV85,Raw!$S$2:$S$1001,0)),""))</f>
        <v/>
      </c>
      <c r="BX85" s="9" t="str">
        <f aca="false">IF($B85="","",IF(ISNUMBER(SEARCH(","&amp;$A85&amp;",",","&amp;SUBSTITUTE(Setup!$B$16," ","")&amp;",")),1,0))</f>
        <v/>
      </c>
      <c r="BY85" s="9" t="str">
        <f aca="false">IF($B85="","",IF(ISNUMBER(SEARCH(","&amp;$A85&amp;",",","&amp;SUBSTITUTE(Setup!$B$17," ","")&amp;",")),1,0))</f>
        <v/>
      </c>
      <c r="BZ85" s="22" t="str">
        <f aca="false">IF($AS85="","",IF(Fits!$B$38="Row",$AQ85,IF($AR85="","",$AR85)))</f>
        <v/>
      </c>
      <c r="CA85" s="22" t="str">
        <f aca="false">IF($AT85="","",IF(Fits!$B$50="Row",$AQ85,IF($AR85="","",$AR85)))</f>
        <v/>
      </c>
      <c r="CB85" s="20" t="str">
        <f aca="false">IF(OR($D85&lt;&gt;"Drift",$X85="",$A85&lt;IF(Setup!$B$14="",0,Setup!$B$14),Fits!$B$107&lt;3,Fits!$B$110="",Fits!$B$109=0,IF(Fits!$B$38="Row",$AQ85,$AR85)=""),"",IF($BX85=1,IF(OR(Fits!$B$111="",Fits!$B$111=0),"",($X85-(IF(Fits!$B$38="Row",Fits!$B$32,Fits!$B$35)*IF(Fits!$B$38="Row",$AQ85,$AR85)+Fits!$B$110))/(Fits!$B$111*SQRT(1+(1/Fits!$B$107+(IF(Fits!$B$38="Row",$AQ85,$AR85)-Fits!$B$108)^2/Fits!$B$109)))),IF(OR(Fits!$B$107&lt;4,(1/Fits!$B$107+(IF(Fits!$B$38="Row",$AQ85,$AR85)-Fits!$B$108)^2/Fits!$B$109)&gt;=1),"",IF((Fits!$B$116-($X85-(IF(Fits!$B$38="Row",Fits!$B$32,Fits!$B$35)*IF(Fits!$B$38="Row",$AQ85,$AR85)+Fits!$B$110))^2/(1-(1/Fits!$B$107+(IF(Fits!$B$38="Row",$AQ85,$AR85)-Fits!$B$108)^2/Fits!$B$109)))&lt;=0,"",($X85-(IF(Fits!$B$38="Row",Fits!$B$32,Fits!$B$35)*IF(Fits!$B$38="Row",$AQ85,$AR85)+Fits!$B$110))/(SQRT((Fits!$B$116-($X85-(IF(Fits!$B$38="Row",Fits!$B$32,Fits!$B$35)*IF(Fits!$B$38="Row",$AQ85,$AR85)+Fits!$B$110))^2/(1-(1/Fits!$B$107+(IF(Fits!$B$38="Row",$AQ85,$AR85)-Fits!$B$108)^2/Fits!$B$109)))/(Fits!$B$107-3))*SQRT(1-(1/Fits!$B$107+(IF(Fits!$B$38="Row",$AQ85,$AR85)-Fits!$B$108)^2/Fits!$B$109)))))))</f>
        <v/>
      </c>
      <c r="CC85" s="20" t="str">
        <f aca="false">IF(OR($D85&lt;&gt;"Drift",$AC85="",$A85&lt;IF(Setup!$B$14="",0,Setup!$B$14),Fits!$B$120&lt;3,Fits!$B$123="",Fits!$B$122=0,IF(Fits!$B$50="Row",$AQ85,$AR85)=""),"",IF($BY85=1,IF(OR(Fits!$B$124="",Fits!$B$124=0),"",($AC85-(IF(Fits!$B$50="Row",Fits!$B$44,Fits!$B$47)*IF(Fits!$B$50="Row",$AQ85,$AR85)+Fits!$B$123))/(Fits!$B$124*SQRT(1+(1/Fits!$B$120+(IF(Fits!$B$50="Row",$AQ85,$AR85)-Fits!$B$121)^2/Fits!$B$122)))),IF(OR(Fits!$B$120&lt;4,(1/Fits!$B$120+(IF(Fits!$B$50="Row",$AQ85,$AR85)-Fits!$B$121)^2/Fits!$B$122)&gt;=1),"",IF((Fits!$B$129-($AC85-(IF(Fits!$B$50="Row",Fits!$B$44,Fits!$B$47)*IF(Fits!$B$50="Row",$AQ85,$AR85)+Fits!$B$123))^2/(1-(1/Fits!$B$120+(IF(Fits!$B$50="Row",$AQ85,$AR85)-Fits!$B$121)^2/Fits!$B$122)))&lt;=0,"",($AC85-(IF(Fits!$B$50="Row",Fits!$B$44,Fits!$B$47)*IF(Fits!$B$50="Row",$AQ85,$AR85)+Fits!$B$123))/(SQRT((Fits!$B$129-($AC85-(IF(Fits!$B$50="Row",Fits!$B$44,Fits!$B$47)*IF(Fits!$B$50="Row",$AQ85,$AR85)+Fits!$B$123))^2/(1-(1/Fits!$B$120+(IF(Fits!$B$50="Row",$AQ85,$AR85)-Fits!$B$121)^2/Fits!$B$122)))/(Fits!$B$120-3))*SQRT(1-(1/Fits!$B$120+(IF(Fits!$B$50="Row",$AQ85,$AR85)-Fits!$B$121)^2/Fits!$B$122)))))))</f>
        <v/>
      </c>
      <c r="CD85" s="9" t="str">
        <f aca="false">IF($AU85="","",1)</f>
        <v/>
      </c>
      <c r="CE85" s="24" t="str">
        <f aca="false">IF($AU85="","",$AU85-Fits!$B$133)</f>
        <v/>
      </c>
      <c r="CF85" s="24" t="str">
        <f aca="false">IF($AU85="","",($AV85-(Fits!$B$56*$AU85+Fits!$B$57))-Fits!$B$56*($AU85-Fits!$B$133))</f>
        <v/>
      </c>
      <c r="CG85" s="25" t="str">
        <f aca="false">IF($AU85="","",$AU85^2)</f>
        <v/>
      </c>
      <c r="CH85" s="9" t="str">
        <f aca="false">IF($AW85="","",1)</f>
        <v/>
      </c>
      <c r="CI85" s="24" t="str">
        <f aca="false">IF($AW85="","",$AW85-Fits!$B$153)</f>
        <v/>
      </c>
      <c r="CJ85" s="24" t="str">
        <f aca="false">IF($AW85="","",($AX85-(Fits!$B$63*$AW85+Fits!$B$64))-Fits!$B$63*($AW85-Fits!$B$153))</f>
        <v/>
      </c>
      <c r="CK85" s="25" t="str">
        <f aca="false">IF($AW85="","",$AW85^2)</f>
        <v/>
      </c>
      <c r="CL85" s="26" t="str">
        <f aca="false">IF(OR($Z85="",Fits!$B$55&lt;3,Fits!$B$133="",Fits!$B$134="",Fits!$B$134=0,Fits!$B$136=""),"",SQRT((Fits!$B$136*Fits!$B$56)^2+SUMPRODUCT((Fits!$J$163:$J$175*(Fits!$B$163:$B$175/Fits!$B$55+Fits!$H$163:$H$175*($Z85-Fits!$B$133)/Fits!$B$134))^2)+SUMPRODUCT((Fits!$G$163:$G$175*(($Z85-Fits!$B$133)*Fits!$I$163:$I$175/Fits!$B$134-Fits!$B$163:$B$175*Fits!$B$56/Fits!$B$55))^2)))</f>
        <v/>
      </c>
      <c r="CM85" s="26" t="str">
        <f aca="false">IF($CL85="","",Setup!$B$32*$CL85)</f>
        <v/>
      </c>
      <c r="CN85" s="26" t="str">
        <f aca="false">IF(OR($AE85="",Fits!$B$62&lt;3,Fits!$B$153="",Fits!$B$154="",Fits!$B$154=0,Fits!$B$156=""),"",SQRT((Fits!$B$156*Fits!$B$63)^2+SUMPRODUCT((Fits!$J$183:$J$195*(Fits!$B$183:$B$195/Fits!$B$62+Fits!$H$183:$H$195*($AE85-Fits!$B$153)/Fits!$B$154))^2)+SUMPRODUCT((Fits!$G$183:$G$195*(($AE85-Fits!$B$153)*Fits!$I$183:$I$195/Fits!$B$154-Fits!$B$183:$B$195*Fits!$B$63/Fits!$B$62))^2)))</f>
        <v/>
      </c>
      <c r="CO85" s="26" t="str">
        <f aca="false">IF($CN85="","",Setup!$B$32*$CN85)</f>
        <v/>
      </c>
      <c r="CP85" s="9" t="n">
        <f aca="false">IF(OR(NOT(ISNUMBER($BJ85)),$EK85=1),$CP84,IF($BJ85&lt;=Setup!$B$26,$CP84+1,0))</f>
        <v>26</v>
      </c>
      <c r="CQ85" s="9" t="str">
        <f aca="false">IF($BT85="","",$A85)</f>
        <v/>
      </c>
      <c r="CR85" s="9" t="str">
        <f aca="false">IF($BW85="","",$A85)</f>
        <v/>
      </c>
      <c r="CS85" s="9" t="str">
        <f aca="false">IF($B85="","",IF(Setup!$A$37="",0,IF(ISNUMBER(SEARCH(Setup!$A$37,$B85)),37,0)))</f>
        <v/>
      </c>
      <c r="CT85" s="9" t="str">
        <f aca="false">IF($B85="","",IF(Setup!$A$38="",0,IF(ISNUMBER(SEARCH(Setup!$A$38,$B85)),38,0)))</f>
        <v/>
      </c>
      <c r="CU85" s="9" t="str">
        <f aca="false">IF($B85="","",IF(Setup!$A$39="",0,IF(ISNUMBER(SEARCH(Setup!$A$39,$B85)),39,0)))</f>
        <v/>
      </c>
      <c r="CV85" s="9" t="str">
        <f aca="false">IF($B85="","",IF(Setup!$A$40="",0,IF(ISNUMBER(SEARCH(Setup!$A$40,$B85)),40,0)))</f>
        <v/>
      </c>
      <c r="CW85" s="9" t="str">
        <f aca="false">IF($B85="","",IF(Setup!$A$41="",0,IF(ISNUMBER(SEARCH(Setup!$A$41,$B85)),41,0)))</f>
        <v/>
      </c>
      <c r="CX85" s="9" t="str">
        <f aca="false">IF($B85="","",IF(Setup!$A$42="",0,IF(ISNUMBER(SEARCH(Setup!$A$42,$B85)),42,0)))</f>
        <v/>
      </c>
      <c r="CY85" s="9" t="str">
        <f aca="false">IF($B85="","",IF(Setup!$A$43="",0,IF(ISNUMBER(SEARCH(Setup!$A$43,$B85)),43,0)))</f>
        <v/>
      </c>
      <c r="CZ85" s="9" t="str">
        <f aca="false">IF($B85="","",IF(Setup!$A$44="",0,IF(ISNUMBER(SEARCH(Setup!$A$44,$B85)),44,0)))</f>
        <v/>
      </c>
      <c r="DA85" s="9" t="str">
        <f aca="false">IF($B85="","",IF(Setup!$A$45="",0,IF(ISNUMBER(SEARCH(Setup!$A$45,$B85)),45,0)))</f>
        <v/>
      </c>
      <c r="DB85" s="9" t="str">
        <f aca="false">IF($B85="","",IF(Setup!$A$46="",0,IF(ISNUMBER(SEARCH(Setup!$A$46,$B85)),46,0)))</f>
        <v/>
      </c>
      <c r="DC85" s="9" t="str">
        <f aca="false">IF($B85="","",IF(Setup!$A$47="",0,IF(ISNUMBER(SEARCH(Setup!$A$47,$B85)),47,0)))</f>
        <v/>
      </c>
      <c r="DD85" s="9" t="str">
        <f aca="false">IF($B85="","",IF(Setup!$A$48="",0,IF(ISNUMBER(SEARCH(Setup!$A$48,$B85)),48,0)))</f>
        <v/>
      </c>
      <c r="DE85" s="9" t="str">
        <f aca="false">IF($B85="","",IF(Setup!$A$49="",0,IF(ISNUMBER(SEARCH(Setup!$A$49,$B85)),49,0)))</f>
        <v/>
      </c>
      <c r="DF85" s="9" t="e">
        <f aca="false">IF($B85="",NA(),$A85)</f>
        <v>#N/A</v>
      </c>
      <c r="DG85" s="9" t="e">
        <f aca="false">IF($BI85="",NA(),$BI85)</f>
        <v>#N/A</v>
      </c>
      <c r="DH85" s="9" t="e">
        <f aca="false">IF($N85="",NA(),$N85)</f>
        <v>#N/A</v>
      </c>
      <c r="DI85" s="9" t="e">
        <f aca="false">IF(AND($D85="Drift",$N85&lt;&gt;""),$N85,NA())</f>
        <v>#N/A</v>
      </c>
      <c r="DJ85" s="9" t="str">
        <f aca="false">IF(AND($D85="Drift",$N85&lt;&gt;""),$N85,"")</f>
        <v/>
      </c>
      <c r="DK85" s="9" t="str">
        <f aca="false">IF($DJ85="","",$A85)</f>
        <v/>
      </c>
      <c r="DL85" s="9" t="e">
        <f aca="false">IF($AN85="",NA(),$AM85)</f>
        <v>#N/A</v>
      </c>
      <c r="DM85" s="9" t="e">
        <f aca="false">IF($AN85="",NA(),$AN85)</f>
        <v>#N/A</v>
      </c>
      <c r="DN85" s="9" t="e">
        <f aca="false">IF(AND($D85="Sample",$L85&lt;&gt;""),$L85,NA())</f>
        <v>#N/A</v>
      </c>
      <c r="DO85" s="9" t="e">
        <f aca="false">IF(AND($D85="Sample",$L85&lt;&gt;"",Fits!$B$98&lt;&gt;""),Fits!$B$98,NA())</f>
        <v>#N/A</v>
      </c>
      <c r="DP85" s="9" t="e">
        <f aca="false">IF($AS85="",NA(),$AS85)</f>
        <v>#N/A</v>
      </c>
      <c r="DQ85" s="9" t="e">
        <f aca="false">IF(AND($D85="Drift",$AS85="",$X85&lt;&gt;""),$X85,NA())</f>
        <v>#N/A</v>
      </c>
      <c r="DR85" s="9" t="e">
        <f aca="false">IF(AND($D85="Drift",$Z85&lt;&gt;""),$Z85,NA())</f>
        <v>#N/A</v>
      </c>
      <c r="DS85" s="9" t="e">
        <f aca="false">IF(AND(OR($D85="Sample",$D85="Check"),$AA85&lt;&gt;""),$AA85,NA())</f>
        <v>#N/A</v>
      </c>
      <c r="DT85" s="9" t="e">
        <f aca="false">IF(OR($B85="",Fits!$B$138=""),NA(),Fits!$B$138)</f>
        <v>#N/A</v>
      </c>
      <c r="DU85" s="9" t="e">
        <f aca="false">IF(OR($B85="",Fits!$B$139=""),NA(),Fits!$B$139)</f>
        <v>#N/A</v>
      </c>
      <c r="DV85" s="9" t="e">
        <f aca="false">IF($BT85="",NA(),$BT85)</f>
        <v>#N/A</v>
      </c>
      <c r="DW85" s="9" t="e">
        <f aca="false">IF($AP85="",NA(),$AO85)</f>
        <v>#N/A</v>
      </c>
      <c r="DX85" s="9" t="e">
        <f aca="false">IF($AP85="",NA(),$AP85)</f>
        <v>#N/A</v>
      </c>
      <c r="DY85" s="9" t="e">
        <f aca="false">IF(AND($D85="Sample",$P85&lt;&gt;""),$P85,NA())</f>
        <v>#N/A</v>
      </c>
      <c r="DZ85" s="9" t="e">
        <f aca="false">IF(AND($D85="Sample",$P85&lt;&gt;"",Fits!$B$105&lt;&gt;""),Fits!$B$105,NA())</f>
        <v>#N/A</v>
      </c>
      <c r="EA85" s="9" t="e">
        <f aca="false">IF($AT85="",NA(),$AT85)</f>
        <v>#N/A</v>
      </c>
      <c r="EB85" s="9" t="e">
        <f aca="false">IF(AND($D85="Drift",$AT85="",$AC85&lt;&gt;""),$AC85,NA())</f>
        <v>#N/A</v>
      </c>
      <c r="EC85" s="9" t="e">
        <f aca="false">IF(AND($D85="Drift",$AE85&lt;&gt;""),$AE85,NA())</f>
        <v>#N/A</v>
      </c>
      <c r="ED85" s="9" t="e">
        <f aca="false">IF(AND(OR($D85="Sample",$D85="Check"),$AF85&lt;&gt;""),$AF85,NA())</f>
        <v>#N/A</v>
      </c>
      <c r="EE85" s="9" t="e">
        <f aca="false">IF(OR($B85="",Fits!$B$158=""),NA(),Fits!$B$158)</f>
        <v>#N/A</v>
      </c>
      <c r="EF85" s="9" t="e">
        <f aca="false">IF(OR($B85="",Fits!$B$159=""),NA(),Fits!$B$159)</f>
        <v>#N/A</v>
      </c>
      <c r="EG85" s="9" t="e">
        <f aca="false">IF($BW85="",NA(),$BW85)</f>
        <v>#N/A</v>
      </c>
      <c r="EH85" s="9" t="e">
        <f aca="false">IF(AND($EN85=1,ISNUMBER($N85)),$N85,NA())</f>
        <v>#N/A</v>
      </c>
      <c r="EI85" s="9" t="str">
        <f aca="false">IF($B85="","",$A85)</f>
        <v/>
      </c>
      <c r="EJ85" s="9" t="n">
        <f aca="false">IF(OR(AND(ISNUMBER($L85),Fits!$B$97&gt;0,$L85&gt;Fits!$B$97),AND(ISNUMBER($P85),Fits!$B$104&gt;0,$P85&gt;Fits!$B$104)),1,0)</f>
        <v>0</v>
      </c>
      <c r="EK85" s="9" t="n">
        <f aca="false">IF(OR($EJ84=1,$EJ83=1),1,0)</f>
        <v>0</v>
      </c>
      <c r="EL85" s="22" t="n">
        <f aca="false">IF(AND($EK85=0,ISNUMBER($N85)),$N85,$EL84)</f>
        <v>25.7</v>
      </c>
      <c r="EM85" s="9" t="str">
        <f aca="false">IF(AND($EK85=1,ISNUMBER($N85),ISNUMBER($EL85)),$N85-$EL85,"")</f>
        <v/>
      </c>
      <c r="EN85" s="9" t="n">
        <f aca="false">IF(Setup!$B$28="",0,IF(ISNUMBER($EM85),IF($EM85&gt;Setup!$B$28,1,0),0))</f>
        <v>0</v>
      </c>
      <c r="EO85" s="9" t="str">
        <f aca="false">IF($EN85=1,COUNTIF($EN$6:$EN85,1),"")</f>
        <v/>
      </c>
      <c r="EP85" s="9" t="n">
        <f aca="false">IF(AND($EJ84=1,OR($D85="Sample",$D85="Check")),1,0)</f>
        <v>0</v>
      </c>
      <c r="EQ85" s="9" t="str">
        <f aca="false">IF(ISNUMBER($BI85),IF(COUNT($BI$6:$BI85)&lt;=5,$BI85,""),"")</f>
        <v/>
      </c>
      <c r="ER85" s="9" t="n">
        <f aca="false">IF(OR(NOT(ISNUMBER($BJ85)),$EK85=1),$ER84,IF($BJ85&lt;=Setup!$B$26,IF($CP84=0,$A85,$ER84),""))</f>
        <v>27</v>
      </c>
    </row>
    <row r="86" customFormat="false" ht="15" hidden="false" customHeight="false" outlineLevel="0" collapsed="false">
      <c r="A86" s="8" t="n">
        <v>81</v>
      </c>
      <c r="B86" s="8" t="str">
        <f aca="false">IFERROR(INDEX(Raw!$B$2:$B$1001,MATCH($A86,Raw!$A$2:$A$1001,0)),"")</f>
        <v/>
      </c>
      <c r="C86" s="9" t="str">
        <f aca="false">IF($B86="","",MAX($CS86:$DE86))</f>
        <v/>
      </c>
      <c r="D86" s="8" t="str">
        <f aca="false">IF($B86="","",IF($C86=0,"Sample",INDEX(Setup!$B$37:$B$49,$C86-36)))</f>
        <v/>
      </c>
      <c r="E86" s="16" t="str">
        <f aca="false">IF($B86="","",IFERROR(IF(INDEX(Raw!$E$2:$E$1001,MATCH($A86,Raw!$A$2:$A$1001,0))=0,"",INDEX(Raw!$E$2:$E$1001,MATCH($A86,Raw!$A$2:$A$1001,0))),""))</f>
        <v/>
      </c>
      <c r="F86" s="18"/>
      <c r="G86" s="16" t="str">
        <f aca="false">IF($B86="","",IF($F86&lt;&gt;"",$F86,IF($E86="","",$E86)))</f>
        <v/>
      </c>
      <c r="H86" s="9" t="str">
        <f aca="false">IF($B86="","",SUMPRODUCT(MAX((Raw!$A$2:$A$1001=$A86)*(Raw!$R$2:$R$1001="N")*Raw!$D$2:$D$1001)))</f>
        <v/>
      </c>
      <c r="I86" s="9" t="str">
        <f aca="false">IF(OR($H86="",$H86=0),"",$A86&amp;"|N|"&amp;$H86)</f>
        <v/>
      </c>
      <c r="J86" s="9" t="str">
        <f aca="false">IF($B86="","",SUMPRODUCT(MIN((Raw!$A$2:$A$1001=$A86)*(Raw!$R$2:$R$1001="C")*Raw!$D$2:$D$1001+(1-(Raw!$A$2:$A$1001=$A86)*(Raw!$R$2:$R$1001="C"))*9999)))</f>
        <v/>
      </c>
      <c r="K86" s="9" t="str">
        <f aca="false">IF(OR($J86="",$J86=0,$J86=9999),"",$A86&amp;"|C|"&amp;$J86)</f>
        <v/>
      </c>
      <c r="L86" s="16" t="str">
        <f aca="false">IF($I86="","",IF(INDEX(Raw!$I$2:$I$1001,MATCH($I86,Raw!$S$2:$S$1001,0))&lt;&gt;0,"",INDEX(Raw!$H$2:$H$1001,MATCH($I86,Raw!$S$2:$S$1001,0))))</f>
        <v/>
      </c>
      <c r="M86" s="19" t="str">
        <f aca="false">IF($I86="","",IF(INDEX(Raw!$I$2:$I$1001,MATCH($I86,Raw!$S$2:$S$1001,0))&lt;&gt;0,"",INDEX(Raw!$F$2:$F$1001,MATCH($I86,Raw!$S$2:$S$1001,0))))</f>
        <v/>
      </c>
      <c r="N86" s="20" t="str">
        <f aca="false">IF($I86="","",IF(INDEX(Raw!$I$2:$I$1001,MATCH($I86,Raw!$S$2:$S$1001,0))&lt;&gt;0,"",INDEX(Raw!$G$2:$G$1001,MATCH($I86,Raw!$S$2:$S$1001,0))))</f>
        <v/>
      </c>
      <c r="O86" s="16" t="str">
        <f aca="false">IF($I86="","",IF(INDEX(Raw!$I$2:$I$1001,MATCH($I86,Raw!$S$2:$S$1001,0))&lt;&gt;0,"",INDEX(Raw!$N$2:$N$1001,MATCH($I86,Raw!$S$2:$S$1001,0))))</f>
        <v/>
      </c>
      <c r="P86" s="16" t="str">
        <f aca="false">IF($K86="","",IF(INDEX(Raw!$I$2:$I$1001,MATCH($K86,Raw!$S$2:$S$1001,0))&lt;&gt;0,"",INDEX(Raw!$K$2:$K$1001,MATCH($K86,Raw!$S$2:$S$1001,0))))</f>
        <v/>
      </c>
      <c r="Q86" s="19" t="str">
        <f aca="false">IF($K86="","",IF(INDEX(Raw!$I$2:$I$1001,MATCH($K86,Raw!$S$2:$S$1001,0))&lt;&gt;0,"",INDEX(Raw!$J$2:$J$1001,MATCH($K86,Raw!$S$2:$S$1001,0))))</f>
        <v/>
      </c>
      <c r="R86" s="16" t="str">
        <f aca="false">IF($K86="","",IF(INDEX(Raw!$I$2:$I$1001,MATCH($K86,Raw!$S$2:$S$1001,0))&lt;&gt;0,"",INDEX(Raw!$O$2:$O$1001,MATCH($K86,Raw!$S$2:$S$1001,0))))</f>
        <v/>
      </c>
      <c r="S86" s="21" t="str">
        <f aca="false">IF($B86="","",IF($C86=0,"",IF(INDEX(Setup!$D$37:$D$49,$C86-36)="","",INDEX(Setup!$D$37:$D$49,$C86-36))))</f>
        <v/>
      </c>
      <c r="T86" s="21" t="str">
        <f aca="false">IF($B86="","",IF($C86=0,"",IF(INDEX(Setup!$C$37:$C$49,$C86-36)="","",INDEX(Setup!$C$37:$C$49,$C86-36))))</f>
        <v/>
      </c>
      <c r="U86" s="21" t="str">
        <f aca="false">IF($B86="","",IF($C86=0,"",IF(INDEX(Setup!$F$37:$F$49,$C86-36)="","",INDEX(Setup!$F$37:$F$49,$C86-36))))</f>
        <v/>
      </c>
      <c r="V86" s="21" t="str">
        <f aca="false">IF($B86="","",IF($C86=0,"",IF(INDEX(Setup!$E$37:$E$49,$C86-36)="","",INDEX(Setup!$E$37:$E$49,$C86-36))))</f>
        <v/>
      </c>
      <c r="W86" s="16" t="str">
        <f aca="false">IF($O86="","",IF(OR(Fits!$C$5&lt;&gt;"Yes",$D86="Blank",$L86&lt;=Fits!$B$6),$O86,($L86*$O86-Fits!$B$6*Fits!$B$7)/($L86-Fits!$B$6)))</f>
        <v/>
      </c>
      <c r="X86" s="16" t="str">
        <f aca="false">IF($W86="","",$W86-Fits!$B$20*($L86-Fits!$B$16))</f>
        <v/>
      </c>
      <c r="Y86" s="22" t="str">
        <f aca="false">IF($W86="","",IF(OR(Fits!$B$38="Row",$BI86=""),$A86,$BI86))</f>
        <v/>
      </c>
      <c r="Z86" s="16" t="str">
        <f aca="false">IF($X86="","",$X86-Fits!$B$39*($Y86-Fits!$B$40))</f>
        <v/>
      </c>
      <c r="AA86" s="23" t="str">
        <f aca="false">IF(OR($Z86="",Fits!$B$55&lt;2),"",Fits!$B$56*$Z86+Fits!$B$57)</f>
        <v/>
      </c>
      <c r="AB86" s="16" t="str">
        <f aca="false">IF($R86="","",IF(OR(Fits!$C$9&lt;&gt;"Yes",$D86="Blank",$P86&lt;=Fits!$B$10),$R86,($P86*$R86-Fits!$B$10*Fits!$B$11)/($P86-Fits!$B$10)))</f>
        <v/>
      </c>
      <c r="AC86" s="16" t="str">
        <f aca="false">IF($AB86="","",$AB86-Fits!$B$28*($P86-Fits!$B$24))</f>
        <v/>
      </c>
      <c r="AD86" s="22" t="str">
        <f aca="false">IF($AB86="","",IF(OR(Fits!$B$50="Row",$BI86=""),$A86,$BI86))</f>
        <v/>
      </c>
      <c r="AE86" s="16" t="str">
        <f aca="false">IF($AC86="","",$AC86-Fits!$B$51*($AD86-Fits!$B$52))</f>
        <v/>
      </c>
      <c r="AF86" s="23" t="str">
        <f aca="false">IF(OR($AE86="",Fits!$B$62&lt;2),"",Fits!$B$63*$AE86+Fits!$B$64)</f>
        <v/>
      </c>
      <c r="AG86" s="21" t="str">
        <f aca="false">IF(OR($L86="",Fits!$B$69&lt;3),"",($L86-Fits!$B$71)/Fits!$B$70)</f>
        <v/>
      </c>
      <c r="AH86" s="21" t="str">
        <f aca="false">IF(OR($P86="",Fits!$B$75&lt;3),"",($P86-Fits!$B$77)/Fits!$B$76)</f>
        <v/>
      </c>
      <c r="AI86" s="23" t="str">
        <f aca="false">IF(OR($AG86="",$G86="",$G86=0),"",$AG86/($G86*1000)*100)</f>
        <v/>
      </c>
      <c r="AJ86" s="23" t="str">
        <f aca="false">IF(OR($AH86="",$G86="",$G86=0),"",$AH86/($G86*1000)*100)</f>
        <v/>
      </c>
      <c r="AK86" s="23" t="str">
        <f aca="false">IF(OR($AG86="",$AH86="",$AG86&lt;=0),"",($AH86/Setup!$B$52)/($AG86/Setup!$B$53))</f>
        <v/>
      </c>
      <c r="AL86" s="23" t="str">
        <f aca="false">IF(OR($AG86="",$AH86="",$AG86&lt;=0),"",$AH86/$AG86)</f>
        <v/>
      </c>
      <c r="AM86" s="9" t="str">
        <f aca="false">IF($D86="Linearity",IF($L86="","",$L86),"")</f>
        <v/>
      </c>
      <c r="AN86" s="9" t="str">
        <f aca="false">IF($D86="Linearity",IF($W86="","",$W86),"")</f>
        <v/>
      </c>
      <c r="AO86" s="9" t="str">
        <f aca="false">IF($D86="Linearity",IF($P86="","",$P86),"")</f>
        <v/>
      </c>
      <c r="AP86" s="9" t="str">
        <f aca="false">IF($D86="Linearity",IF($AB86="","",$AB86),"")</f>
        <v/>
      </c>
      <c r="AQ86" s="9" t="str">
        <f aca="false">IF($D86="Drift",IF($A86&lt;IF(Setup!$B$14="",0,Setup!$B$14),"",$A86),"")</f>
        <v/>
      </c>
      <c r="AR86" s="9" t="str">
        <f aca="false">IF($D86="Drift",IF($A86&lt;IF(Setup!$B$14="",0,Setup!$B$14),"",IF($BI86="","",$BI86)),"")</f>
        <v/>
      </c>
      <c r="AS86" s="9" t="str">
        <f aca="false">IF($D86="Drift",IF($A86&lt;IF(Setup!$B$14="",0,Setup!$B$14),"",IF(OR($X86="",$BX86=1),"",$X86)),"")</f>
        <v/>
      </c>
      <c r="AT86" s="9" t="str">
        <f aca="false">IF($D86="Drift",IF($A86&lt;IF(Setup!$B$14="",0,Setup!$B$14),"",IF(OR($AC86="",$BY86=1),"",$AC86)),"")</f>
        <v/>
      </c>
      <c r="AU86" s="9" t="str">
        <f aca="false">IF($D86="Anchor",IF(OR($Z86="",$S86=""),"",$Z86),"")</f>
        <v/>
      </c>
      <c r="AV86" s="9" t="str">
        <f aca="false">IF($D86="Anchor",IF(OR($Z86="",$S86=""),"",$S86),"")</f>
        <v/>
      </c>
      <c r="AW86" s="9" t="str">
        <f aca="false">IF($D86="Anchor",IF(OR($AE86="",$T86=""),"",$AE86),"")</f>
        <v/>
      </c>
      <c r="AX86" s="9" t="str">
        <f aca="false">IF($D86="Anchor",IF(OR($AE86="",$T86=""),"",$T86),"")</f>
        <v/>
      </c>
      <c r="AY86" s="9" t="str">
        <f aca="false">IF(OR($D86="Blank",$D86="Exclude",$D86="Sample",$D86="",$G86="",$U86="",$L86=""),"",$G86*1000*$U86/100)</f>
        <v/>
      </c>
      <c r="AZ86" s="9" t="str">
        <f aca="false">IF($AY86="","",$L86)</f>
        <v/>
      </c>
      <c r="BA86" s="9" t="str">
        <f aca="false">IF(OR($D86="Blank",$D86="Exclude",$D86="Sample",$D86="",$G86="",$V86="",$P86=""),"",$G86*1000*$V86/100)</f>
        <v/>
      </c>
      <c r="BB86" s="9" t="str">
        <f aca="false">IF($BA86="","",$P86)</f>
        <v/>
      </c>
      <c r="BC86" s="9" t="str">
        <f aca="false">IF(AND($D86="Blank",$L86&lt;&gt;""),$O86,"")</f>
        <v/>
      </c>
      <c r="BD86" s="9" t="str">
        <f aca="false">IF($BC86="","",$L86)</f>
        <v/>
      </c>
      <c r="BE86" s="9" t="str">
        <f aca="false">IF(AND($D86="Blank",$P86&lt;&gt;""),$R86,"")</f>
        <v/>
      </c>
      <c r="BF86" s="9" t="str">
        <f aca="false">IF($BE86="","",$P86)</f>
        <v/>
      </c>
      <c r="BG86" s="9" t="str">
        <f aca="false">IF(AND($D86="Drift",$BX86&lt;&gt;1),IF($AA86="","",$AA86),"")</f>
        <v/>
      </c>
      <c r="BH86" s="9" t="str">
        <f aca="false">IF(AND($D86="Drift",$BY86&lt;&gt;1),IF($AF86="","",$AF86),"")</f>
        <v/>
      </c>
      <c r="BI86" s="20" t="str">
        <f aca="false">IF($B86="","",IFERROR(INDEX(Raw!$G$2:$G$1001,MATCH($A86&amp;"|N|"&amp;SUMPRODUCT(MAX((Raw!$A$2:$A$1001=$A86)*(Raw!$R$2:$R$1001="N")*(Raw!$I$2:$I$1001=1)*Raw!$D$2:$D$1001)),Raw!$S$2:$S$1001,0)),""))</f>
        <v/>
      </c>
      <c r="BJ86" s="21" t="str">
        <f aca="false">IF(OR($BI86="",Fits!$B$85&lt;=0),"",($BI86-Fits!$B$83)/Fits!$B$85)</f>
        <v/>
      </c>
      <c r="BK86" s="9" t="str">
        <f aca="false">IF($AS86="","",IF($A86&gt;=Fits!$B$86,"",$A86))</f>
        <v/>
      </c>
      <c r="BL86" s="9" t="str">
        <f aca="false">IF($BK86="","",$X86)</f>
        <v/>
      </c>
      <c r="BM86" s="9" t="str">
        <f aca="false">IF($AS86="","",IF($A86&lt;Fits!$B$86,"",$A86))</f>
        <v/>
      </c>
      <c r="BN86" s="9" t="str">
        <f aca="false">IF($BM86="","",$X86)</f>
        <v/>
      </c>
      <c r="BO86" s="9" t="str">
        <f aca="false">IF(AND($D86="Drift",$BX86&lt;&gt;1),IF($O86="","",$O86),"")</f>
        <v/>
      </c>
      <c r="BP86" s="9" t="str">
        <f aca="false">IF(AND($D86="Drift",$BX86&lt;&gt;1),IF($W86="","",$W86),"")</f>
        <v/>
      </c>
      <c r="BQ86" s="9" t="str">
        <f aca="false">IF(AND($D86="Drift",$BX86&lt;&gt;1),IF($X86="","",$X86),"")</f>
        <v/>
      </c>
      <c r="BR86" s="9" t="str">
        <f aca="false">IF(AND($D86="Drift",$BX86&lt;&gt;1),IF($Z86="","",$Z86),"")</f>
        <v/>
      </c>
      <c r="BS86" s="9" t="str">
        <f aca="false">IF(OR($B86="",$H86=""),"",SUMPRODUCT(MIN((Raw!$A$2:$A$1001=$A86)*(Raw!$R$2:$R$1001="N")*(Raw!$I$2:$I$1001=0)*(Raw!$D$2:$D$1001&lt;$H86)*Raw!$D$2:$D$1001+(1-(Raw!$A$2:$A$1001=$A86)*(Raw!$R$2:$R$1001="N")*(Raw!$I$2:$I$1001=0)*(Raw!$D$2:$D$1001&lt;$H86))*9999)))</f>
        <v/>
      </c>
      <c r="BT86" s="16" t="str">
        <f aca="false">IF(OR($BS86="",$BS86=9999,$BS86=0),"",IFERROR(INDEX(Raw!$N$2:$N$1001,MATCH($A86&amp;"|N|"&amp;$BS86,Raw!$S$2:$S$1001,0)),""))</f>
        <v/>
      </c>
      <c r="BU86" s="9" t="str">
        <f aca="false">IF($B86="","",SUMPRODUCT(MIN((Raw!$A$2:$A$1001=$A86)*(Raw!$R$2:$R$1001="C")*(Raw!$I$2:$I$1001=1)*Raw!$D$2:$D$1001+(1-(Raw!$A$2:$A$1001=$A86)*(Raw!$R$2:$R$1001="C")*(Raw!$I$2:$I$1001=1))*9999)))</f>
        <v/>
      </c>
      <c r="BV86" s="9" t="str">
        <f aca="false">IF(OR($BU86="",$BU86=9999),"",SUMPRODUCT(MIN((Raw!$A$2:$A$1001=$A86)*(Raw!$R$2:$R$1001="C")*(Raw!$I$2:$I$1001=0)*(Raw!$D$2:$D$1001&gt;$BU86)*Raw!$D$2:$D$1001+(1-(Raw!$A$2:$A$1001=$A86)*(Raw!$R$2:$R$1001="C")*(Raw!$I$2:$I$1001=0)*(Raw!$D$2:$D$1001&gt;$BU86))*9999)))</f>
        <v/>
      </c>
      <c r="BW86" s="16" t="str">
        <f aca="false">IF(OR($BV86="",$BV86=9999,$BV86=0),"",IFERROR(INDEX(Raw!$O$2:$O$1001,MATCH($A86&amp;"|C|"&amp;$BV86,Raw!$S$2:$S$1001,0)),""))</f>
        <v/>
      </c>
      <c r="BX86" s="9" t="str">
        <f aca="false">IF($B86="","",IF(ISNUMBER(SEARCH(","&amp;$A86&amp;",",","&amp;SUBSTITUTE(Setup!$B$16," ","")&amp;",")),1,0))</f>
        <v/>
      </c>
      <c r="BY86" s="9" t="str">
        <f aca="false">IF($B86="","",IF(ISNUMBER(SEARCH(","&amp;$A86&amp;",",","&amp;SUBSTITUTE(Setup!$B$17," ","")&amp;",")),1,0))</f>
        <v/>
      </c>
      <c r="BZ86" s="22" t="str">
        <f aca="false">IF($AS86="","",IF(Fits!$B$38="Row",$AQ86,IF($AR86="","",$AR86)))</f>
        <v/>
      </c>
      <c r="CA86" s="22" t="str">
        <f aca="false">IF($AT86="","",IF(Fits!$B$50="Row",$AQ86,IF($AR86="","",$AR86)))</f>
        <v/>
      </c>
      <c r="CB86" s="20" t="str">
        <f aca="false">IF(OR($D86&lt;&gt;"Drift",$X86="",$A86&lt;IF(Setup!$B$14="",0,Setup!$B$14),Fits!$B$107&lt;3,Fits!$B$110="",Fits!$B$109=0,IF(Fits!$B$38="Row",$AQ86,$AR86)=""),"",IF($BX86=1,IF(OR(Fits!$B$111="",Fits!$B$111=0),"",($X86-(IF(Fits!$B$38="Row",Fits!$B$32,Fits!$B$35)*IF(Fits!$B$38="Row",$AQ86,$AR86)+Fits!$B$110))/(Fits!$B$111*SQRT(1+(1/Fits!$B$107+(IF(Fits!$B$38="Row",$AQ86,$AR86)-Fits!$B$108)^2/Fits!$B$109)))),IF(OR(Fits!$B$107&lt;4,(1/Fits!$B$107+(IF(Fits!$B$38="Row",$AQ86,$AR86)-Fits!$B$108)^2/Fits!$B$109)&gt;=1),"",IF((Fits!$B$116-($X86-(IF(Fits!$B$38="Row",Fits!$B$32,Fits!$B$35)*IF(Fits!$B$38="Row",$AQ86,$AR86)+Fits!$B$110))^2/(1-(1/Fits!$B$107+(IF(Fits!$B$38="Row",$AQ86,$AR86)-Fits!$B$108)^2/Fits!$B$109)))&lt;=0,"",($X86-(IF(Fits!$B$38="Row",Fits!$B$32,Fits!$B$35)*IF(Fits!$B$38="Row",$AQ86,$AR86)+Fits!$B$110))/(SQRT((Fits!$B$116-($X86-(IF(Fits!$B$38="Row",Fits!$B$32,Fits!$B$35)*IF(Fits!$B$38="Row",$AQ86,$AR86)+Fits!$B$110))^2/(1-(1/Fits!$B$107+(IF(Fits!$B$38="Row",$AQ86,$AR86)-Fits!$B$108)^2/Fits!$B$109)))/(Fits!$B$107-3))*SQRT(1-(1/Fits!$B$107+(IF(Fits!$B$38="Row",$AQ86,$AR86)-Fits!$B$108)^2/Fits!$B$109)))))))</f>
        <v/>
      </c>
      <c r="CC86" s="20" t="str">
        <f aca="false">IF(OR($D86&lt;&gt;"Drift",$AC86="",$A86&lt;IF(Setup!$B$14="",0,Setup!$B$14),Fits!$B$120&lt;3,Fits!$B$123="",Fits!$B$122=0,IF(Fits!$B$50="Row",$AQ86,$AR86)=""),"",IF($BY86=1,IF(OR(Fits!$B$124="",Fits!$B$124=0),"",($AC86-(IF(Fits!$B$50="Row",Fits!$B$44,Fits!$B$47)*IF(Fits!$B$50="Row",$AQ86,$AR86)+Fits!$B$123))/(Fits!$B$124*SQRT(1+(1/Fits!$B$120+(IF(Fits!$B$50="Row",$AQ86,$AR86)-Fits!$B$121)^2/Fits!$B$122)))),IF(OR(Fits!$B$120&lt;4,(1/Fits!$B$120+(IF(Fits!$B$50="Row",$AQ86,$AR86)-Fits!$B$121)^2/Fits!$B$122)&gt;=1),"",IF((Fits!$B$129-($AC86-(IF(Fits!$B$50="Row",Fits!$B$44,Fits!$B$47)*IF(Fits!$B$50="Row",$AQ86,$AR86)+Fits!$B$123))^2/(1-(1/Fits!$B$120+(IF(Fits!$B$50="Row",$AQ86,$AR86)-Fits!$B$121)^2/Fits!$B$122)))&lt;=0,"",($AC86-(IF(Fits!$B$50="Row",Fits!$B$44,Fits!$B$47)*IF(Fits!$B$50="Row",$AQ86,$AR86)+Fits!$B$123))/(SQRT((Fits!$B$129-($AC86-(IF(Fits!$B$50="Row",Fits!$B$44,Fits!$B$47)*IF(Fits!$B$50="Row",$AQ86,$AR86)+Fits!$B$123))^2/(1-(1/Fits!$B$120+(IF(Fits!$B$50="Row",$AQ86,$AR86)-Fits!$B$121)^2/Fits!$B$122)))/(Fits!$B$120-3))*SQRT(1-(1/Fits!$B$120+(IF(Fits!$B$50="Row",$AQ86,$AR86)-Fits!$B$121)^2/Fits!$B$122)))))))</f>
        <v/>
      </c>
      <c r="CD86" s="9" t="str">
        <f aca="false">IF($AU86="","",1)</f>
        <v/>
      </c>
      <c r="CE86" s="24" t="str">
        <f aca="false">IF($AU86="","",$AU86-Fits!$B$133)</f>
        <v/>
      </c>
      <c r="CF86" s="24" t="str">
        <f aca="false">IF($AU86="","",($AV86-(Fits!$B$56*$AU86+Fits!$B$57))-Fits!$B$56*($AU86-Fits!$B$133))</f>
        <v/>
      </c>
      <c r="CG86" s="25" t="str">
        <f aca="false">IF($AU86="","",$AU86^2)</f>
        <v/>
      </c>
      <c r="CH86" s="9" t="str">
        <f aca="false">IF($AW86="","",1)</f>
        <v/>
      </c>
      <c r="CI86" s="24" t="str">
        <f aca="false">IF($AW86="","",$AW86-Fits!$B$153)</f>
        <v/>
      </c>
      <c r="CJ86" s="24" t="str">
        <f aca="false">IF($AW86="","",($AX86-(Fits!$B$63*$AW86+Fits!$B$64))-Fits!$B$63*($AW86-Fits!$B$153))</f>
        <v/>
      </c>
      <c r="CK86" s="25" t="str">
        <f aca="false">IF($AW86="","",$AW86^2)</f>
        <v/>
      </c>
      <c r="CL86" s="26" t="str">
        <f aca="false">IF(OR($Z86="",Fits!$B$55&lt;3,Fits!$B$133="",Fits!$B$134="",Fits!$B$134=0,Fits!$B$136=""),"",SQRT((Fits!$B$136*Fits!$B$56)^2+SUMPRODUCT((Fits!$J$163:$J$175*(Fits!$B$163:$B$175/Fits!$B$55+Fits!$H$163:$H$175*($Z86-Fits!$B$133)/Fits!$B$134))^2)+SUMPRODUCT((Fits!$G$163:$G$175*(($Z86-Fits!$B$133)*Fits!$I$163:$I$175/Fits!$B$134-Fits!$B$163:$B$175*Fits!$B$56/Fits!$B$55))^2)))</f>
        <v/>
      </c>
      <c r="CM86" s="26" t="str">
        <f aca="false">IF($CL86="","",Setup!$B$32*$CL86)</f>
        <v/>
      </c>
      <c r="CN86" s="26" t="str">
        <f aca="false">IF(OR($AE86="",Fits!$B$62&lt;3,Fits!$B$153="",Fits!$B$154="",Fits!$B$154=0,Fits!$B$156=""),"",SQRT((Fits!$B$156*Fits!$B$63)^2+SUMPRODUCT((Fits!$J$183:$J$195*(Fits!$B$183:$B$195/Fits!$B$62+Fits!$H$183:$H$195*($AE86-Fits!$B$153)/Fits!$B$154))^2)+SUMPRODUCT((Fits!$G$183:$G$195*(($AE86-Fits!$B$153)*Fits!$I$183:$I$195/Fits!$B$154-Fits!$B$183:$B$195*Fits!$B$63/Fits!$B$62))^2)))</f>
        <v/>
      </c>
      <c r="CO86" s="26" t="str">
        <f aca="false">IF($CN86="","",Setup!$B$32*$CN86)</f>
        <v/>
      </c>
      <c r="CP86" s="9" t="n">
        <f aca="false">IF(OR(NOT(ISNUMBER($BJ86)),$EK86=1),$CP85,IF($BJ86&lt;=Setup!$B$26,$CP85+1,0))</f>
        <v>26</v>
      </c>
      <c r="CQ86" s="9" t="str">
        <f aca="false">IF($BT86="","",$A86)</f>
        <v/>
      </c>
      <c r="CR86" s="9" t="str">
        <f aca="false">IF($BW86="","",$A86)</f>
        <v/>
      </c>
      <c r="CS86" s="9" t="str">
        <f aca="false">IF($B86="","",IF(Setup!$A$37="",0,IF(ISNUMBER(SEARCH(Setup!$A$37,$B86)),37,0)))</f>
        <v/>
      </c>
      <c r="CT86" s="9" t="str">
        <f aca="false">IF($B86="","",IF(Setup!$A$38="",0,IF(ISNUMBER(SEARCH(Setup!$A$38,$B86)),38,0)))</f>
        <v/>
      </c>
      <c r="CU86" s="9" t="str">
        <f aca="false">IF($B86="","",IF(Setup!$A$39="",0,IF(ISNUMBER(SEARCH(Setup!$A$39,$B86)),39,0)))</f>
        <v/>
      </c>
      <c r="CV86" s="9" t="str">
        <f aca="false">IF($B86="","",IF(Setup!$A$40="",0,IF(ISNUMBER(SEARCH(Setup!$A$40,$B86)),40,0)))</f>
        <v/>
      </c>
      <c r="CW86" s="9" t="str">
        <f aca="false">IF($B86="","",IF(Setup!$A$41="",0,IF(ISNUMBER(SEARCH(Setup!$A$41,$B86)),41,0)))</f>
        <v/>
      </c>
      <c r="CX86" s="9" t="str">
        <f aca="false">IF($B86="","",IF(Setup!$A$42="",0,IF(ISNUMBER(SEARCH(Setup!$A$42,$B86)),42,0)))</f>
        <v/>
      </c>
      <c r="CY86" s="9" t="str">
        <f aca="false">IF($B86="","",IF(Setup!$A$43="",0,IF(ISNUMBER(SEARCH(Setup!$A$43,$B86)),43,0)))</f>
        <v/>
      </c>
      <c r="CZ86" s="9" t="str">
        <f aca="false">IF($B86="","",IF(Setup!$A$44="",0,IF(ISNUMBER(SEARCH(Setup!$A$44,$B86)),44,0)))</f>
        <v/>
      </c>
      <c r="DA86" s="9" t="str">
        <f aca="false">IF($B86="","",IF(Setup!$A$45="",0,IF(ISNUMBER(SEARCH(Setup!$A$45,$B86)),45,0)))</f>
        <v/>
      </c>
      <c r="DB86" s="9" t="str">
        <f aca="false">IF($B86="","",IF(Setup!$A$46="",0,IF(ISNUMBER(SEARCH(Setup!$A$46,$B86)),46,0)))</f>
        <v/>
      </c>
      <c r="DC86" s="9" t="str">
        <f aca="false">IF($B86="","",IF(Setup!$A$47="",0,IF(ISNUMBER(SEARCH(Setup!$A$47,$B86)),47,0)))</f>
        <v/>
      </c>
      <c r="DD86" s="9" t="str">
        <f aca="false">IF($B86="","",IF(Setup!$A$48="",0,IF(ISNUMBER(SEARCH(Setup!$A$48,$B86)),48,0)))</f>
        <v/>
      </c>
      <c r="DE86" s="9" t="str">
        <f aca="false">IF($B86="","",IF(Setup!$A$49="",0,IF(ISNUMBER(SEARCH(Setup!$A$49,$B86)),49,0)))</f>
        <v/>
      </c>
      <c r="DF86" s="9" t="e">
        <f aca="false">IF($B86="",NA(),$A86)</f>
        <v>#N/A</v>
      </c>
      <c r="DG86" s="9" t="e">
        <f aca="false">IF($BI86="",NA(),$BI86)</f>
        <v>#N/A</v>
      </c>
      <c r="DH86" s="9" t="e">
        <f aca="false">IF($N86="",NA(),$N86)</f>
        <v>#N/A</v>
      </c>
      <c r="DI86" s="9" t="e">
        <f aca="false">IF(AND($D86="Drift",$N86&lt;&gt;""),$N86,NA())</f>
        <v>#N/A</v>
      </c>
      <c r="DJ86" s="9" t="str">
        <f aca="false">IF(AND($D86="Drift",$N86&lt;&gt;""),$N86,"")</f>
        <v/>
      </c>
      <c r="DK86" s="9" t="str">
        <f aca="false">IF($DJ86="","",$A86)</f>
        <v/>
      </c>
      <c r="DL86" s="9" t="e">
        <f aca="false">IF($AN86="",NA(),$AM86)</f>
        <v>#N/A</v>
      </c>
      <c r="DM86" s="9" t="e">
        <f aca="false">IF($AN86="",NA(),$AN86)</f>
        <v>#N/A</v>
      </c>
      <c r="DN86" s="9" t="e">
        <f aca="false">IF(AND($D86="Sample",$L86&lt;&gt;""),$L86,NA())</f>
        <v>#N/A</v>
      </c>
      <c r="DO86" s="9" t="e">
        <f aca="false">IF(AND($D86="Sample",$L86&lt;&gt;"",Fits!$B$98&lt;&gt;""),Fits!$B$98,NA())</f>
        <v>#N/A</v>
      </c>
      <c r="DP86" s="9" t="e">
        <f aca="false">IF($AS86="",NA(),$AS86)</f>
        <v>#N/A</v>
      </c>
      <c r="DQ86" s="9" t="e">
        <f aca="false">IF(AND($D86="Drift",$AS86="",$X86&lt;&gt;""),$X86,NA())</f>
        <v>#N/A</v>
      </c>
      <c r="DR86" s="9" t="e">
        <f aca="false">IF(AND($D86="Drift",$Z86&lt;&gt;""),$Z86,NA())</f>
        <v>#N/A</v>
      </c>
      <c r="DS86" s="9" t="e">
        <f aca="false">IF(AND(OR($D86="Sample",$D86="Check"),$AA86&lt;&gt;""),$AA86,NA())</f>
        <v>#N/A</v>
      </c>
      <c r="DT86" s="9" t="e">
        <f aca="false">IF(OR($B86="",Fits!$B$138=""),NA(),Fits!$B$138)</f>
        <v>#N/A</v>
      </c>
      <c r="DU86" s="9" t="e">
        <f aca="false">IF(OR($B86="",Fits!$B$139=""),NA(),Fits!$B$139)</f>
        <v>#N/A</v>
      </c>
      <c r="DV86" s="9" t="e">
        <f aca="false">IF($BT86="",NA(),$BT86)</f>
        <v>#N/A</v>
      </c>
      <c r="DW86" s="9" t="e">
        <f aca="false">IF($AP86="",NA(),$AO86)</f>
        <v>#N/A</v>
      </c>
      <c r="DX86" s="9" t="e">
        <f aca="false">IF($AP86="",NA(),$AP86)</f>
        <v>#N/A</v>
      </c>
      <c r="DY86" s="9" t="e">
        <f aca="false">IF(AND($D86="Sample",$P86&lt;&gt;""),$P86,NA())</f>
        <v>#N/A</v>
      </c>
      <c r="DZ86" s="9" t="e">
        <f aca="false">IF(AND($D86="Sample",$P86&lt;&gt;"",Fits!$B$105&lt;&gt;""),Fits!$B$105,NA())</f>
        <v>#N/A</v>
      </c>
      <c r="EA86" s="9" t="e">
        <f aca="false">IF($AT86="",NA(),$AT86)</f>
        <v>#N/A</v>
      </c>
      <c r="EB86" s="9" t="e">
        <f aca="false">IF(AND($D86="Drift",$AT86="",$AC86&lt;&gt;""),$AC86,NA())</f>
        <v>#N/A</v>
      </c>
      <c r="EC86" s="9" t="e">
        <f aca="false">IF(AND($D86="Drift",$AE86&lt;&gt;""),$AE86,NA())</f>
        <v>#N/A</v>
      </c>
      <c r="ED86" s="9" t="e">
        <f aca="false">IF(AND(OR($D86="Sample",$D86="Check"),$AF86&lt;&gt;""),$AF86,NA())</f>
        <v>#N/A</v>
      </c>
      <c r="EE86" s="9" t="e">
        <f aca="false">IF(OR($B86="",Fits!$B$158=""),NA(),Fits!$B$158)</f>
        <v>#N/A</v>
      </c>
      <c r="EF86" s="9" t="e">
        <f aca="false">IF(OR($B86="",Fits!$B$159=""),NA(),Fits!$B$159)</f>
        <v>#N/A</v>
      </c>
      <c r="EG86" s="9" t="e">
        <f aca="false">IF($BW86="",NA(),$BW86)</f>
        <v>#N/A</v>
      </c>
      <c r="EH86" s="9" t="e">
        <f aca="false">IF(AND($EN86=1,ISNUMBER($N86)),$N86,NA())</f>
        <v>#N/A</v>
      </c>
      <c r="EI86" s="9" t="str">
        <f aca="false">IF($B86="","",$A86)</f>
        <v/>
      </c>
      <c r="EJ86" s="9" t="n">
        <f aca="false">IF(OR(AND(ISNUMBER($L86),Fits!$B$97&gt;0,$L86&gt;Fits!$B$97),AND(ISNUMBER($P86),Fits!$B$104&gt;0,$P86&gt;Fits!$B$104)),1,0)</f>
        <v>0</v>
      </c>
      <c r="EK86" s="9" t="n">
        <f aca="false">IF(OR($EJ85=1,$EJ84=1),1,0)</f>
        <v>0</v>
      </c>
      <c r="EL86" s="22" t="n">
        <f aca="false">IF(AND($EK86=0,ISNUMBER($N86)),$N86,$EL85)</f>
        <v>25.7</v>
      </c>
      <c r="EM86" s="9" t="str">
        <f aca="false">IF(AND($EK86=1,ISNUMBER($N86),ISNUMBER($EL86)),$N86-$EL86,"")</f>
        <v/>
      </c>
      <c r="EN86" s="9" t="n">
        <f aca="false">IF(Setup!$B$28="",0,IF(ISNUMBER($EM86),IF($EM86&gt;Setup!$B$28,1,0),0))</f>
        <v>0</v>
      </c>
      <c r="EO86" s="9" t="str">
        <f aca="false">IF($EN86=1,COUNTIF($EN$6:$EN86,1),"")</f>
        <v/>
      </c>
      <c r="EP86" s="9" t="n">
        <f aca="false">IF(AND($EJ85=1,OR($D86="Sample",$D86="Check")),1,0)</f>
        <v>0</v>
      </c>
      <c r="EQ86" s="9" t="str">
        <f aca="false">IF(ISNUMBER($BI86),IF(COUNT($BI$6:$BI86)&lt;=5,$BI86,""),"")</f>
        <v/>
      </c>
      <c r="ER86" s="9" t="n">
        <f aca="false">IF(OR(NOT(ISNUMBER($BJ86)),$EK86=1),$ER85,IF($BJ86&lt;=Setup!$B$26,IF($CP85=0,$A86,$ER85),""))</f>
        <v>27</v>
      </c>
    </row>
    <row r="87" customFormat="false" ht="15" hidden="false" customHeight="false" outlineLevel="0" collapsed="false">
      <c r="A87" s="8" t="n">
        <v>82</v>
      </c>
      <c r="B87" s="8" t="str">
        <f aca="false">IFERROR(INDEX(Raw!$B$2:$B$1001,MATCH($A87,Raw!$A$2:$A$1001,0)),"")</f>
        <v/>
      </c>
      <c r="C87" s="9" t="str">
        <f aca="false">IF($B87="","",MAX($CS87:$DE87))</f>
        <v/>
      </c>
      <c r="D87" s="8" t="str">
        <f aca="false">IF($B87="","",IF($C87=0,"Sample",INDEX(Setup!$B$37:$B$49,$C87-36)))</f>
        <v/>
      </c>
      <c r="E87" s="16" t="str">
        <f aca="false">IF($B87="","",IFERROR(IF(INDEX(Raw!$E$2:$E$1001,MATCH($A87,Raw!$A$2:$A$1001,0))=0,"",INDEX(Raw!$E$2:$E$1001,MATCH($A87,Raw!$A$2:$A$1001,0))),""))</f>
        <v/>
      </c>
      <c r="F87" s="18"/>
      <c r="G87" s="16" t="str">
        <f aca="false">IF($B87="","",IF($F87&lt;&gt;"",$F87,IF($E87="","",$E87)))</f>
        <v/>
      </c>
      <c r="H87" s="9" t="str">
        <f aca="false">IF($B87="","",SUMPRODUCT(MAX((Raw!$A$2:$A$1001=$A87)*(Raw!$R$2:$R$1001="N")*Raw!$D$2:$D$1001)))</f>
        <v/>
      </c>
      <c r="I87" s="9" t="str">
        <f aca="false">IF(OR($H87="",$H87=0),"",$A87&amp;"|N|"&amp;$H87)</f>
        <v/>
      </c>
      <c r="J87" s="9" t="str">
        <f aca="false">IF($B87="","",SUMPRODUCT(MIN((Raw!$A$2:$A$1001=$A87)*(Raw!$R$2:$R$1001="C")*Raw!$D$2:$D$1001+(1-(Raw!$A$2:$A$1001=$A87)*(Raw!$R$2:$R$1001="C"))*9999)))</f>
        <v/>
      </c>
      <c r="K87" s="9" t="str">
        <f aca="false">IF(OR($J87="",$J87=0,$J87=9999),"",$A87&amp;"|C|"&amp;$J87)</f>
        <v/>
      </c>
      <c r="L87" s="16" t="str">
        <f aca="false">IF($I87="","",IF(INDEX(Raw!$I$2:$I$1001,MATCH($I87,Raw!$S$2:$S$1001,0))&lt;&gt;0,"",INDEX(Raw!$H$2:$H$1001,MATCH($I87,Raw!$S$2:$S$1001,0))))</f>
        <v/>
      </c>
      <c r="M87" s="19" t="str">
        <f aca="false">IF($I87="","",IF(INDEX(Raw!$I$2:$I$1001,MATCH($I87,Raw!$S$2:$S$1001,0))&lt;&gt;0,"",INDEX(Raw!$F$2:$F$1001,MATCH($I87,Raw!$S$2:$S$1001,0))))</f>
        <v/>
      </c>
      <c r="N87" s="20" t="str">
        <f aca="false">IF($I87="","",IF(INDEX(Raw!$I$2:$I$1001,MATCH($I87,Raw!$S$2:$S$1001,0))&lt;&gt;0,"",INDEX(Raw!$G$2:$G$1001,MATCH($I87,Raw!$S$2:$S$1001,0))))</f>
        <v/>
      </c>
      <c r="O87" s="16" t="str">
        <f aca="false">IF($I87="","",IF(INDEX(Raw!$I$2:$I$1001,MATCH($I87,Raw!$S$2:$S$1001,0))&lt;&gt;0,"",INDEX(Raw!$N$2:$N$1001,MATCH($I87,Raw!$S$2:$S$1001,0))))</f>
        <v/>
      </c>
      <c r="P87" s="16" t="str">
        <f aca="false">IF($K87="","",IF(INDEX(Raw!$I$2:$I$1001,MATCH($K87,Raw!$S$2:$S$1001,0))&lt;&gt;0,"",INDEX(Raw!$K$2:$K$1001,MATCH($K87,Raw!$S$2:$S$1001,0))))</f>
        <v/>
      </c>
      <c r="Q87" s="19" t="str">
        <f aca="false">IF($K87="","",IF(INDEX(Raw!$I$2:$I$1001,MATCH($K87,Raw!$S$2:$S$1001,0))&lt;&gt;0,"",INDEX(Raw!$J$2:$J$1001,MATCH($K87,Raw!$S$2:$S$1001,0))))</f>
        <v/>
      </c>
      <c r="R87" s="16" t="str">
        <f aca="false">IF($K87="","",IF(INDEX(Raw!$I$2:$I$1001,MATCH($K87,Raw!$S$2:$S$1001,0))&lt;&gt;0,"",INDEX(Raw!$O$2:$O$1001,MATCH($K87,Raw!$S$2:$S$1001,0))))</f>
        <v/>
      </c>
      <c r="S87" s="21" t="str">
        <f aca="false">IF($B87="","",IF($C87=0,"",IF(INDEX(Setup!$D$37:$D$49,$C87-36)="","",INDEX(Setup!$D$37:$D$49,$C87-36))))</f>
        <v/>
      </c>
      <c r="T87" s="21" t="str">
        <f aca="false">IF($B87="","",IF($C87=0,"",IF(INDEX(Setup!$C$37:$C$49,$C87-36)="","",INDEX(Setup!$C$37:$C$49,$C87-36))))</f>
        <v/>
      </c>
      <c r="U87" s="21" t="str">
        <f aca="false">IF($B87="","",IF($C87=0,"",IF(INDEX(Setup!$F$37:$F$49,$C87-36)="","",INDEX(Setup!$F$37:$F$49,$C87-36))))</f>
        <v/>
      </c>
      <c r="V87" s="21" t="str">
        <f aca="false">IF($B87="","",IF($C87=0,"",IF(INDEX(Setup!$E$37:$E$49,$C87-36)="","",INDEX(Setup!$E$37:$E$49,$C87-36))))</f>
        <v/>
      </c>
      <c r="W87" s="16" t="str">
        <f aca="false">IF($O87="","",IF(OR(Fits!$C$5&lt;&gt;"Yes",$D87="Blank",$L87&lt;=Fits!$B$6),$O87,($L87*$O87-Fits!$B$6*Fits!$B$7)/($L87-Fits!$B$6)))</f>
        <v/>
      </c>
      <c r="X87" s="16" t="str">
        <f aca="false">IF($W87="","",$W87-Fits!$B$20*($L87-Fits!$B$16))</f>
        <v/>
      </c>
      <c r="Y87" s="22" t="str">
        <f aca="false">IF($W87="","",IF(OR(Fits!$B$38="Row",$BI87=""),$A87,$BI87))</f>
        <v/>
      </c>
      <c r="Z87" s="16" t="str">
        <f aca="false">IF($X87="","",$X87-Fits!$B$39*($Y87-Fits!$B$40))</f>
        <v/>
      </c>
      <c r="AA87" s="23" t="str">
        <f aca="false">IF(OR($Z87="",Fits!$B$55&lt;2),"",Fits!$B$56*$Z87+Fits!$B$57)</f>
        <v/>
      </c>
      <c r="AB87" s="16" t="str">
        <f aca="false">IF($R87="","",IF(OR(Fits!$C$9&lt;&gt;"Yes",$D87="Blank",$P87&lt;=Fits!$B$10),$R87,($P87*$R87-Fits!$B$10*Fits!$B$11)/($P87-Fits!$B$10)))</f>
        <v/>
      </c>
      <c r="AC87" s="16" t="str">
        <f aca="false">IF($AB87="","",$AB87-Fits!$B$28*($P87-Fits!$B$24))</f>
        <v/>
      </c>
      <c r="AD87" s="22" t="str">
        <f aca="false">IF($AB87="","",IF(OR(Fits!$B$50="Row",$BI87=""),$A87,$BI87))</f>
        <v/>
      </c>
      <c r="AE87" s="16" t="str">
        <f aca="false">IF($AC87="","",$AC87-Fits!$B$51*($AD87-Fits!$B$52))</f>
        <v/>
      </c>
      <c r="AF87" s="23" t="str">
        <f aca="false">IF(OR($AE87="",Fits!$B$62&lt;2),"",Fits!$B$63*$AE87+Fits!$B$64)</f>
        <v/>
      </c>
      <c r="AG87" s="21" t="str">
        <f aca="false">IF(OR($L87="",Fits!$B$69&lt;3),"",($L87-Fits!$B$71)/Fits!$B$70)</f>
        <v/>
      </c>
      <c r="AH87" s="21" t="str">
        <f aca="false">IF(OR($P87="",Fits!$B$75&lt;3),"",($P87-Fits!$B$77)/Fits!$B$76)</f>
        <v/>
      </c>
      <c r="AI87" s="23" t="str">
        <f aca="false">IF(OR($AG87="",$G87="",$G87=0),"",$AG87/($G87*1000)*100)</f>
        <v/>
      </c>
      <c r="AJ87" s="23" t="str">
        <f aca="false">IF(OR($AH87="",$G87="",$G87=0),"",$AH87/($G87*1000)*100)</f>
        <v/>
      </c>
      <c r="AK87" s="23" t="str">
        <f aca="false">IF(OR($AG87="",$AH87="",$AG87&lt;=0),"",($AH87/Setup!$B$52)/($AG87/Setup!$B$53))</f>
        <v/>
      </c>
      <c r="AL87" s="23" t="str">
        <f aca="false">IF(OR($AG87="",$AH87="",$AG87&lt;=0),"",$AH87/$AG87)</f>
        <v/>
      </c>
      <c r="AM87" s="9" t="str">
        <f aca="false">IF($D87="Linearity",IF($L87="","",$L87),"")</f>
        <v/>
      </c>
      <c r="AN87" s="9" t="str">
        <f aca="false">IF($D87="Linearity",IF($W87="","",$W87),"")</f>
        <v/>
      </c>
      <c r="AO87" s="9" t="str">
        <f aca="false">IF($D87="Linearity",IF($P87="","",$P87),"")</f>
        <v/>
      </c>
      <c r="AP87" s="9" t="str">
        <f aca="false">IF($D87="Linearity",IF($AB87="","",$AB87),"")</f>
        <v/>
      </c>
      <c r="AQ87" s="9" t="str">
        <f aca="false">IF($D87="Drift",IF($A87&lt;IF(Setup!$B$14="",0,Setup!$B$14),"",$A87),"")</f>
        <v/>
      </c>
      <c r="AR87" s="9" t="str">
        <f aca="false">IF($D87="Drift",IF($A87&lt;IF(Setup!$B$14="",0,Setup!$B$14),"",IF($BI87="","",$BI87)),"")</f>
        <v/>
      </c>
      <c r="AS87" s="9" t="str">
        <f aca="false">IF($D87="Drift",IF($A87&lt;IF(Setup!$B$14="",0,Setup!$B$14),"",IF(OR($X87="",$BX87=1),"",$X87)),"")</f>
        <v/>
      </c>
      <c r="AT87" s="9" t="str">
        <f aca="false">IF($D87="Drift",IF($A87&lt;IF(Setup!$B$14="",0,Setup!$B$14),"",IF(OR($AC87="",$BY87=1),"",$AC87)),"")</f>
        <v/>
      </c>
      <c r="AU87" s="9" t="str">
        <f aca="false">IF($D87="Anchor",IF(OR($Z87="",$S87=""),"",$Z87),"")</f>
        <v/>
      </c>
      <c r="AV87" s="9" t="str">
        <f aca="false">IF($D87="Anchor",IF(OR($Z87="",$S87=""),"",$S87),"")</f>
        <v/>
      </c>
      <c r="AW87" s="9" t="str">
        <f aca="false">IF($D87="Anchor",IF(OR($AE87="",$T87=""),"",$AE87),"")</f>
        <v/>
      </c>
      <c r="AX87" s="9" t="str">
        <f aca="false">IF($D87="Anchor",IF(OR($AE87="",$T87=""),"",$T87),"")</f>
        <v/>
      </c>
      <c r="AY87" s="9" t="str">
        <f aca="false">IF(OR($D87="Blank",$D87="Exclude",$D87="Sample",$D87="",$G87="",$U87="",$L87=""),"",$G87*1000*$U87/100)</f>
        <v/>
      </c>
      <c r="AZ87" s="9" t="str">
        <f aca="false">IF($AY87="","",$L87)</f>
        <v/>
      </c>
      <c r="BA87" s="9" t="str">
        <f aca="false">IF(OR($D87="Blank",$D87="Exclude",$D87="Sample",$D87="",$G87="",$V87="",$P87=""),"",$G87*1000*$V87/100)</f>
        <v/>
      </c>
      <c r="BB87" s="9" t="str">
        <f aca="false">IF($BA87="","",$P87)</f>
        <v/>
      </c>
      <c r="BC87" s="9" t="str">
        <f aca="false">IF(AND($D87="Blank",$L87&lt;&gt;""),$O87,"")</f>
        <v/>
      </c>
      <c r="BD87" s="9" t="str">
        <f aca="false">IF($BC87="","",$L87)</f>
        <v/>
      </c>
      <c r="BE87" s="9" t="str">
        <f aca="false">IF(AND($D87="Blank",$P87&lt;&gt;""),$R87,"")</f>
        <v/>
      </c>
      <c r="BF87" s="9" t="str">
        <f aca="false">IF($BE87="","",$P87)</f>
        <v/>
      </c>
      <c r="BG87" s="9" t="str">
        <f aca="false">IF(AND($D87="Drift",$BX87&lt;&gt;1),IF($AA87="","",$AA87),"")</f>
        <v/>
      </c>
      <c r="BH87" s="9" t="str">
        <f aca="false">IF(AND($D87="Drift",$BY87&lt;&gt;1),IF($AF87="","",$AF87),"")</f>
        <v/>
      </c>
      <c r="BI87" s="20" t="str">
        <f aca="false">IF($B87="","",IFERROR(INDEX(Raw!$G$2:$G$1001,MATCH($A87&amp;"|N|"&amp;SUMPRODUCT(MAX((Raw!$A$2:$A$1001=$A87)*(Raw!$R$2:$R$1001="N")*(Raw!$I$2:$I$1001=1)*Raw!$D$2:$D$1001)),Raw!$S$2:$S$1001,0)),""))</f>
        <v/>
      </c>
      <c r="BJ87" s="21" t="str">
        <f aca="false">IF(OR($BI87="",Fits!$B$85&lt;=0),"",($BI87-Fits!$B$83)/Fits!$B$85)</f>
        <v/>
      </c>
      <c r="BK87" s="9" t="str">
        <f aca="false">IF($AS87="","",IF($A87&gt;=Fits!$B$86,"",$A87))</f>
        <v/>
      </c>
      <c r="BL87" s="9" t="str">
        <f aca="false">IF($BK87="","",$X87)</f>
        <v/>
      </c>
      <c r="BM87" s="9" t="str">
        <f aca="false">IF($AS87="","",IF($A87&lt;Fits!$B$86,"",$A87))</f>
        <v/>
      </c>
      <c r="BN87" s="9" t="str">
        <f aca="false">IF($BM87="","",$X87)</f>
        <v/>
      </c>
      <c r="BO87" s="9" t="str">
        <f aca="false">IF(AND($D87="Drift",$BX87&lt;&gt;1),IF($O87="","",$O87),"")</f>
        <v/>
      </c>
      <c r="BP87" s="9" t="str">
        <f aca="false">IF(AND($D87="Drift",$BX87&lt;&gt;1),IF($W87="","",$W87),"")</f>
        <v/>
      </c>
      <c r="BQ87" s="9" t="str">
        <f aca="false">IF(AND($D87="Drift",$BX87&lt;&gt;1),IF($X87="","",$X87),"")</f>
        <v/>
      </c>
      <c r="BR87" s="9" t="str">
        <f aca="false">IF(AND($D87="Drift",$BX87&lt;&gt;1),IF($Z87="","",$Z87),"")</f>
        <v/>
      </c>
      <c r="BS87" s="9" t="str">
        <f aca="false">IF(OR($B87="",$H87=""),"",SUMPRODUCT(MIN((Raw!$A$2:$A$1001=$A87)*(Raw!$R$2:$R$1001="N")*(Raw!$I$2:$I$1001=0)*(Raw!$D$2:$D$1001&lt;$H87)*Raw!$D$2:$D$1001+(1-(Raw!$A$2:$A$1001=$A87)*(Raw!$R$2:$R$1001="N")*(Raw!$I$2:$I$1001=0)*(Raw!$D$2:$D$1001&lt;$H87))*9999)))</f>
        <v/>
      </c>
      <c r="BT87" s="16" t="str">
        <f aca="false">IF(OR($BS87="",$BS87=9999,$BS87=0),"",IFERROR(INDEX(Raw!$N$2:$N$1001,MATCH($A87&amp;"|N|"&amp;$BS87,Raw!$S$2:$S$1001,0)),""))</f>
        <v/>
      </c>
      <c r="BU87" s="9" t="str">
        <f aca="false">IF($B87="","",SUMPRODUCT(MIN((Raw!$A$2:$A$1001=$A87)*(Raw!$R$2:$R$1001="C")*(Raw!$I$2:$I$1001=1)*Raw!$D$2:$D$1001+(1-(Raw!$A$2:$A$1001=$A87)*(Raw!$R$2:$R$1001="C")*(Raw!$I$2:$I$1001=1))*9999)))</f>
        <v/>
      </c>
      <c r="BV87" s="9" t="str">
        <f aca="false">IF(OR($BU87="",$BU87=9999),"",SUMPRODUCT(MIN((Raw!$A$2:$A$1001=$A87)*(Raw!$R$2:$R$1001="C")*(Raw!$I$2:$I$1001=0)*(Raw!$D$2:$D$1001&gt;$BU87)*Raw!$D$2:$D$1001+(1-(Raw!$A$2:$A$1001=$A87)*(Raw!$R$2:$R$1001="C")*(Raw!$I$2:$I$1001=0)*(Raw!$D$2:$D$1001&gt;$BU87))*9999)))</f>
        <v/>
      </c>
      <c r="BW87" s="16" t="str">
        <f aca="false">IF(OR($BV87="",$BV87=9999,$BV87=0),"",IFERROR(INDEX(Raw!$O$2:$O$1001,MATCH($A87&amp;"|C|"&amp;$BV87,Raw!$S$2:$S$1001,0)),""))</f>
        <v/>
      </c>
      <c r="BX87" s="9" t="str">
        <f aca="false">IF($B87="","",IF(ISNUMBER(SEARCH(","&amp;$A87&amp;",",","&amp;SUBSTITUTE(Setup!$B$16," ","")&amp;",")),1,0))</f>
        <v/>
      </c>
      <c r="BY87" s="9" t="str">
        <f aca="false">IF($B87="","",IF(ISNUMBER(SEARCH(","&amp;$A87&amp;",",","&amp;SUBSTITUTE(Setup!$B$17," ","")&amp;",")),1,0))</f>
        <v/>
      </c>
      <c r="BZ87" s="22" t="str">
        <f aca="false">IF($AS87="","",IF(Fits!$B$38="Row",$AQ87,IF($AR87="","",$AR87)))</f>
        <v/>
      </c>
      <c r="CA87" s="22" t="str">
        <f aca="false">IF($AT87="","",IF(Fits!$B$50="Row",$AQ87,IF($AR87="","",$AR87)))</f>
        <v/>
      </c>
      <c r="CB87" s="20" t="str">
        <f aca="false">IF(OR($D87&lt;&gt;"Drift",$X87="",$A87&lt;IF(Setup!$B$14="",0,Setup!$B$14),Fits!$B$107&lt;3,Fits!$B$110="",Fits!$B$109=0,IF(Fits!$B$38="Row",$AQ87,$AR87)=""),"",IF($BX87=1,IF(OR(Fits!$B$111="",Fits!$B$111=0),"",($X87-(IF(Fits!$B$38="Row",Fits!$B$32,Fits!$B$35)*IF(Fits!$B$38="Row",$AQ87,$AR87)+Fits!$B$110))/(Fits!$B$111*SQRT(1+(1/Fits!$B$107+(IF(Fits!$B$38="Row",$AQ87,$AR87)-Fits!$B$108)^2/Fits!$B$109)))),IF(OR(Fits!$B$107&lt;4,(1/Fits!$B$107+(IF(Fits!$B$38="Row",$AQ87,$AR87)-Fits!$B$108)^2/Fits!$B$109)&gt;=1),"",IF((Fits!$B$116-($X87-(IF(Fits!$B$38="Row",Fits!$B$32,Fits!$B$35)*IF(Fits!$B$38="Row",$AQ87,$AR87)+Fits!$B$110))^2/(1-(1/Fits!$B$107+(IF(Fits!$B$38="Row",$AQ87,$AR87)-Fits!$B$108)^2/Fits!$B$109)))&lt;=0,"",($X87-(IF(Fits!$B$38="Row",Fits!$B$32,Fits!$B$35)*IF(Fits!$B$38="Row",$AQ87,$AR87)+Fits!$B$110))/(SQRT((Fits!$B$116-($X87-(IF(Fits!$B$38="Row",Fits!$B$32,Fits!$B$35)*IF(Fits!$B$38="Row",$AQ87,$AR87)+Fits!$B$110))^2/(1-(1/Fits!$B$107+(IF(Fits!$B$38="Row",$AQ87,$AR87)-Fits!$B$108)^2/Fits!$B$109)))/(Fits!$B$107-3))*SQRT(1-(1/Fits!$B$107+(IF(Fits!$B$38="Row",$AQ87,$AR87)-Fits!$B$108)^2/Fits!$B$109)))))))</f>
        <v/>
      </c>
      <c r="CC87" s="20" t="str">
        <f aca="false">IF(OR($D87&lt;&gt;"Drift",$AC87="",$A87&lt;IF(Setup!$B$14="",0,Setup!$B$14),Fits!$B$120&lt;3,Fits!$B$123="",Fits!$B$122=0,IF(Fits!$B$50="Row",$AQ87,$AR87)=""),"",IF($BY87=1,IF(OR(Fits!$B$124="",Fits!$B$124=0),"",($AC87-(IF(Fits!$B$50="Row",Fits!$B$44,Fits!$B$47)*IF(Fits!$B$50="Row",$AQ87,$AR87)+Fits!$B$123))/(Fits!$B$124*SQRT(1+(1/Fits!$B$120+(IF(Fits!$B$50="Row",$AQ87,$AR87)-Fits!$B$121)^2/Fits!$B$122)))),IF(OR(Fits!$B$120&lt;4,(1/Fits!$B$120+(IF(Fits!$B$50="Row",$AQ87,$AR87)-Fits!$B$121)^2/Fits!$B$122)&gt;=1),"",IF((Fits!$B$129-($AC87-(IF(Fits!$B$50="Row",Fits!$B$44,Fits!$B$47)*IF(Fits!$B$50="Row",$AQ87,$AR87)+Fits!$B$123))^2/(1-(1/Fits!$B$120+(IF(Fits!$B$50="Row",$AQ87,$AR87)-Fits!$B$121)^2/Fits!$B$122)))&lt;=0,"",($AC87-(IF(Fits!$B$50="Row",Fits!$B$44,Fits!$B$47)*IF(Fits!$B$50="Row",$AQ87,$AR87)+Fits!$B$123))/(SQRT((Fits!$B$129-($AC87-(IF(Fits!$B$50="Row",Fits!$B$44,Fits!$B$47)*IF(Fits!$B$50="Row",$AQ87,$AR87)+Fits!$B$123))^2/(1-(1/Fits!$B$120+(IF(Fits!$B$50="Row",$AQ87,$AR87)-Fits!$B$121)^2/Fits!$B$122)))/(Fits!$B$120-3))*SQRT(1-(1/Fits!$B$120+(IF(Fits!$B$50="Row",$AQ87,$AR87)-Fits!$B$121)^2/Fits!$B$122)))))))</f>
        <v/>
      </c>
      <c r="CD87" s="9" t="str">
        <f aca="false">IF($AU87="","",1)</f>
        <v/>
      </c>
      <c r="CE87" s="24" t="str">
        <f aca="false">IF($AU87="","",$AU87-Fits!$B$133)</f>
        <v/>
      </c>
      <c r="CF87" s="24" t="str">
        <f aca="false">IF($AU87="","",($AV87-(Fits!$B$56*$AU87+Fits!$B$57))-Fits!$B$56*($AU87-Fits!$B$133))</f>
        <v/>
      </c>
      <c r="CG87" s="25" t="str">
        <f aca="false">IF($AU87="","",$AU87^2)</f>
        <v/>
      </c>
      <c r="CH87" s="9" t="str">
        <f aca="false">IF($AW87="","",1)</f>
        <v/>
      </c>
      <c r="CI87" s="24" t="str">
        <f aca="false">IF($AW87="","",$AW87-Fits!$B$153)</f>
        <v/>
      </c>
      <c r="CJ87" s="24" t="str">
        <f aca="false">IF($AW87="","",($AX87-(Fits!$B$63*$AW87+Fits!$B$64))-Fits!$B$63*($AW87-Fits!$B$153))</f>
        <v/>
      </c>
      <c r="CK87" s="25" t="str">
        <f aca="false">IF($AW87="","",$AW87^2)</f>
        <v/>
      </c>
      <c r="CL87" s="26" t="str">
        <f aca="false">IF(OR($Z87="",Fits!$B$55&lt;3,Fits!$B$133="",Fits!$B$134="",Fits!$B$134=0,Fits!$B$136=""),"",SQRT((Fits!$B$136*Fits!$B$56)^2+SUMPRODUCT((Fits!$J$163:$J$175*(Fits!$B$163:$B$175/Fits!$B$55+Fits!$H$163:$H$175*($Z87-Fits!$B$133)/Fits!$B$134))^2)+SUMPRODUCT((Fits!$G$163:$G$175*(($Z87-Fits!$B$133)*Fits!$I$163:$I$175/Fits!$B$134-Fits!$B$163:$B$175*Fits!$B$56/Fits!$B$55))^2)))</f>
        <v/>
      </c>
      <c r="CM87" s="26" t="str">
        <f aca="false">IF($CL87="","",Setup!$B$32*$CL87)</f>
        <v/>
      </c>
      <c r="CN87" s="26" t="str">
        <f aca="false">IF(OR($AE87="",Fits!$B$62&lt;3,Fits!$B$153="",Fits!$B$154="",Fits!$B$154=0,Fits!$B$156=""),"",SQRT((Fits!$B$156*Fits!$B$63)^2+SUMPRODUCT((Fits!$J$183:$J$195*(Fits!$B$183:$B$195/Fits!$B$62+Fits!$H$183:$H$195*($AE87-Fits!$B$153)/Fits!$B$154))^2)+SUMPRODUCT((Fits!$G$183:$G$195*(($AE87-Fits!$B$153)*Fits!$I$183:$I$195/Fits!$B$154-Fits!$B$183:$B$195*Fits!$B$63/Fits!$B$62))^2)))</f>
        <v/>
      </c>
      <c r="CO87" s="26" t="str">
        <f aca="false">IF($CN87="","",Setup!$B$32*$CN87)</f>
        <v/>
      </c>
      <c r="CP87" s="9" t="n">
        <f aca="false">IF(OR(NOT(ISNUMBER($BJ87)),$EK87=1),$CP86,IF($BJ87&lt;=Setup!$B$26,$CP86+1,0))</f>
        <v>26</v>
      </c>
      <c r="CQ87" s="9" t="str">
        <f aca="false">IF($BT87="","",$A87)</f>
        <v/>
      </c>
      <c r="CR87" s="9" t="str">
        <f aca="false">IF($BW87="","",$A87)</f>
        <v/>
      </c>
      <c r="CS87" s="9" t="str">
        <f aca="false">IF($B87="","",IF(Setup!$A$37="",0,IF(ISNUMBER(SEARCH(Setup!$A$37,$B87)),37,0)))</f>
        <v/>
      </c>
      <c r="CT87" s="9" t="str">
        <f aca="false">IF($B87="","",IF(Setup!$A$38="",0,IF(ISNUMBER(SEARCH(Setup!$A$38,$B87)),38,0)))</f>
        <v/>
      </c>
      <c r="CU87" s="9" t="str">
        <f aca="false">IF($B87="","",IF(Setup!$A$39="",0,IF(ISNUMBER(SEARCH(Setup!$A$39,$B87)),39,0)))</f>
        <v/>
      </c>
      <c r="CV87" s="9" t="str">
        <f aca="false">IF($B87="","",IF(Setup!$A$40="",0,IF(ISNUMBER(SEARCH(Setup!$A$40,$B87)),40,0)))</f>
        <v/>
      </c>
      <c r="CW87" s="9" t="str">
        <f aca="false">IF($B87="","",IF(Setup!$A$41="",0,IF(ISNUMBER(SEARCH(Setup!$A$41,$B87)),41,0)))</f>
        <v/>
      </c>
      <c r="CX87" s="9" t="str">
        <f aca="false">IF($B87="","",IF(Setup!$A$42="",0,IF(ISNUMBER(SEARCH(Setup!$A$42,$B87)),42,0)))</f>
        <v/>
      </c>
      <c r="CY87" s="9" t="str">
        <f aca="false">IF($B87="","",IF(Setup!$A$43="",0,IF(ISNUMBER(SEARCH(Setup!$A$43,$B87)),43,0)))</f>
        <v/>
      </c>
      <c r="CZ87" s="9" t="str">
        <f aca="false">IF($B87="","",IF(Setup!$A$44="",0,IF(ISNUMBER(SEARCH(Setup!$A$44,$B87)),44,0)))</f>
        <v/>
      </c>
      <c r="DA87" s="9" t="str">
        <f aca="false">IF($B87="","",IF(Setup!$A$45="",0,IF(ISNUMBER(SEARCH(Setup!$A$45,$B87)),45,0)))</f>
        <v/>
      </c>
      <c r="DB87" s="9" t="str">
        <f aca="false">IF($B87="","",IF(Setup!$A$46="",0,IF(ISNUMBER(SEARCH(Setup!$A$46,$B87)),46,0)))</f>
        <v/>
      </c>
      <c r="DC87" s="9" t="str">
        <f aca="false">IF($B87="","",IF(Setup!$A$47="",0,IF(ISNUMBER(SEARCH(Setup!$A$47,$B87)),47,0)))</f>
        <v/>
      </c>
      <c r="DD87" s="9" t="str">
        <f aca="false">IF($B87="","",IF(Setup!$A$48="",0,IF(ISNUMBER(SEARCH(Setup!$A$48,$B87)),48,0)))</f>
        <v/>
      </c>
      <c r="DE87" s="9" t="str">
        <f aca="false">IF($B87="","",IF(Setup!$A$49="",0,IF(ISNUMBER(SEARCH(Setup!$A$49,$B87)),49,0)))</f>
        <v/>
      </c>
      <c r="DF87" s="9" t="e">
        <f aca="false">IF($B87="",NA(),$A87)</f>
        <v>#N/A</v>
      </c>
      <c r="DG87" s="9" t="e">
        <f aca="false">IF($BI87="",NA(),$BI87)</f>
        <v>#N/A</v>
      </c>
      <c r="DH87" s="9" t="e">
        <f aca="false">IF($N87="",NA(),$N87)</f>
        <v>#N/A</v>
      </c>
      <c r="DI87" s="9" t="e">
        <f aca="false">IF(AND($D87="Drift",$N87&lt;&gt;""),$N87,NA())</f>
        <v>#N/A</v>
      </c>
      <c r="DJ87" s="9" t="str">
        <f aca="false">IF(AND($D87="Drift",$N87&lt;&gt;""),$N87,"")</f>
        <v/>
      </c>
      <c r="DK87" s="9" t="str">
        <f aca="false">IF($DJ87="","",$A87)</f>
        <v/>
      </c>
      <c r="DL87" s="9" t="e">
        <f aca="false">IF($AN87="",NA(),$AM87)</f>
        <v>#N/A</v>
      </c>
      <c r="DM87" s="9" t="e">
        <f aca="false">IF($AN87="",NA(),$AN87)</f>
        <v>#N/A</v>
      </c>
      <c r="DN87" s="9" t="e">
        <f aca="false">IF(AND($D87="Sample",$L87&lt;&gt;""),$L87,NA())</f>
        <v>#N/A</v>
      </c>
      <c r="DO87" s="9" t="e">
        <f aca="false">IF(AND($D87="Sample",$L87&lt;&gt;"",Fits!$B$98&lt;&gt;""),Fits!$B$98,NA())</f>
        <v>#N/A</v>
      </c>
      <c r="DP87" s="9" t="e">
        <f aca="false">IF($AS87="",NA(),$AS87)</f>
        <v>#N/A</v>
      </c>
      <c r="DQ87" s="9" t="e">
        <f aca="false">IF(AND($D87="Drift",$AS87="",$X87&lt;&gt;""),$X87,NA())</f>
        <v>#N/A</v>
      </c>
      <c r="DR87" s="9" t="e">
        <f aca="false">IF(AND($D87="Drift",$Z87&lt;&gt;""),$Z87,NA())</f>
        <v>#N/A</v>
      </c>
      <c r="DS87" s="9" t="e">
        <f aca="false">IF(AND(OR($D87="Sample",$D87="Check"),$AA87&lt;&gt;""),$AA87,NA())</f>
        <v>#N/A</v>
      </c>
      <c r="DT87" s="9" t="e">
        <f aca="false">IF(OR($B87="",Fits!$B$138=""),NA(),Fits!$B$138)</f>
        <v>#N/A</v>
      </c>
      <c r="DU87" s="9" t="e">
        <f aca="false">IF(OR($B87="",Fits!$B$139=""),NA(),Fits!$B$139)</f>
        <v>#N/A</v>
      </c>
      <c r="DV87" s="9" t="e">
        <f aca="false">IF($BT87="",NA(),$BT87)</f>
        <v>#N/A</v>
      </c>
      <c r="DW87" s="9" t="e">
        <f aca="false">IF($AP87="",NA(),$AO87)</f>
        <v>#N/A</v>
      </c>
      <c r="DX87" s="9" t="e">
        <f aca="false">IF($AP87="",NA(),$AP87)</f>
        <v>#N/A</v>
      </c>
      <c r="DY87" s="9" t="e">
        <f aca="false">IF(AND($D87="Sample",$P87&lt;&gt;""),$P87,NA())</f>
        <v>#N/A</v>
      </c>
      <c r="DZ87" s="9" t="e">
        <f aca="false">IF(AND($D87="Sample",$P87&lt;&gt;"",Fits!$B$105&lt;&gt;""),Fits!$B$105,NA())</f>
        <v>#N/A</v>
      </c>
      <c r="EA87" s="9" t="e">
        <f aca="false">IF($AT87="",NA(),$AT87)</f>
        <v>#N/A</v>
      </c>
      <c r="EB87" s="9" t="e">
        <f aca="false">IF(AND($D87="Drift",$AT87="",$AC87&lt;&gt;""),$AC87,NA())</f>
        <v>#N/A</v>
      </c>
      <c r="EC87" s="9" t="e">
        <f aca="false">IF(AND($D87="Drift",$AE87&lt;&gt;""),$AE87,NA())</f>
        <v>#N/A</v>
      </c>
      <c r="ED87" s="9" t="e">
        <f aca="false">IF(AND(OR($D87="Sample",$D87="Check"),$AF87&lt;&gt;""),$AF87,NA())</f>
        <v>#N/A</v>
      </c>
      <c r="EE87" s="9" t="e">
        <f aca="false">IF(OR($B87="",Fits!$B$158=""),NA(),Fits!$B$158)</f>
        <v>#N/A</v>
      </c>
      <c r="EF87" s="9" t="e">
        <f aca="false">IF(OR($B87="",Fits!$B$159=""),NA(),Fits!$B$159)</f>
        <v>#N/A</v>
      </c>
      <c r="EG87" s="9" t="e">
        <f aca="false">IF($BW87="",NA(),$BW87)</f>
        <v>#N/A</v>
      </c>
      <c r="EH87" s="9" t="e">
        <f aca="false">IF(AND($EN87=1,ISNUMBER($N87)),$N87,NA())</f>
        <v>#N/A</v>
      </c>
      <c r="EI87" s="9" t="str">
        <f aca="false">IF($B87="","",$A87)</f>
        <v/>
      </c>
      <c r="EJ87" s="9" t="n">
        <f aca="false">IF(OR(AND(ISNUMBER($L87),Fits!$B$97&gt;0,$L87&gt;Fits!$B$97),AND(ISNUMBER($P87),Fits!$B$104&gt;0,$P87&gt;Fits!$B$104)),1,0)</f>
        <v>0</v>
      </c>
      <c r="EK87" s="9" t="n">
        <f aca="false">IF(OR($EJ86=1,$EJ85=1),1,0)</f>
        <v>0</v>
      </c>
      <c r="EL87" s="22" t="n">
        <f aca="false">IF(AND($EK87=0,ISNUMBER($N87)),$N87,$EL86)</f>
        <v>25.7</v>
      </c>
      <c r="EM87" s="9" t="str">
        <f aca="false">IF(AND($EK87=1,ISNUMBER($N87),ISNUMBER($EL87)),$N87-$EL87,"")</f>
        <v/>
      </c>
      <c r="EN87" s="9" t="n">
        <f aca="false">IF(Setup!$B$28="",0,IF(ISNUMBER($EM87),IF($EM87&gt;Setup!$B$28,1,0),0))</f>
        <v>0</v>
      </c>
      <c r="EO87" s="9" t="str">
        <f aca="false">IF($EN87=1,COUNTIF($EN$6:$EN87,1),"")</f>
        <v/>
      </c>
      <c r="EP87" s="9" t="n">
        <f aca="false">IF(AND($EJ86=1,OR($D87="Sample",$D87="Check")),1,0)</f>
        <v>0</v>
      </c>
      <c r="EQ87" s="9" t="str">
        <f aca="false">IF(ISNUMBER($BI87),IF(COUNT($BI$6:$BI87)&lt;=5,$BI87,""),"")</f>
        <v/>
      </c>
      <c r="ER87" s="9" t="n">
        <f aca="false">IF(OR(NOT(ISNUMBER($BJ87)),$EK87=1),$ER86,IF($BJ87&lt;=Setup!$B$26,IF($CP86=0,$A87,$ER86),""))</f>
        <v>27</v>
      </c>
    </row>
    <row r="88" customFormat="false" ht="15" hidden="false" customHeight="false" outlineLevel="0" collapsed="false">
      <c r="A88" s="8" t="n">
        <v>83</v>
      </c>
      <c r="B88" s="8" t="str">
        <f aca="false">IFERROR(INDEX(Raw!$B$2:$B$1001,MATCH($A88,Raw!$A$2:$A$1001,0)),"")</f>
        <v/>
      </c>
      <c r="C88" s="9" t="str">
        <f aca="false">IF($B88="","",MAX($CS88:$DE88))</f>
        <v/>
      </c>
      <c r="D88" s="8" t="str">
        <f aca="false">IF($B88="","",IF($C88=0,"Sample",INDEX(Setup!$B$37:$B$49,$C88-36)))</f>
        <v/>
      </c>
      <c r="E88" s="16" t="str">
        <f aca="false">IF($B88="","",IFERROR(IF(INDEX(Raw!$E$2:$E$1001,MATCH($A88,Raw!$A$2:$A$1001,0))=0,"",INDEX(Raw!$E$2:$E$1001,MATCH($A88,Raw!$A$2:$A$1001,0))),""))</f>
        <v/>
      </c>
      <c r="F88" s="18"/>
      <c r="G88" s="16" t="str">
        <f aca="false">IF($B88="","",IF($F88&lt;&gt;"",$F88,IF($E88="","",$E88)))</f>
        <v/>
      </c>
      <c r="H88" s="9" t="str">
        <f aca="false">IF($B88="","",SUMPRODUCT(MAX((Raw!$A$2:$A$1001=$A88)*(Raw!$R$2:$R$1001="N")*Raw!$D$2:$D$1001)))</f>
        <v/>
      </c>
      <c r="I88" s="9" t="str">
        <f aca="false">IF(OR($H88="",$H88=0),"",$A88&amp;"|N|"&amp;$H88)</f>
        <v/>
      </c>
      <c r="J88" s="9" t="str">
        <f aca="false">IF($B88="","",SUMPRODUCT(MIN((Raw!$A$2:$A$1001=$A88)*(Raw!$R$2:$R$1001="C")*Raw!$D$2:$D$1001+(1-(Raw!$A$2:$A$1001=$A88)*(Raw!$R$2:$R$1001="C"))*9999)))</f>
        <v/>
      </c>
      <c r="K88" s="9" t="str">
        <f aca="false">IF(OR($J88="",$J88=0,$J88=9999),"",$A88&amp;"|C|"&amp;$J88)</f>
        <v/>
      </c>
      <c r="L88" s="16" t="str">
        <f aca="false">IF($I88="","",IF(INDEX(Raw!$I$2:$I$1001,MATCH($I88,Raw!$S$2:$S$1001,0))&lt;&gt;0,"",INDEX(Raw!$H$2:$H$1001,MATCH($I88,Raw!$S$2:$S$1001,0))))</f>
        <v/>
      </c>
      <c r="M88" s="19" t="str">
        <f aca="false">IF($I88="","",IF(INDEX(Raw!$I$2:$I$1001,MATCH($I88,Raw!$S$2:$S$1001,0))&lt;&gt;0,"",INDEX(Raw!$F$2:$F$1001,MATCH($I88,Raw!$S$2:$S$1001,0))))</f>
        <v/>
      </c>
      <c r="N88" s="20" t="str">
        <f aca="false">IF($I88="","",IF(INDEX(Raw!$I$2:$I$1001,MATCH($I88,Raw!$S$2:$S$1001,0))&lt;&gt;0,"",INDEX(Raw!$G$2:$G$1001,MATCH($I88,Raw!$S$2:$S$1001,0))))</f>
        <v/>
      </c>
      <c r="O88" s="16" t="str">
        <f aca="false">IF($I88="","",IF(INDEX(Raw!$I$2:$I$1001,MATCH($I88,Raw!$S$2:$S$1001,0))&lt;&gt;0,"",INDEX(Raw!$N$2:$N$1001,MATCH($I88,Raw!$S$2:$S$1001,0))))</f>
        <v/>
      </c>
      <c r="P88" s="16" t="str">
        <f aca="false">IF($K88="","",IF(INDEX(Raw!$I$2:$I$1001,MATCH($K88,Raw!$S$2:$S$1001,0))&lt;&gt;0,"",INDEX(Raw!$K$2:$K$1001,MATCH($K88,Raw!$S$2:$S$1001,0))))</f>
        <v/>
      </c>
      <c r="Q88" s="19" t="str">
        <f aca="false">IF($K88="","",IF(INDEX(Raw!$I$2:$I$1001,MATCH($K88,Raw!$S$2:$S$1001,0))&lt;&gt;0,"",INDEX(Raw!$J$2:$J$1001,MATCH($K88,Raw!$S$2:$S$1001,0))))</f>
        <v/>
      </c>
      <c r="R88" s="16" t="str">
        <f aca="false">IF($K88="","",IF(INDEX(Raw!$I$2:$I$1001,MATCH($K88,Raw!$S$2:$S$1001,0))&lt;&gt;0,"",INDEX(Raw!$O$2:$O$1001,MATCH($K88,Raw!$S$2:$S$1001,0))))</f>
        <v/>
      </c>
      <c r="S88" s="21" t="str">
        <f aca="false">IF($B88="","",IF($C88=0,"",IF(INDEX(Setup!$D$37:$D$49,$C88-36)="","",INDEX(Setup!$D$37:$D$49,$C88-36))))</f>
        <v/>
      </c>
      <c r="T88" s="21" t="str">
        <f aca="false">IF($B88="","",IF($C88=0,"",IF(INDEX(Setup!$C$37:$C$49,$C88-36)="","",INDEX(Setup!$C$37:$C$49,$C88-36))))</f>
        <v/>
      </c>
      <c r="U88" s="21" t="str">
        <f aca="false">IF($B88="","",IF($C88=0,"",IF(INDEX(Setup!$F$37:$F$49,$C88-36)="","",INDEX(Setup!$F$37:$F$49,$C88-36))))</f>
        <v/>
      </c>
      <c r="V88" s="21" t="str">
        <f aca="false">IF($B88="","",IF($C88=0,"",IF(INDEX(Setup!$E$37:$E$49,$C88-36)="","",INDEX(Setup!$E$37:$E$49,$C88-36))))</f>
        <v/>
      </c>
      <c r="W88" s="16" t="str">
        <f aca="false">IF($O88="","",IF(OR(Fits!$C$5&lt;&gt;"Yes",$D88="Blank",$L88&lt;=Fits!$B$6),$O88,($L88*$O88-Fits!$B$6*Fits!$B$7)/($L88-Fits!$B$6)))</f>
        <v/>
      </c>
      <c r="X88" s="16" t="str">
        <f aca="false">IF($W88="","",$W88-Fits!$B$20*($L88-Fits!$B$16))</f>
        <v/>
      </c>
      <c r="Y88" s="22" t="str">
        <f aca="false">IF($W88="","",IF(OR(Fits!$B$38="Row",$BI88=""),$A88,$BI88))</f>
        <v/>
      </c>
      <c r="Z88" s="16" t="str">
        <f aca="false">IF($X88="","",$X88-Fits!$B$39*($Y88-Fits!$B$40))</f>
        <v/>
      </c>
      <c r="AA88" s="23" t="str">
        <f aca="false">IF(OR($Z88="",Fits!$B$55&lt;2),"",Fits!$B$56*$Z88+Fits!$B$57)</f>
        <v/>
      </c>
      <c r="AB88" s="16" t="str">
        <f aca="false">IF($R88="","",IF(OR(Fits!$C$9&lt;&gt;"Yes",$D88="Blank",$P88&lt;=Fits!$B$10),$R88,($P88*$R88-Fits!$B$10*Fits!$B$11)/($P88-Fits!$B$10)))</f>
        <v/>
      </c>
      <c r="AC88" s="16" t="str">
        <f aca="false">IF($AB88="","",$AB88-Fits!$B$28*($P88-Fits!$B$24))</f>
        <v/>
      </c>
      <c r="AD88" s="22" t="str">
        <f aca="false">IF($AB88="","",IF(OR(Fits!$B$50="Row",$BI88=""),$A88,$BI88))</f>
        <v/>
      </c>
      <c r="AE88" s="16" t="str">
        <f aca="false">IF($AC88="","",$AC88-Fits!$B$51*($AD88-Fits!$B$52))</f>
        <v/>
      </c>
      <c r="AF88" s="23" t="str">
        <f aca="false">IF(OR($AE88="",Fits!$B$62&lt;2),"",Fits!$B$63*$AE88+Fits!$B$64)</f>
        <v/>
      </c>
      <c r="AG88" s="21" t="str">
        <f aca="false">IF(OR($L88="",Fits!$B$69&lt;3),"",($L88-Fits!$B$71)/Fits!$B$70)</f>
        <v/>
      </c>
      <c r="AH88" s="21" t="str">
        <f aca="false">IF(OR($P88="",Fits!$B$75&lt;3),"",($P88-Fits!$B$77)/Fits!$B$76)</f>
        <v/>
      </c>
      <c r="AI88" s="23" t="str">
        <f aca="false">IF(OR($AG88="",$G88="",$G88=0),"",$AG88/($G88*1000)*100)</f>
        <v/>
      </c>
      <c r="AJ88" s="23" t="str">
        <f aca="false">IF(OR($AH88="",$G88="",$G88=0),"",$AH88/($G88*1000)*100)</f>
        <v/>
      </c>
      <c r="AK88" s="23" t="str">
        <f aca="false">IF(OR($AG88="",$AH88="",$AG88&lt;=0),"",($AH88/Setup!$B$52)/($AG88/Setup!$B$53))</f>
        <v/>
      </c>
      <c r="AL88" s="23" t="str">
        <f aca="false">IF(OR($AG88="",$AH88="",$AG88&lt;=0),"",$AH88/$AG88)</f>
        <v/>
      </c>
      <c r="AM88" s="9" t="str">
        <f aca="false">IF($D88="Linearity",IF($L88="","",$L88),"")</f>
        <v/>
      </c>
      <c r="AN88" s="9" t="str">
        <f aca="false">IF($D88="Linearity",IF($W88="","",$W88),"")</f>
        <v/>
      </c>
      <c r="AO88" s="9" t="str">
        <f aca="false">IF($D88="Linearity",IF($P88="","",$P88),"")</f>
        <v/>
      </c>
      <c r="AP88" s="9" t="str">
        <f aca="false">IF($D88="Linearity",IF($AB88="","",$AB88),"")</f>
        <v/>
      </c>
      <c r="AQ88" s="9" t="str">
        <f aca="false">IF($D88="Drift",IF($A88&lt;IF(Setup!$B$14="",0,Setup!$B$14),"",$A88),"")</f>
        <v/>
      </c>
      <c r="AR88" s="9" t="str">
        <f aca="false">IF($D88="Drift",IF($A88&lt;IF(Setup!$B$14="",0,Setup!$B$14),"",IF($BI88="","",$BI88)),"")</f>
        <v/>
      </c>
      <c r="AS88" s="9" t="str">
        <f aca="false">IF($D88="Drift",IF($A88&lt;IF(Setup!$B$14="",0,Setup!$B$14),"",IF(OR($X88="",$BX88=1),"",$X88)),"")</f>
        <v/>
      </c>
      <c r="AT88" s="9" t="str">
        <f aca="false">IF($D88="Drift",IF($A88&lt;IF(Setup!$B$14="",0,Setup!$B$14),"",IF(OR($AC88="",$BY88=1),"",$AC88)),"")</f>
        <v/>
      </c>
      <c r="AU88" s="9" t="str">
        <f aca="false">IF($D88="Anchor",IF(OR($Z88="",$S88=""),"",$Z88),"")</f>
        <v/>
      </c>
      <c r="AV88" s="9" t="str">
        <f aca="false">IF($D88="Anchor",IF(OR($Z88="",$S88=""),"",$S88),"")</f>
        <v/>
      </c>
      <c r="AW88" s="9" t="str">
        <f aca="false">IF($D88="Anchor",IF(OR($AE88="",$T88=""),"",$AE88),"")</f>
        <v/>
      </c>
      <c r="AX88" s="9" t="str">
        <f aca="false">IF($D88="Anchor",IF(OR($AE88="",$T88=""),"",$T88),"")</f>
        <v/>
      </c>
      <c r="AY88" s="9" t="str">
        <f aca="false">IF(OR($D88="Blank",$D88="Exclude",$D88="Sample",$D88="",$G88="",$U88="",$L88=""),"",$G88*1000*$U88/100)</f>
        <v/>
      </c>
      <c r="AZ88" s="9" t="str">
        <f aca="false">IF($AY88="","",$L88)</f>
        <v/>
      </c>
      <c r="BA88" s="9" t="str">
        <f aca="false">IF(OR($D88="Blank",$D88="Exclude",$D88="Sample",$D88="",$G88="",$V88="",$P88=""),"",$G88*1000*$V88/100)</f>
        <v/>
      </c>
      <c r="BB88" s="9" t="str">
        <f aca="false">IF($BA88="","",$P88)</f>
        <v/>
      </c>
      <c r="BC88" s="9" t="str">
        <f aca="false">IF(AND($D88="Blank",$L88&lt;&gt;""),$O88,"")</f>
        <v/>
      </c>
      <c r="BD88" s="9" t="str">
        <f aca="false">IF($BC88="","",$L88)</f>
        <v/>
      </c>
      <c r="BE88" s="9" t="str">
        <f aca="false">IF(AND($D88="Blank",$P88&lt;&gt;""),$R88,"")</f>
        <v/>
      </c>
      <c r="BF88" s="9" t="str">
        <f aca="false">IF($BE88="","",$P88)</f>
        <v/>
      </c>
      <c r="BG88" s="9" t="str">
        <f aca="false">IF(AND($D88="Drift",$BX88&lt;&gt;1),IF($AA88="","",$AA88),"")</f>
        <v/>
      </c>
      <c r="BH88" s="9" t="str">
        <f aca="false">IF(AND($D88="Drift",$BY88&lt;&gt;1),IF($AF88="","",$AF88),"")</f>
        <v/>
      </c>
      <c r="BI88" s="20" t="str">
        <f aca="false">IF($B88="","",IFERROR(INDEX(Raw!$G$2:$G$1001,MATCH($A88&amp;"|N|"&amp;SUMPRODUCT(MAX((Raw!$A$2:$A$1001=$A88)*(Raw!$R$2:$R$1001="N")*(Raw!$I$2:$I$1001=1)*Raw!$D$2:$D$1001)),Raw!$S$2:$S$1001,0)),""))</f>
        <v/>
      </c>
      <c r="BJ88" s="21" t="str">
        <f aca="false">IF(OR($BI88="",Fits!$B$85&lt;=0),"",($BI88-Fits!$B$83)/Fits!$B$85)</f>
        <v/>
      </c>
      <c r="BK88" s="9" t="str">
        <f aca="false">IF($AS88="","",IF($A88&gt;=Fits!$B$86,"",$A88))</f>
        <v/>
      </c>
      <c r="BL88" s="9" t="str">
        <f aca="false">IF($BK88="","",$X88)</f>
        <v/>
      </c>
      <c r="BM88" s="9" t="str">
        <f aca="false">IF($AS88="","",IF($A88&lt;Fits!$B$86,"",$A88))</f>
        <v/>
      </c>
      <c r="BN88" s="9" t="str">
        <f aca="false">IF($BM88="","",$X88)</f>
        <v/>
      </c>
      <c r="BO88" s="9" t="str">
        <f aca="false">IF(AND($D88="Drift",$BX88&lt;&gt;1),IF($O88="","",$O88),"")</f>
        <v/>
      </c>
      <c r="BP88" s="9" t="str">
        <f aca="false">IF(AND($D88="Drift",$BX88&lt;&gt;1),IF($W88="","",$W88),"")</f>
        <v/>
      </c>
      <c r="BQ88" s="9" t="str">
        <f aca="false">IF(AND($D88="Drift",$BX88&lt;&gt;1),IF($X88="","",$X88),"")</f>
        <v/>
      </c>
      <c r="BR88" s="9" t="str">
        <f aca="false">IF(AND($D88="Drift",$BX88&lt;&gt;1),IF($Z88="","",$Z88),"")</f>
        <v/>
      </c>
      <c r="BS88" s="9" t="str">
        <f aca="false">IF(OR($B88="",$H88=""),"",SUMPRODUCT(MIN((Raw!$A$2:$A$1001=$A88)*(Raw!$R$2:$R$1001="N")*(Raw!$I$2:$I$1001=0)*(Raw!$D$2:$D$1001&lt;$H88)*Raw!$D$2:$D$1001+(1-(Raw!$A$2:$A$1001=$A88)*(Raw!$R$2:$R$1001="N")*(Raw!$I$2:$I$1001=0)*(Raw!$D$2:$D$1001&lt;$H88))*9999)))</f>
        <v/>
      </c>
      <c r="BT88" s="16" t="str">
        <f aca="false">IF(OR($BS88="",$BS88=9999,$BS88=0),"",IFERROR(INDEX(Raw!$N$2:$N$1001,MATCH($A88&amp;"|N|"&amp;$BS88,Raw!$S$2:$S$1001,0)),""))</f>
        <v/>
      </c>
      <c r="BU88" s="9" t="str">
        <f aca="false">IF($B88="","",SUMPRODUCT(MIN((Raw!$A$2:$A$1001=$A88)*(Raw!$R$2:$R$1001="C")*(Raw!$I$2:$I$1001=1)*Raw!$D$2:$D$1001+(1-(Raw!$A$2:$A$1001=$A88)*(Raw!$R$2:$R$1001="C")*(Raw!$I$2:$I$1001=1))*9999)))</f>
        <v/>
      </c>
      <c r="BV88" s="9" t="str">
        <f aca="false">IF(OR($BU88="",$BU88=9999),"",SUMPRODUCT(MIN((Raw!$A$2:$A$1001=$A88)*(Raw!$R$2:$R$1001="C")*(Raw!$I$2:$I$1001=0)*(Raw!$D$2:$D$1001&gt;$BU88)*Raw!$D$2:$D$1001+(1-(Raw!$A$2:$A$1001=$A88)*(Raw!$R$2:$R$1001="C")*(Raw!$I$2:$I$1001=0)*(Raw!$D$2:$D$1001&gt;$BU88))*9999)))</f>
        <v/>
      </c>
      <c r="BW88" s="16" t="str">
        <f aca="false">IF(OR($BV88="",$BV88=9999,$BV88=0),"",IFERROR(INDEX(Raw!$O$2:$O$1001,MATCH($A88&amp;"|C|"&amp;$BV88,Raw!$S$2:$S$1001,0)),""))</f>
        <v/>
      </c>
      <c r="BX88" s="9" t="str">
        <f aca="false">IF($B88="","",IF(ISNUMBER(SEARCH(","&amp;$A88&amp;",",","&amp;SUBSTITUTE(Setup!$B$16," ","")&amp;",")),1,0))</f>
        <v/>
      </c>
      <c r="BY88" s="9" t="str">
        <f aca="false">IF($B88="","",IF(ISNUMBER(SEARCH(","&amp;$A88&amp;",",","&amp;SUBSTITUTE(Setup!$B$17," ","")&amp;",")),1,0))</f>
        <v/>
      </c>
      <c r="BZ88" s="22" t="str">
        <f aca="false">IF($AS88="","",IF(Fits!$B$38="Row",$AQ88,IF($AR88="","",$AR88)))</f>
        <v/>
      </c>
      <c r="CA88" s="22" t="str">
        <f aca="false">IF($AT88="","",IF(Fits!$B$50="Row",$AQ88,IF($AR88="","",$AR88)))</f>
        <v/>
      </c>
      <c r="CB88" s="20" t="str">
        <f aca="false">IF(OR($D88&lt;&gt;"Drift",$X88="",$A88&lt;IF(Setup!$B$14="",0,Setup!$B$14),Fits!$B$107&lt;3,Fits!$B$110="",Fits!$B$109=0,IF(Fits!$B$38="Row",$AQ88,$AR88)=""),"",IF($BX88=1,IF(OR(Fits!$B$111="",Fits!$B$111=0),"",($X88-(IF(Fits!$B$38="Row",Fits!$B$32,Fits!$B$35)*IF(Fits!$B$38="Row",$AQ88,$AR88)+Fits!$B$110))/(Fits!$B$111*SQRT(1+(1/Fits!$B$107+(IF(Fits!$B$38="Row",$AQ88,$AR88)-Fits!$B$108)^2/Fits!$B$109)))),IF(OR(Fits!$B$107&lt;4,(1/Fits!$B$107+(IF(Fits!$B$38="Row",$AQ88,$AR88)-Fits!$B$108)^2/Fits!$B$109)&gt;=1),"",IF((Fits!$B$116-($X88-(IF(Fits!$B$38="Row",Fits!$B$32,Fits!$B$35)*IF(Fits!$B$38="Row",$AQ88,$AR88)+Fits!$B$110))^2/(1-(1/Fits!$B$107+(IF(Fits!$B$38="Row",$AQ88,$AR88)-Fits!$B$108)^2/Fits!$B$109)))&lt;=0,"",($X88-(IF(Fits!$B$38="Row",Fits!$B$32,Fits!$B$35)*IF(Fits!$B$38="Row",$AQ88,$AR88)+Fits!$B$110))/(SQRT((Fits!$B$116-($X88-(IF(Fits!$B$38="Row",Fits!$B$32,Fits!$B$35)*IF(Fits!$B$38="Row",$AQ88,$AR88)+Fits!$B$110))^2/(1-(1/Fits!$B$107+(IF(Fits!$B$38="Row",$AQ88,$AR88)-Fits!$B$108)^2/Fits!$B$109)))/(Fits!$B$107-3))*SQRT(1-(1/Fits!$B$107+(IF(Fits!$B$38="Row",$AQ88,$AR88)-Fits!$B$108)^2/Fits!$B$109)))))))</f>
        <v/>
      </c>
      <c r="CC88" s="20" t="str">
        <f aca="false">IF(OR($D88&lt;&gt;"Drift",$AC88="",$A88&lt;IF(Setup!$B$14="",0,Setup!$B$14),Fits!$B$120&lt;3,Fits!$B$123="",Fits!$B$122=0,IF(Fits!$B$50="Row",$AQ88,$AR88)=""),"",IF($BY88=1,IF(OR(Fits!$B$124="",Fits!$B$124=0),"",($AC88-(IF(Fits!$B$50="Row",Fits!$B$44,Fits!$B$47)*IF(Fits!$B$50="Row",$AQ88,$AR88)+Fits!$B$123))/(Fits!$B$124*SQRT(1+(1/Fits!$B$120+(IF(Fits!$B$50="Row",$AQ88,$AR88)-Fits!$B$121)^2/Fits!$B$122)))),IF(OR(Fits!$B$120&lt;4,(1/Fits!$B$120+(IF(Fits!$B$50="Row",$AQ88,$AR88)-Fits!$B$121)^2/Fits!$B$122)&gt;=1),"",IF((Fits!$B$129-($AC88-(IF(Fits!$B$50="Row",Fits!$B$44,Fits!$B$47)*IF(Fits!$B$50="Row",$AQ88,$AR88)+Fits!$B$123))^2/(1-(1/Fits!$B$120+(IF(Fits!$B$50="Row",$AQ88,$AR88)-Fits!$B$121)^2/Fits!$B$122)))&lt;=0,"",($AC88-(IF(Fits!$B$50="Row",Fits!$B$44,Fits!$B$47)*IF(Fits!$B$50="Row",$AQ88,$AR88)+Fits!$B$123))/(SQRT((Fits!$B$129-($AC88-(IF(Fits!$B$50="Row",Fits!$B$44,Fits!$B$47)*IF(Fits!$B$50="Row",$AQ88,$AR88)+Fits!$B$123))^2/(1-(1/Fits!$B$120+(IF(Fits!$B$50="Row",$AQ88,$AR88)-Fits!$B$121)^2/Fits!$B$122)))/(Fits!$B$120-3))*SQRT(1-(1/Fits!$B$120+(IF(Fits!$B$50="Row",$AQ88,$AR88)-Fits!$B$121)^2/Fits!$B$122)))))))</f>
        <v/>
      </c>
      <c r="CD88" s="9" t="str">
        <f aca="false">IF($AU88="","",1)</f>
        <v/>
      </c>
      <c r="CE88" s="24" t="str">
        <f aca="false">IF($AU88="","",$AU88-Fits!$B$133)</f>
        <v/>
      </c>
      <c r="CF88" s="24" t="str">
        <f aca="false">IF($AU88="","",($AV88-(Fits!$B$56*$AU88+Fits!$B$57))-Fits!$B$56*($AU88-Fits!$B$133))</f>
        <v/>
      </c>
      <c r="CG88" s="25" t="str">
        <f aca="false">IF($AU88="","",$AU88^2)</f>
        <v/>
      </c>
      <c r="CH88" s="9" t="str">
        <f aca="false">IF($AW88="","",1)</f>
        <v/>
      </c>
      <c r="CI88" s="24" t="str">
        <f aca="false">IF($AW88="","",$AW88-Fits!$B$153)</f>
        <v/>
      </c>
      <c r="CJ88" s="24" t="str">
        <f aca="false">IF($AW88="","",($AX88-(Fits!$B$63*$AW88+Fits!$B$64))-Fits!$B$63*($AW88-Fits!$B$153))</f>
        <v/>
      </c>
      <c r="CK88" s="25" t="str">
        <f aca="false">IF($AW88="","",$AW88^2)</f>
        <v/>
      </c>
      <c r="CL88" s="26" t="str">
        <f aca="false">IF(OR($Z88="",Fits!$B$55&lt;3,Fits!$B$133="",Fits!$B$134="",Fits!$B$134=0,Fits!$B$136=""),"",SQRT((Fits!$B$136*Fits!$B$56)^2+SUMPRODUCT((Fits!$J$163:$J$175*(Fits!$B$163:$B$175/Fits!$B$55+Fits!$H$163:$H$175*($Z88-Fits!$B$133)/Fits!$B$134))^2)+SUMPRODUCT((Fits!$G$163:$G$175*(($Z88-Fits!$B$133)*Fits!$I$163:$I$175/Fits!$B$134-Fits!$B$163:$B$175*Fits!$B$56/Fits!$B$55))^2)))</f>
        <v/>
      </c>
      <c r="CM88" s="26" t="str">
        <f aca="false">IF($CL88="","",Setup!$B$32*$CL88)</f>
        <v/>
      </c>
      <c r="CN88" s="26" t="str">
        <f aca="false">IF(OR($AE88="",Fits!$B$62&lt;3,Fits!$B$153="",Fits!$B$154="",Fits!$B$154=0,Fits!$B$156=""),"",SQRT((Fits!$B$156*Fits!$B$63)^2+SUMPRODUCT((Fits!$J$183:$J$195*(Fits!$B$183:$B$195/Fits!$B$62+Fits!$H$183:$H$195*($AE88-Fits!$B$153)/Fits!$B$154))^2)+SUMPRODUCT((Fits!$G$183:$G$195*(($AE88-Fits!$B$153)*Fits!$I$183:$I$195/Fits!$B$154-Fits!$B$183:$B$195*Fits!$B$63/Fits!$B$62))^2)))</f>
        <v/>
      </c>
      <c r="CO88" s="26" t="str">
        <f aca="false">IF($CN88="","",Setup!$B$32*$CN88)</f>
        <v/>
      </c>
      <c r="CP88" s="9" t="n">
        <f aca="false">IF(OR(NOT(ISNUMBER($BJ88)),$EK88=1),$CP87,IF($BJ88&lt;=Setup!$B$26,$CP87+1,0))</f>
        <v>26</v>
      </c>
      <c r="CQ88" s="9" t="str">
        <f aca="false">IF($BT88="","",$A88)</f>
        <v/>
      </c>
      <c r="CR88" s="9" t="str">
        <f aca="false">IF($BW88="","",$A88)</f>
        <v/>
      </c>
      <c r="CS88" s="9" t="str">
        <f aca="false">IF($B88="","",IF(Setup!$A$37="",0,IF(ISNUMBER(SEARCH(Setup!$A$37,$B88)),37,0)))</f>
        <v/>
      </c>
      <c r="CT88" s="9" t="str">
        <f aca="false">IF($B88="","",IF(Setup!$A$38="",0,IF(ISNUMBER(SEARCH(Setup!$A$38,$B88)),38,0)))</f>
        <v/>
      </c>
      <c r="CU88" s="9" t="str">
        <f aca="false">IF($B88="","",IF(Setup!$A$39="",0,IF(ISNUMBER(SEARCH(Setup!$A$39,$B88)),39,0)))</f>
        <v/>
      </c>
      <c r="CV88" s="9" t="str">
        <f aca="false">IF($B88="","",IF(Setup!$A$40="",0,IF(ISNUMBER(SEARCH(Setup!$A$40,$B88)),40,0)))</f>
        <v/>
      </c>
      <c r="CW88" s="9" t="str">
        <f aca="false">IF($B88="","",IF(Setup!$A$41="",0,IF(ISNUMBER(SEARCH(Setup!$A$41,$B88)),41,0)))</f>
        <v/>
      </c>
      <c r="CX88" s="9" t="str">
        <f aca="false">IF($B88="","",IF(Setup!$A$42="",0,IF(ISNUMBER(SEARCH(Setup!$A$42,$B88)),42,0)))</f>
        <v/>
      </c>
      <c r="CY88" s="9" t="str">
        <f aca="false">IF($B88="","",IF(Setup!$A$43="",0,IF(ISNUMBER(SEARCH(Setup!$A$43,$B88)),43,0)))</f>
        <v/>
      </c>
      <c r="CZ88" s="9" t="str">
        <f aca="false">IF($B88="","",IF(Setup!$A$44="",0,IF(ISNUMBER(SEARCH(Setup!$A$44,$B88)),44,0)))</f>
        <v/>
      </c>
      <c r="DA88" s="9" t="str">
        <f aca="false">IF($B88="","",IF(Setup!$A$45="",0,IF(ISNUMBER(SEARCH(Setup!$A$45,$B88)),45,0)))</f>
        <v/>
      </c>
      <c r="DB88" s="9" t="str">
        <f aca="false">IF($B88="","",IF(Setup!$A$46="",0,IF(ISNUMBER(SEARCH(Setup!$A$46,$B88)),46,0)))</f>
        <v/>
      </c>
      <c r="DC88" s="9" t="str">
        <f aca="false">IF($B88="","",IF(Setup!$A$47="",0,IF(ISNUMBER(SEARCH(Setup!$A$47,$B88)),47,0)))</f>
        <v/>
      </c>
      <c r="DD88" s="9" t="str">
        <f aca="false">IF($B88="","",IF(Setup!$A$48="",0,IF(ISNUMBER(SEARCH(Setup!$A$48,$B88)),48,0)))</f>
        <v/>
      </c>
      <c r="DE88" s="9" t="str">
        <f aca="false">IF($B88="","",IF(Setup!$A$49="",0,IF(ISNUMBER(SEARCH(Setup!$A$49,$B88)),49,0)))</f>
        <v/>
      </c>
      <c r="DF88" s="9" t="e">
        <f aca="false">IF($B88="",NA(),$A88)</f>
        <v>#N/A</v>
      </c>
      <c r="DG88" s="9" t="e">
        <f aca="false">IF($BI88="",NA(),$BI88)</f>
        <v>#N/A</v>
      </c>
      <c r="DH88" s="9" t="e">
        <f aca="false">IF($N88="",NA(),$N88)</f>
        <v>#N/A</v>
      </c>
      <c r="DI88" s="9" t="e">
        <f aca="false">IF(AND($D88="Drift",$N88&lt;&gt;""),$N88,NA())</f>
        <v>#N/A</v>
      </c>
      <c r="DJ88" s="9" t="str">
        <f aca="false">IF(AND($D88="Drift",$N88&lt;&gt;""),$N88,"")</f>
        <v/>
      </c>
      <c r="DK88" s="9" t="str">
        <f aca="false">IF($DJ88="","",$A88)</f>
        <v/>
      </c>
      <c r="DL88" s="9" t="e">
        <f aca="false">IF($AN88="",NA(),$AM88)</f>
        <v>#N/A</v>
      </c>
      <c r="DM88" s="9" t="e">
        <f aca="false">IF($AN88="",NA(),$AN88)</f>
        <v>#N/A</v>
      </c>
      <c r="DN88" s="9" t="e">
        <f aca="false">IF(AND($D88="Sample",$L88&lt;&gt;""),$L88,NA())</f>
        <v>#N/A</v>
      </c>
      <c r="DO88" s="9" t="e">
        <f aca="false">IF(AND($D88="Sample",$L88&lt;&gt;"",Fits!$B$98&lt;&gt;""),Fits!$B$98,NA())</f>
        <v>#N/A</v>
      </c>
      <c r="DP88" s="9" t="e">
        <f aca="false">IF($AS88="",NA(),$AS88)</f>
        <v>#N/A</v>
      </c>
      <c r="DQ88" s="9" t="e">
        <f aca="false">IF(AND($D88="Drift",$AS88="",$X88&lt;&gt;""),$X88,NA())</f>
        <v>#N/A</v>
      </c>
      <c r="DR88" s="9" t="e">
        <f aca="false">IF(AND($D88="Drift",$Z88&lt;&gt;""),$Z88,NA())</f>
        <v>#N/A</v>
      </c>
      <c r="DS88" s="9" t="e">
        <f aca="false">IF(AND(OR($D88="Sample",$D88="Check"),$AA88&lt;&gt;""),$AA88,NA())</f>
        <v>#N/A</v>
      </c>
      <c r="DT88" s="9" t="e">
        <f aca="false">IF(OR($B88="",Fits!$B$138=""),NA(),Fits!$B$138)</f>
        <v>#N/A</v>
      </c>
      <c r="DU88" s="9" t="e">
        <f aca="false">IF(OR($B88="",Fits!$B$139=""),NA(),Fits!$B$139)</f>
        <v>#N/A</v>
      </c>
      <c r="DV88" s="9" t="e">
        <f aca="false">IF($BT88="",NA(),$BT88)</f>
        <v>#N/A</v>
      </c>
      <c r="DW88" s="9" t="e">
        <f aca="false">IF($AP88="",NA(),$AO88)</f>
        <v>#N/A</v>
      </c>
      <c r="DX88" s="9" t="e">
        <f aca="false">IF($AP88="",NA(),$AP88)</f>
        <v>#N/A</v>
      </c>
      <c r="DY88" s="9" t="e">
        <f aca="false">IF(AND($D88="Sample",$P88&lt;&gt;""),$P88,NA())</f>
        <v>#N/A</v>
      </c>
      <c r="DZ88" s="9" t="e">
        <f aca="false">IF(AND($D88="Sample",$P88&lt;&gt;"",Fits!$B$105&lt;&gt;""),Fits!$B$105,NA())</f>
        <v>#N/A</v>
      </c>
      <c r="EA88" s="9" t="e">
        <f aca="false">IF($AT88="",NA(),$AT88)</f>
        <v>#N/A</v>
      </c>
      <c r="EB88" s="9" t="e">
        <f aca="false">IF(AND($D88="Drift",$AT88="",$AC88&lt;&gt;""),$AC88,NA())</f>
        <v>#N/A</v>
      </c>
      <c r="EC88" s="9" t="e">
        <f aca="false">IF(AND($D88="Drift",$AE88&lt;&gt;""),$AE88,NA())</f>
        <v>#N/A</v>
      </c>
      <c r="ED88" s="9" t="e">
        <f aca="false">IF(AND(OR($D88="Sample",$D88="Check"),$AF88&lt;&gt;""),$AF88,NA())</f>
        <v>#N/A</v>
      </c>
      <c r="EE88" s="9" t="e">
        <f aca="false">IF(OR($B88="",Fits!$B$158=""),NA(),Fits!$B$158)</f>
        <v>#N/A</v>
      </c>
      <c r="EF88" s="9" t="e">
        <f aca="false">IF(OR($B88="",Fits!$B$159=""),NA(),Fits!$B$159)</f>
        <v>#N/A</v>
      </c>
      <c r="EG88" s="9" t="e">
        <f aca="false">IF($BW88="",NA(),$BW88)</f>
        <v>#N/A</v>
      </c>
      <c r="EH88" s="9" t="e">
        <f aca="false">IF(AND($EN88=1,ISNUMBER($N88)),$N88,NA())</f>
        <v>#N/A</v>
      </c>
      <c r="EI88" s="9" t="str">
        <f aca="false">IF($B88="","",$A88)</f>
        <v/>
      </c>
      <c r="EJ88" s="9" t="n">
        <f aca="false">IF(OR(AND(ISNUMBER($L88),Fits!$B$97&gt;0,$L88&gt;Fits!$B$97),AND(ISNUMBER($P88),Fits!$B$104&gt;0,$P88&gt;Fits!$B$104)),1,0)</f>
        <v>0</v>
      </c>
      <c r="EK88" s="9" t="n">
        <f aca="false">IF(OR($EJ87=1,$EJ86=1),1,0)</f>
        <v>0</v>
      </c>
      <c r="EL88" s="22" t="n">
        <f aca="false">IF(AND($EK88=0,ISNUMBER($N88)),$N88,$EL87)</f>
        <v>25.7</v>
      </c>
      <c r="EM88" s="9" t="str">
        <f aca="false">IF(AND($EK88=1,ISNUMBER($N88),ISNUMBER($EL88)),$N88-$EL88,"")</f>
        <v/>
      </c>
      <c r="EN88" s="9" t="n">
        <f aca="false">IF(Setup!$B$28="",0,IF(ISNUMBER($EM88),IF($EM88&gt;Setup!$B$28,1,0),0))</f>
        <v>0</v>
      </c>
      <c r="EO88" s="9" t="str">
        <f aca="false">IF($EN88=1,COUNTIF($EN$6:$EN88,1),"")</f>
        <v/>
      </c>
      <c r="EP88" s="9" t="n">
        <f aca="false">IF(AND($EJ87=1,OR($D88="Sample",$D88="Check")),1,0)</f>
        <v>0</v>
      </c>
      <c r="EQ88" s="9" t="str">
        <f aca="false">IF(ISNUMBER($BI88),IF(COUNT($BI$6:$BI88)&lt;=5,$BI88,""),"")</f>
        <v/>
      </c>
      <c r="ER88" s="9" t="n">
        <f aca="false">IF(OR(NOT(ISNUMBER($BJ88)),$EK88=1),$ER87,IF($BJ88&lt;=Setup!$B$26,IF($CP87=0,$A88,$ER87),""))</f>
        <v>27</v>
      </c>
    </row>
    <row r="89" customFormat="false" ht="15" hidden="false" customHeight="false" outlineLevel="0" collapsed="false">
      <c r="A89" s="8" t="n">
        <v>84</v>
      </c>
      <c r="B89" s="8" t="str">
        <f aca="false">IFERROR(INDEX(Raw!$B$2:$B$1001,MATCH($A89,Raw!$A$2:$A$1001,0)),"")</f>
        <v/>
      </c>
      <c r="C89" s="9" t="str">
        <f aca="false">IF($B89="","",MAX($CS89:$DE89))</f>
        <v/>
      </c>
      <c r="D89" s="8" t="str">
        <f aca="false">IF($B89="","",IF($C89=0,"Sample",INDEX(Setup!$B$37:$B$49,$C89-36)))</f>
        <v/>
      </c>
      <c r="E89" s="16" t="str">
        <f aca="false">IF($B89="","",IFERROR(IF(INDEX(Raw!$E$2:$E$1001,MATCH($A89,Raw!$A$2:$A$1001,0))=0,"",INDEX(Raw!$E$2:$E$1001,MATCH($A89,Raw!$A$2:$A$1001,0))),""))</f>
        <v/>
      </c>
      <c r="F89" s="18"/>
      <c r="G89" s="16" t="str">
        <f aca="false">IF($B89="","",IF($F89&lt;&gt;"",$F89,IF($E89="","",$E89)))</f>
        <v/>
      </c>
      <c r="H89" s="9" t="str">
        <f aca="false">IF($B89="","",SUMPRODUCT(MAX((Raw!$A$2:$A$1001=$A89)*(Raw!$R$2:$R$1001="N")*Raw!$D$2:$D$1001)))</f>
        <v/>
      </c>
      <c r="I89" s="9" t="str">
        <f aca="false">IF(OR($H89="",$H89=0),"",$A89&amp;"|N|"&amp;$H89)</f>
        <v/>
      </c>
      <c r="J89" s="9" t="str">
        <f aca="false">IF($B89="","",SUMPRODUCT(MIN((Raw!$A$2:$A$1001=$A89)*(Raw!$R$2:$R$1001="C")*Raw!$D$2:$D$1001+(1-(Raw!$A$2:$A$1001=$A89)*(Raw!$R$2:$R$1001="C"))*9999)))</f>
        <v/>
      </c>
      <c r="K89" s="9" t="str">
        <f aca="false">IF(OR($J89="",$J89=0,$J89=9999),"",$A89&amp;"|C|"&amp;$J89)</f>
        <v/>
      </c>
      <c r="L89" s="16" t="str">
        <f aca="false">IF($I89="","",IF(INDEX(Raw!$I$2:$I$1001,MATCH($I89,Raw!$S$2:$S$1001,0))&lt;&gt;0,"",INDEX(Raw!$H$2:$H$1001,MATCH($I89,Raw!$S$2:$S$1001,0))))</f>
        <v/>
      </c>
      <c r="M89" s="19" t="str">
        <f aca="false">IF($I89="","",IF(INDEX(Raw!$I$2:$I$1001,MATCH($I89,Raw!$S$2:$S$1001,0))&lt;&gt;0,"",INDEX(Raw!$F$2:$F$1001,MATCH($I89,Raw!$S$2:$S$1001,0))))</f>
        <v/>
      </c>
      <c r="N89" s="20" t="str">
        <f aca="false">IF($I89="","",IF(INDEX(Raw!$I$2:$I$1001,MATCH($I89,Raw!$S$2:$S$1001,0))&lt;&gt;0,"",INDEX(Raw!$G$2:$G$1001,MATCH($I89,Raw!$S$2:$S$1001,0))))</f>
        <v/>
      </c>
      <c r="O89" s="16" t="str">
        <f aca="false">IF($I89="","",IF(INDEX(Raw!$I$2:$I$1001,MATCH($I89,Raw!$S$2:$S$1001,0))&lt;&gt;0,"",INDEX(Raw!$N$2:$N$1001,MATCH($I89,Raw!$S$2:$S$1001,0))))</f>
        <v/>
      </c>
      <c r="P89" s="16" t="str">
        <f aca="false">IF($K89="","",IF(INDEX(Raw!$I$2:$I$1001,MATCH($K89,Raw!$S$2:$S$1001,0))&lt;&gt;0,"",INDEX(Raw!$K$2:$K$1001,MATCH($K89,Raw!$S$2:$S$1001,0))))</f>
        <v/>
      </c>
      <c r="Q89" s="19" t="str">
        <f aca="false">IF($K89="","",IF(INDEX(Raw!$I$2:$I$1001,MATCH($K89,Raw!$S$2:$S$1001,0))&lt;&gt;0,"",INDEX(Raw!$J$2:$J$1001,MATCH($K89,Raw!$S$2:$S$1001,0))))</f>
        <v/>
      </c>
      <c r="R89" s="16" t="str">
        <f aca="false">IF($K89="","",IF(INDEX(Raw!$I$2:$I$1001,MATCH($K89,Raw!$S$2:$S$1001,0))&lt;&gt;0,"",INDEX(Raw!$O$2:$O$1001,MATCH($K89,Raw!$S$2:$S$1001,0))))</f>
        <v/>
      </c>
      <c r="S89" s="21" t="str">
        <f aca="false">IF($B89="","",IF($C89=0,"",IF(INDEX(Setup!$D$37:$D$49,$C89-36)="","",INDEX(Setup!$D$37:$D$49,$C89-36))))</f>
        <v/>
      </c>
      <c r="T89" s="21" t="str">
        <f aca="false">IF($B89="","",IF($C89=0,"",IF(INDEX(Setup!$C$37:$C$49,$C89-36)="","",INDEX(Setup!$C$37:$C$49,$C89-36))))</f>
        <v/>
      </c>
      <c r="U89" s="21" t="str">
        <f aca="false">IF($B89="","",IF($C89=0,"",IF(INDEX(Setup!$F$37:$F$49,$C89-36)="","",INDEX(Setup!$F$37:$F$49,$C89-36))))</f>
        <v/>
      </c>
      <c r="V89" s="21" t="str">
        <f aca="false">IF($B89="","",IF($C89=0,"",IF(INDEX(Setup!$E$37:$E$49,$C89-36)="","",INDEX(Setup!$E$37:$E$49,$C89-36))))</f>
        <v/>
      </c>
      <c r="W89" s="16" t="str">
        <f aca="false">IF($O89="","",IF(OR(Fits!$C$5&lt;&gt;"Yes",$D89="Blank",$L89&lt;=Fits!$B$6),$O89,($L89*$O89-Fits!$B$6*Fits!$B$7)/($L89-Fits!$B$6)))</f>
        <v/>
      </c>
      <c r="X89" s="16" t="str">
        <f aca="false">IF($W89="","",$W89-Fits!$B$20*($L89-Fits!$B$16))</f>
        <v/>
      </c>
      <c r="Y89" s="22" t="str">
        <f aca="false">IF($W89="","",IF(OR(Fits!$B$38="Row",$BI89=""),$A89,$BI89))</f>
        <v/>
      </c>
      <c r="Z89" s="16" t="str">
        <f aca="false">IF($X89="","",$X89-Fits!$B$39*($Y89-Fits!$B$40))</f>
        <v/>
      </c>
      <c r="AA89" s="23" t="str">
        <f aca="false">IF(OR($Z89="",Fits!$B$55&lt;2),"",Fits!$B$56*$Z89+Fits!$B$57)</f>
        <v/>
      </c>
      <c r="AB89" s="16" t="str">
        <f aca="false">IF($R89="","",IF(OR(Fits!$C$9&lt;&gt;"Yes",$D89="Blank",$P89&lt;=Fits!$B$10),$R89,($P89*$R89-Fits!$B$10*Fits!$B$11)/($P89-Fits!$B$10)))</f>
        <v/>
      </c>
      <c r="AC89" s="16" t="str">
        <f aca="false">IF($AB89="","",$AB89-Fits!$B$28*($P89-Fits!$B$24))</f>
        <v/>
      </c>
      <c r="AD89" s="22" t="str">
        <f aca="false">IF($AB89="","",IF(OR(Fits!$B$50="Row",$BI89=""),$A89,$BI89))</f>
        <v/>
      </c>
      <c r="AE89" s="16" t="str">
        <f aca="false">IF($AC89="","",$AC89-Fits!$B$51*($AD89-Fits!$B$52))</f>
        <v/>
      </c>
      <c r="AF89" s="23" t="str">
        <f aca="false">IF(OR($AE89="",Fits!$B$62&lt;2),"",Fits!$B$63*$AE89+Fits!$B$64)</f>
        <v/>
      </c>
      <c r="AG89" s="21" t="str">
        <f aca="false">IF(OR($L89="",Fits!$B$69&lt;3),"",($L89-Fits!$B$71)/Fits!$B$70)</f>
        <v/>
      </c>
      <c r="AH89" s="21" t="str">
        <f aca="false">IF(OR($P89="",Fits!$B$75&lt;3),"",($P89-Fits!$B$77)/Fits!$B$76)</f>
        <v/>
      </c>
      <c r="AI89" s="23" t="str">
        <f aca="false">IF(OR($AG89="",$G89="",$G89=0),"",$AG89/($G89*1000)*100)</f>
        <v/>
      </c>
      <c r="AJ89" s="23" t="str">
        <f aca="false">IF(OR($AH89="",$G89="",$G89=0),"",$AH89/($G89*1000)*100)</f>
        <v/>
      </c>
      <c r="AK89" s="23" t="str">
        <f aca="false">IF(OR($AG89="",$AH89="",$AG89&lt;=0),"",($AH89/Setup!$B$52)/($AG89/Setup!$B$53))</f>
        <v/>
      </c>
      <c r="AL89" s="23" t="str">
        <f aca="false">IF(OR($AG89="",$AH89="",$AG89&lt;=0),"",$AH89/$AG89)</f>
        <v/>
      </c>
      <c r="AM89" s="9" t="str">
        <f aca="false">IF($D89="Linearity",IF($L89="","",$L89),"")</f>
        <v/>
      </c>
      <c r="AN89" s="9" t="str">
        <f aca="false">IF($D89="Linearity",IF($W89="","",$W89),"")</f>
        <v/>
      </c>
      <c r="AO89" s="9" t="str">
        <f aca="false">IF($D89="Linearity",IF($P89="","",$P89),"")</f>
        <v/>
      </c>
      <c r="AP89" s="9" t="str">
        <f aca="false">IF($D89="Linearity",IF($AB89="","",$AB89),"")</f>
        <v/>
      </c>
      <c r="AQ89" s="9" t="str">
        <f aca="false">IF($D89="Drift",IF($A89&lt;IF(Setup!$B$14="",0,Setup!$B$14),"",$A89),"")</f>
        <v/>
      </c>
      <c r="AR89" s="9" t="str">
        <f aca="false">IF($D89="Drift",IF($A89&lt;IF(Setup!$B$14="",0,Setup!$B$14),"",IF($BI89="","",$BI89)),"")</f>
        <v/>
      </c>
      <c r="AS89" s="9" t="str">
        <f aca="false">IF($D89="Drift",IF($A89&lt;IF(Setup!$B$14="",0,Setup!$B$14),"",IF(OR($X89="",$BX89=1),"",$X89)),"")</f>
        <v/>
      </c>
      <c r="AT89" s="9" t="str">
        <f aca="false">IF($D89="Drift",IF($A89&lt;IF(Setup!$B$14="",0,Setup!$B$14),"",IF(OR($AC89="",$BY89=1),"",$AC89)),"")</f>
        <v/>
      </c>
      <c r="AU89" s="9" t="str">
        <f aca="false">IF($D89="Anchor",IF(OR($Z89="",$S89=""),"",$Z89),"")</f>
        <v/>
      </c>
      <c r="AV89" s="9" t="str">
        <f aca="false">IF($D89="Anchor",IF(OR($Z89="",$S89=""),"",$S89),"")</f>
        <v/>
      </c>
      <c r="AW89" s="9" t="str">
        <f aca="false">IF($D89="Anchor",IF(OR($AE89="",$T89=""),"",$AE89),"")</f>
        <v/>
      </c>
      <c r="AX89" s="9" t="str">
        <f aca="false">IF($D89="Anchor",IF(OR($AE89="",$T89=""),"",$T89),"")</f>
        <v/>
      </c>
      <c r="AY89" s="9" t="str">
        <f aca="false">IF(OR($D89="Blank",$D89="Exclude",$D89="Sample",$D89="",$G89="",$U89="",$L89=""),"",$G89*1000*$U89/100)</f>
        <v/>
      </c>
      <c r="AZ89" s="9" t="str">
        <f aca="false">IF($AY89="","",$L89)</f>
        <v/>
      </c>
      <c r="BA89" s="9" t="str">
        <f aca="false">IF(OR($D89="Blank",$D89="Exclude",$D89="Sample",$D89="",$G89="",$V89="",$P89=""),"",$G89*1000*$V89/100)</f>
        <v/>
      </c>
      <c r="BB89" s="9" t="str">
        <f aca="false">IF($BA89="","",$P89)</f>
        <v/>
      </c>
      <c r="BC89" s="9" t="str">
        <f aca="false">IF(AND($D89="Blank",$L89&lt;&gt;""),$O89,"")</f>
        <v/>
      </c>
      <c r="BD89" s="9" t="str">
        <f aca="false">IF($BC89="","",$L89)</f>
        <v/>
      </c>
      <c r="BE89" s="9" t="str">
        <f aca="false">IF(AND($D89="Blank",$P89&lt;&gt;""),$R89,"")</f>
        <v/>
      </c>
      <c r="BF89" s="9" t="str">
        <f aca="false">IF($BE89="","",$P89)</f>
        <v/>
      </c>
      <c r="BG89" s="9" t="str">
        <f aca="false">IF(AND($D89="Drift",$BX89&lt;&gt;1),IF($AA89="","",$AA89),"")</f>
        <v/>
      </c>
      <c r="BH89" s="9" t="str">
        <f aca="false">IF(AND($D89="Drift",$BY89&lt;&gt;1),IF($AF89="","",$AF89),"")</f>
        <v/>
      </c>
      <c r="BI89" s="20" t="str">
        <f aca="false">IF($B89="","",IFERROR(INDEX(Raw!$G$2:$G$1001,MATCH($A89&amp;"|N|"&amp;SUMPRODUCT(MAX((Raw!$A$2:$A$1001=$A89)*(Raw!$R$2:$R$1001="N")*(Raw!$I$2:$I$1001=1)*Raw!$D$2:$D$1001)),Raw!$S$2:$S$1001,0)),""))</f>
        <v/>
      </c>
      <c r="BJ89" s="21" t="str">
        <f aca="false">IF(OR($BI89="",Fits!$B$85&lt;=0),"",($BI89-Fits!$B$83)/Fits!$B$85)</f>
        <v/>
      </c>
      <c r="BK89" s="9" t="str">
        <f aca="false">IF($AS89="","",IF($A89&gt;=Fits!$B$86,"",$A89))</f>
        <v/>
      </c>
      <c r="BL89" s="9" t="str">
        <f aca="false">IF($BK89="","",$X89)</f>
        <v/>
      </c>
      <c r="BM89" s="9" t="str">
        <f aca="false">IF($AS89="","",IF($A89&lt;Fits!$B$86,"",$A89))</f>
        <v/>
      </c>
      <c r="BN89" s="9" t="str">
        <f aca="false">IF($BM89="","",$X89)</f>
        <v/>
      </c>
      <c r="BO89" s="9" t="str">
        <f aca="false">IF(AND($D89="Drift",$BX89&lt;&gt;1),IF($O89="","",$O89),"")</f>
        <v/>
      </c>
      <c r="BP89" s="9" t="str">
        <f aca="false">IF(AND($D89="Drift",$BX89&lt;&gt;1),IF($W89="","",$W89),"")</f>
        <v/>
      </c>
      <c r="BQ89" s="9" t="str">
        <f aca="false">IF(AND($D89="Drift",$BX89&lt;&gt;1),IF($X89="","",$X89),"")</f>
        <v/>
      </c>
      <c r="BR89" s="9" t="str">
        <f aca="false">IF(AND($D89="Drift",$BX89&lt;&gt;1),IF($Z89="","",$Z89),"")</f>
        <v/>
      </c>
      <c r="BS89" s="9" t="str">
        <f aca="false">IF(OR($B89="",$H89=""),"",SUMPRODUCT(MIN((Raw!$A$2:$A$1001=$A89)*(Raw!$R$2:$R$1001="N")*(Raw!$I$2:$I$1001=0)*(Raw!$D$2:$D$1001&lt;$H89)*Raw!$D$2:$D$1001+(1-(Raw!$A$2:$A$1001=$A89)*(Raw!$R$2:$R$1001="N")*(Raw!$I$2:$I$1001=0)*(Raw!$D$2:$D$1001&lt;$H89))*9999)))</f>
        <v/>
      </c>
      <c r="BT89" s="16" t="str">
        <f aca="false">IF(OR($BS89="",$BS89=9999,$BS89=0),"",IFERROR(INDEX(Raw!$N$2:$N$1001,MATCH($A89&amp;"|N|"&amp;$BS89,Raw!$S$2:$S$1001,0)),""))</f>
        <v/>
      </c>
      <c r="BU89" s="9" t="str">
        <f aca="false">IF($B89="","",SUMPRODUCT(MIN((Raw!$A$2:$A$1001=$A89)*(Raw!$R$2:$R$1001="C")*(Raw!$I$2:$I$1001=1)*Raw!$D$2:$D$1001+(1-(Raw!$A$2:$A$1001=$A89)*(Raw!$R$2:$R$1001="C")*(Raw!$I$2:$I$1001=1))*9999)))</f>
        <v/>
      </c>
      <c r="BV89" s="9" t="str">
        <f aca="false">IF(OR($BU89="",$BU89=9999),"",SUMPRODUCT(MIN((Raw!$A$2:$A$1001=$A89)*(Raw!$R$2:$R$1001="C")*(Raw!$I$2:$I$1001=0)*(Raw!$D$2:$D$1001&gt;$BU89)*Raw!$D$2:$D$1001+(1-(Raw!$A$2:$A$1001=$A89)*(Raw!$R$2:$R$1001="C")*(Raw!$I$2:$I$1001=0)*(Raw!$D$2:$D$1001&gt;$BU89))*9999)))</f>
        <v/>
      </c>
      <c r="BW89" s="16" t="str">
        <f aca="false">IF(OR($BV89="",$BV89=9999,$BV89=0),"",IFERROR(INDEX(Raw!$O$2:$O$1001,MATCH($A89&amp;"|C|"&amp;$BV89,Raw!$S$2:$S$1001,0)),""))</f>
        <v/>
      </c>
      <c r="BX89" s="9" t="str">
        <f aca="false">IF($B89="","",IF(ISNUMBER(SEARCH(","&amp;$A89&amp;",",","&amp;SUBSTITUTE(Setup!$B$16," ","")&amp;",")),1,0))</f>
        <v/>
      </c>
      <c r="BY89" s="9" t="str">
        <f aca="false">IF($B89="","",IF(ISNUMBER(SEARCH(","&amp;$A89&amp;",",","&amp;SUBSTITUTE(Setup!$B$17," ","")&amp;",")),1,0))</f>
        <v/>
      </c>
      <c r="BZ89" s="22" t="str">
        <f aca="false">IF($AS89="","",IF(Fits!$B$38="Row",$AQ89,IF($AR89="","",$AR89)))</f>
        <v/>
      </c>
      <c r="CA89" s="22" t="str">
        <f aca="false">IF($AT89="","",IF(Fits!$B$50="Row",$AQ89,IF($AR89="","",$AR89)))</f>
        <v/>
      </c>
      <c r="CB89" s="20" t="str">
        <f aca="false">IF(OR($D89&lt;&gt;"Drift",$X89="",$A89&lt;IF(Setup!$B$14="",0,Setup!$B$14),Fits!$B$107&lt;3,Fits!$B$110="",Fits!$B$109=0,IF(Fits!$B$38="Row",$AQ89,$AR89)=""),"",IF($BX89=1,IF(OR(Fits!$B$111="",Fits!$B$111=0),"",($X89-(IF(Fits!$B$38="Row",Fits!$B$32,Fits!$B$35)*IF(Fits!$B$38="Row",$AQ89,$AR89)+Fits!$B$110))/(Fits!$B$111*SQRT(1+(1/Fits!$B$107+(IF(Fits!$B$38="Row",$AQ89,$AR89)-Fits!$B$108)^2/Fits!$B$109)))),IF(OR(Fits!$B$107&lt;4,(1/Fits!$B$107+(IF(Fits!$B$38="Row",$AQ89,$AR89)-Fits!$B$108)^2/Fits!$B$109)&gt;=1),"",IF((Fits!$B$116-($X89-(IF(Fits!$B$38="Row",Fits!$B$32,Fits!$B$35)*IF(Fits!$B$38="Row",$AQ89,$AR89)+Fits!$B$110))^2/(1-(1/Fits!$B$107+(IF(Fits!$B$38="Row",$AQ89,$AR89)-Fits!$B$108)^2/Fits!$B$109)))&lt;=0,"",($X89-(IF(Fits!$B$38="Row",Fits!$B$32,Fits!$B$35)*IF(Fits!$B$38="Row",$AQ89,$AR89)+Fits!$B$110))/(SQRT((Fits!$B$116-($X89-(IF(Fits!$B$38="Row",Fits!$B$32,Fits!$B$35)*IF(Fits!$B$38="Row",$AQ89,$AR89)+Fits!$B$110))^2/(1-(1/Fits!$B$107+(IF(Fits!$B$38="Row",$AQ89,$AR89)-Fits!$B$108)^2/Fits!$B$109)))/(Fits!$B$107-3))*SQRT(1-(1/Fits!$B$107+(IF(Fits!$B$38="Row",$AQ89,$AR89)-Fits!$B$108)^2/Fits!$B$109)))))))</f>
        <v/>
      </c>
      <c r="CC89" s="20" t="str">
        <f aca="false">IF(OR($D89&lt;&gt;"Drift",$AC89="",$A89&lt;IF(Setup!$B$14="",0,Setup!$B$14),Fits!$B$120&lt;3,Fits!$B$123="",Fits!$B$122=0,IF(Fits!$B$50="Row",$AQ89,$AR89)=""),"",IF($BY89=1,IF(OR(Fits!$B$124="",Fits!$B$124=0),"",($AC89-(IF(Fits!$B$50="Row",Fits!$B$44,Fits!$B$47)*IF(Fits!$B$50="Row",$AQ89,$AR89)+Fits!$B$123))/(Fits!$B$124*SQRT(1+(1/Fits!$B$120+(IF(Fits!$B$50="Row",$AQ89,$AR89)-Fits!$B$121)^2/Fits!$B$122)))),IF(OR(Fits!$B$120&lt;4,(1/Fits!$B$120+(IF(Fits!$B$50="Row",$AQ89,$AR89)-Fits!$B$121)^2/Fits!$B$122)&gt;=1),"",IF((Fits!$B$129-($AC89-(IF(Fits!$B$50="Row",Fits!$B$44,Fits!$B$47)*IF(Fits!$B$50="Row",$AQ89,$AR89)+Fits!$B$123))^2/(1-(1/Fits!$B$120+(IF(Fits!$B$50="Row",$AQ89,$AR89)-Fits!$B$121)^2/Fits!$B$122)))&lt;=0,"",($AC89-(IF(Fits!$B$50="Row",Fits!$B$44,Fits!$B$47)*IF(Fits!$B$50="Row",$AQ89,$AR89)+Fits!$B$123))/(SQRT((Fits!$B$129-($AC89-(IF(Fits!$B$50="Row",Fits!$B$44,Fits!$B$47)*IF(Fits!$B$50="Row",$AQ89,$AR89)+Fits!$B$123))^2/(1-(1/Fits!$B$120+(IF(Fits!$B$50="Row",$AQ89,$AR89)-Fits!$B$121)^2/Fits!$B$122)))/(Fits!$B$120-3))*SQRT(1-(1/Fits!$B$120+(IF(Fits!$B$50="Row",$AQ89,$AR89)-Fits!$B$121)^2/Fits!$B$122)))))))</f>
        <v/>
      </c>
      <c r="CD89" s="9" t="str">
        <f aca="false">IF($AU89="","",1)</f>
        <v/>
      </c>
      <c r="CE89" s="24" t="str">
        <f aca="false">IF($AU89="","",$AU89-Fits!$B$133)</f>
        <v/>
      </c>
      <c r="CF89" s="24" t="str">
        <f aca="false">IF($AU89="","",($AV89-(Fits!$B$56*$AU89+Fits!$B$57))-Fits!$B$56*($AU89-Fits!$B$133))</f>
        <v/>
      </c>
      <c r="CG89" s="25" t="str">
        <f aca="false">IF($AU89="","",$AU89^2)</f>
        <v/>
      </c>
      <c r="CH89" s="9" t="str">
        <f aca="false">IF($AW89="","",1)</f>
        <v/>
      </c>
      <c r="CI89" s="24" t="str">
        <f aca="false">IF($AW89="","",$AW89-Fits!$B$153)</f>
        <v/>
      </c>
      <c r="CJ89" s="24" t="str">
        <f aca="false">IF($AW89="","",($AX89-(Fits!$B$63*$AW89+Fits!$B$64))-Fits!$B$63*($AW89-Fits!$B$153))</f>
        <v/>
      </c>
      <c r="CK89" s="25" t="str">
        <f aca="false">IF($AW89="","",$AW89^2)</f>
        <v/>
      </c>
      <c r="CL89" s="26" t="str">
        <f aca="false">IF(OR($Z89="",Fits!$B$55&lt;3,Fits!$B$133="",Fits!$B$134="",Fits!$B$134=0,Fits!$B$136=""),"",SQRT((Fits!$B$136*Fits!$B$56)^2+SUMPRODUCT((Fits!$J$163:$J$175*(Fits!$B$163:$B$175/Fits!$B$55+Fits!$H$163:$H$175*($Z89-Fits!$B$133)/Fits!$B$134))^2)+SUMPRODUCT((Fits!$G$163:$G$175*(($Z89-Fits!$B$133)*Fits!$I$163:$I$175/Fits!$B$134-Fits!$B$163:$B$175*Fits!$B$56/Fits!$B$55))^2)))</f>
        <v/>
      </c>
      <c r="CM89" s="26" t="str">
        <f aca="false">IF($CL89="","",Setup!$B$32*$CL89)</f>
        <v/>
      </c>
      <c r="CN89" s="26" t="str">
        <f aca="false">IF(OR($AE89="",Fits!$B$62&lt;3,Fits!$B$153="",Fits!$B$154="",Fits!$B$154=0,Fits!$B$156=""),"",SQRT((Fits!$B$156*Fits!$B$63)^2+SUMPRODUCT((Fits!$J$183:$J$195*(Fits!$B$183:$B$195/Fits!$B$62+Fits!$H$183:$H$195*($AE89-Fits!$B$153)/Fits!$B$154))^2)+SUMPRODUCT((Fits!$G$183:$G$195*(($AE89-Fits!$B$153)*Fits!$I$183:$I$195/Fits!$B$154-Fits!$B$183:$B$195*Fits!$B$63/Fits!$B$62))^2)))</f>
        <v/>
      </c>
      <c r="CO89" s="26" t="str">
        <f aca="false">IF($CN89="","",Setup!$B$32*$CN89)</f>
        <v/>
      </c>
      <c r="CP89" s="9" t="n">
        <f aca="false">IF(OR(NOT(ISNUMBER($BJ89)),$EK89=1),$CP88,IF($BJ89&lt;=Setup!$B$26,$CP88+1,0))</f>
        <v>26</v>
      </c>
      <c r="CQ89" s="9" t="str">
        <f aca="false">IF($BT89="","",$A89)</f>
        <v/>
      </c>
      <c r="CR89" s="9" t="str">
        <f aca="false">IF($BW89="","",$A89)</f>
        <v/>
      </c>
      <c r="CS89" s="9" t="str">
        <f aca="false">IF($B89="","",IF(Setup!$A$37="",0,IF(ISNUMBER(SEARCH(Setup!$A$37,$B89)),37,0)))</f>
        <v/>
      </c>
      <c r="CT89" s="9" t="str">
        <f aca="false">IF($B89="","",IF(Setup!$A$38="",0,IF(ISNUMBER(SEARCH(Setup!$A$38,$B89)),38,0)))</f>
        <v/>
      </c>
      <c r="CU89" s="9" t="str">
        <f aca="false">IF($B89="","",IF(Setup!$A$39="",0,IF(ISNUMBER(SEARCH(Setup!$A$39,$B89)),39,0)))</f>
        <v/>
      </c>
      <c r="CV89" s="9" t="str">
        <f aca="false">IF($B89="","",IF(Setup!$A$40="",0,IF(ISNUMBER(SEARCH(Setup!$A$40,$B89)),40,0)))</f>
        <v/>
      </c>
      <c r="CW89" s="9" t="str">
        <f aca="false">IF($B89="","",IF(Setup!$A$41="",0,IF(ISNUMBER(SEARCH(Setup!$A$41,$B89)),41,0)))</f>
        <v/>
      </c>
      <c r="CX89" s="9" t="str">
        <f aca="false">IF($B89="","",IF(Setup!$A$42="",0,IF(ISNUMBER(SEARCH(Setup!$A$42,$B89)),42,0)))</f>
        <v/>
      </c>
      <c r="CY89" s="9" t="str">
        <f aca="false">IF($B89="","",IF(Setup!$A$43="",0,IF(ISNUMBER(SEARCH(Setup!$A$43,$B89)),43,0)))</f>
        <v/>
      </c>
      <c r="CZ89" s="9" t="str">
        <f aca="false">IF($B89="","",IF(Setup!$A$44="",0,IF(ISNUMBER(SEARCH(Setup!$A$44,$B89)),44,0)))</f>
        <v/>
      </c>
      <c r="DA89" s="9" t="str">
        <f aca="false">IF($B89="","",IF(Setup!$A$45="",0,IF(ISNUMBER(SEARCH(Setup!$A$45,$B89)),45,0)))</f>
        <v/>
      </c>
      <c r="DB89" s="9" t="str">
        <f aca="false">IF($B89="","",IF(Setup!$A$46="",0,IF(ISNUMBER(SEARCH(Setup!$A$46,$B89)),46,0)))</f>
        <v/>
      </c>
      <c r="DC89" s="9" t="str">
        <f aca="false">IF($B89="","",IF(Setup!$A$47="",0,IF(ISNUMBER(SEARCH(Setup!$A$47,$B89)),47,0)))</f>
        <v/>
      </c>
      <c r="DD89" s="9" t="str">
        <f aca="false">IF($B89="","",IF(Setup!$A$48="",0,IF(ISNUMBER(SEARCH(Setup!$A$48,$B89)),48,0)))</f>
        <v/>
      </c>
      <c r="DE89" s="9" t="str">
        <f aca="false">IF($B89="","",IF(Setup!$A$49="",0,IF(ISNUMBER(SEARCH(Setup!$A$49,$B89)),49,0)))</f>
        <v/>
      </c>
      <c r="DF89" s="9" t="e">
        <f aca="false">IF($B89="",NA(),$A89)</f>
        <v>#N/A</v>
      </c>
      <c r="DG89" s="9" t="e">
        <f aca="false">IF($BI89="",NA(),$BI89)</f>
        <v>#N/A</v>
      </c>
      <c r="DH89" s="9" t="e">
        <f aca="false">IF($N89="",NA(),$N89)</f>
        <v>#N/A</v>
      </c>
      <c r="DI89" s="9" t="e">
        <f aca="false">IF(AND($D89="Drift",$N89&lt;&gt;""),$N89,NA())</f>
        <v>#N/A</v>
      </c>
      <c r="DJ89" s="9" t="str">
        <f aca="false">IF(AND($D89="Drift",$N89&lt;&gt;""),$N89,"")</f>
        <v/>
      </c>
      <c r="DK89" s="9" t="str">
        <f aca="false">IF($DJ89="","",$A89)</f>
        <v/>
      </c>
      <c r="DL89" s="9" t="e">
        <f aca="false">IF($AN89="",NA(),$AM89)</f>
        <v>#N/A</v>
      </c>
      <c r="DM89" s="9" t="e">
        <f aca="false">IF($AN89="",NA(),$AN89)</f>
        <v>#N/A</v>
      </c>
      <c r="DN89" s="9" t="e">
        <f aca="false">IF(AND($D89="Sample",$L89&lt;&gt;""),$L89,NA())</f>
        <v>#N/A</v>
      </c>
      <c r="DO89" s="9" t="e">
        <f aca="false">IF(AND($D89="Sample",$L89&lt;&gt;"",Fits!$B$98&lt;&gt;""),Fits!$B$98,NA())</f>
        <v>#N/A</v>
      </c>
      <c r="DP89" s="9" t="e">
        <f aca="false">IF($AS89="",NA(),$AS89)</f>
        <v>#N/A</v>
      </c>
      <c r="DQ89" s="9" t="e">
        <f aca="false">IF(AND($D89="Drift",$AS89="",$X89&lt;&gt;""),$X89,NA())</f>
        <v>#N/A</v>
      </c>
      <c r="DR89" s="9" t="e">
        <f aca="false">IF(AND($D89="Drift",$Z89&lt;&gt;""),$Z89,NA())</f>
        <v>#N/A</v>
      </c>
      <c r="DS89" s="9" t="e">
        <f aca="false">IF(AND(OR($D89="Sample",$D89="Check"),$AA89&lt;&gt;""),$AA89,NA())</f>
        <v>#N/A</v>
      </c>
      <c r="DT89" s="9" t="e">
        <f aca="false">IF(OR($B89="",Fits!$B$138=""),NA(),Fits!$B$138)</f>
        <v>#N/A</v>
      </c>
      <c r="DU89" s="9" t="e">
        <f aca="false">IF(OR($B89="",Fits!$B$139=""),NA(),Fits!$B$139)</f>
        <v>#N/A</v>
      </c>
      <c r="DV89" s="9" t="e">
        <f aca="false">IF($BT89="",NA(),$BT89)</f>
        <v>#N/A</v>
      </c>
      <c r="DW89" s="9" t="e">
        <f aca="false">IF($AP89="",NA(),$AO89)</f>
        <v>#N/A</v>
      </c>
      <c r="DX89" s="9" t="e">
        <f aca="false">IF($AP89="",NA(),$AP89)</f>
        <v>#N/A</v>
      </c>
      <c r="DY89" s="9" t="e">
        <f aca="false">IF(AND($D89="Sample",$P89&lt;&gt;""),$P89,NA())</f>
        <v>#N/A</v>
      </c>
      <c r="DZ89" s="9" t="e">
        <f aca="false">IF(AND($D89="Sample",$P89&lt;&gt;"",Fits!$B$105&lt;&gt;""),Fits!$B$105,NA())</f>
        <v>#N/A</v>
      </c>
      <c r="EA89" s="9" t="e">
        <f aca="false">IF($AT89="",NA(),$AT89)</f>
        <v>#N/A</v>
      </c>
      <c r="EB89" s="9" t="e">
        <f aca="false">IF(AND($D89="Drift",$AT89="",$AC89&lt;&gt;""),$AC89,NA())</f>
        <v>#N/A</v>
      </c>
      <c r="EC89" s="9" t="e">
        <f aca="false">IF(AND($D89="Drift",$AE89&lt;&gt;""),$AE89,NA())</f>
        <v>#N/A</v>
      </c>
      <c r="ED89" s="9" t="e">
        <f aca="false">IF(AND(OR($D89="Sample",$D89="Check"),$AF89&lt;&gt;""),$AF89,NA())</f>
        <v>#N/A</v>
      </c>
      <c r="EE89" s="9" t="e">
        <f aca="false">IF(OR($B89="",Fits!$B$158=""),NA(),Fits!$B$158)</f>
        <v>#N/A</v>
      </c>
      <c r="EF89" s="9" t="e">
        <f aca="false">IF(OR($B89="",Fits!$B$159=""),NA(),Fits!$B$159)</f>
        <v>#N/A</v>
      </c>
      <c r="EG89" s="9" t="e">
        <f aca="false">IF($BW89="",NA(),$BW89)</f>
        <v>#N/A</v>
      </c>
      <c r="EH89" s="9" t="e">
        <f aca="false">IF(AND($EN89=1,ISNUMBER($N89)),$N89,NA())</f>
        <v>#N/A</v>
      </c>
      <c r="EI89" s="9" t="str">
        <f aca="false">IF($B89="","",$A89)</f>
        <v/>
      </c>
      <c r="EJ89" s="9" t="n">
        <f aca="false">IF(OR(AND(ISNUMBER($L89),Fits!$B$97&gt;0,$L89&gt;Fits!$B$97),AND(ISNUMBER($P89),Fits!$B$104&gt;0,$P89&gt;Fits!$B$104)),1,0)</f>
        <v>0</v>
      </c>
      <c r="EK89" s="9" t="n">
        <f aca="false">IF(OR($EJ88=1,$EJ87=1),1,0)</f>
        <v>0</v>
      </c>
      <c r="EL89" s="22" t="n">
        <f aca="false">IF(AND($EK89=0,ISNUMBER($N89)),$N89,$EL88)</f>
        <v>25.7</v>
      </c>
      <c r="EM89" s="9" t="str">
        <f aca="false">IF(AND($EK89=1,ISNUMBER($N89),ISNUMBER($EL89)),$N89-$EL89,"")</f>
        <v/>
      </c>
      <c r="EN89" s="9" t="n">
        <f aca="false">IF(Setup!$B$28="",0,IF(ISNUMBER($EM89),IF($EM89&gt;Setup!$B$28,1,0),0))</f>
        <v>0</v>
      </c>
      <c r="EO89" s="9" t="str">
        <f aca="false">IF($EN89=1,COUNTIF($EN$6:$EN89,1),"")</f>
        <v/>
      </c>
      <c r="EP89" s="9" t="n">
        <f aca="false">IF(AND($EJ88=1,OR($D89="Sample",$D89="Check")),1,0)</f>
        <v>0</v>
      </c>
      <c r="EQ89" s="9" t="str">
        <f aca="false">IF(ISNUMBER($BI89),IF(COUNT($BI$6:$BI89)&lt;=5,$BI89,""),"")</f>
        <v/>
      </c>
      <c r="ER89" s="9" t="n">
        <f aca="false">IF(OR(NOT(ISNUMBER($BJ89)),$EK89=1),$ER88,IF($BJ89&lt;=Setup!$B$26,IF($CP88=0,$A89,$ER88),""))</f>
        <v>27</v>
      </c>
    </row>
    <row r="90" customFormat="false" ht="15" hidden="false" customHeight="false" outlineLevel="0" collapsed="false">
      <c r="A90" s="8" t="n">
        <v>85</v>
      </c>
      <c r="B90" s="8" t="str">
        <f aca="false">IFERROR(INDEX(Raw!$B$2:$B$1001,MATCH($A90,Raw!$A$2:$A$1001,0)),"")</f>
        <v/>
      </c>
      <c r="C90" s="9" t="str">
        <f aca="false">IF($B90="","",MAX($CS90:$DE90))</f>
        <v/>
      </c>
      <c r="D90" s="8" t="str">
        <f aca="false">IF($B90="","",IF($C90=0,"Sample",INDEX(Setup!$B$37:$B$49,$C90-36)))</f>
        <v/>
      </c>
      <c r="E90" s="16" t="str">
        <f aca="false">IF($B90="","",IFERROR(IF(INDEX(Raw!$E$2:$E$1001,MATCH($A90,Raw!$A$2:$A$1001,0))=0,"",INDEX(Raw!$E$2:$E$1001,MATCH($A90,Raw!$A$2:$A$1001,0))),""))</f>
        <v/>
      </c>
      <c r="F90" s="18"/>
      <c r="G90" s="16" t="str">
        <f aca="false">IF($B90="","",IF($F90&lt;&gt;"",$F90,IF($E90="","",$E90)))</f>
        <v/>
      </c>
      <c r="H90" s="9" t="str">
        <f aca="false">IF($B90="","",SUMPRODUCT(MAX((Raw!$A$2:$A$1001=$A90)*(Raw!$R$2:$R$1001="N")*Raw!$D$2:$D$1001)))</f>
        <v/>
      </c>
      <c r="I90" s="9" t="str">
        <f aca="false">IF(OR($H90="",$H90=0),"",$A90&amp;"|N|"&amp;$H90)</f>
        <v/>
      </c>
      <c r="J90" s="9" t="str">
        <f aca="false">IF($B90="","",SUMPRODUCT(MIN((Raw!$A$2:$A$1001=$A90)*(Raw!$R$2:$R$1001="C")*Raw!$D$2:$D$1001+(1-(Raw!$A$2:$A$1001=$A90)*(Raw!$R$2:$R$1001="C"))*9999)))</f>
        <v/>
      </c>
      <c r="K90" s="9" t="str">
        <f aca="false">IF(OR($J90="",$J90=0,$J90=9999),"",$A90&amp;"|C|"&amp;$J90)</f>
        <v/>
      </c>
      <c r="L90" s="16" t="str">
        <f aca="false">IF($I90="","",IF(INDEX(Raw!$I$2:$I$1001,MATCH($I90,Raw!$S$2:$S$1001,0))&lt;&gt;0,"",INDEX(Raw!$H$2:$H$1001,MATCH($I90,Raw!$S$2:$S$1001,0))))</f>
        <v/>
      </c>
      <c r="M90" s="19" t="str">
        <f aca="false">IF($I90="","",IF(INDEX(Raw!$I$2:$I$1001,MATCH($I90,Raw!$S$2:$S$1001,0))&lt;&gt;0,"",INDEX(Raw!$F$2:$F$1001,MATCH($I90,Raw!$S$2:$S$1001,0))))</f>
        <v/>
      </c>
      <c r="N90" s="20" t="str">
        <f aca="false">IF($I90="","",IF(INDEX(Raw!$I$2:$I$1001,MATCH($I90,Raw!$S$2:$S$1001,0))&lt;&gt;0,"",INDEX(Raw!$G$2:$G$1001,MATCH($I90,Raw!$S$2:$S$1001,0))))</f>
        <v/>
      </c>
      <c r="O90" s="16" t="str">
        <f aca="false">IF($I90="","",IF(INDEX(Raw!$I$2:$I$1001,MATCH($I90,Raw!$S$2:$S$1001,0))&lt;&gt;0,"",INDEX(Raw!$N$2:$N$1001,MATCH($I90,Raw!$S$2:$S$1001,0))))</f>
        <v/>
      </c>
      <c r="P90" s="16" t="str">
        <f aca="false">IF($K90="","",IF(INDEX(Raw!$I$2:$I$1001,MATCH($K90,Raw!$S$2:$S$1001,0))&lt;&gt;0,"",INDEX(Raw!$K$2:$K$1001,MATCH($K90,Raw!$S$2:$S$1001,0))))</f>
        <v/>
      </c>
      <c r="Q90" s="19" t="str">
        <f aca="false">IF($K90="","",IF(INDEX(Raw!$I$2:$I$1001,MATCH($K90,Raw!$S$2:$S$1001,0))&lt;&gt;0,"",INDEX(Raw!$J$2:$J$1001,MATCH($K90,Raw!$S$2:$S$1001,0))))</f>
        <v/>
      </c>
      <c r="R90" s="16" t="str">
        <f aca="false">IF($K90="","",IF(INDEX(Raw!$I$2:$I$1001,MATCH($K90,Raw!$S$2:$S$1001,0))&lt;&gt;0,"",INDEX(Raw!$O$2:$O$1001,MATCH($K90,Raw!$S$2:$S$1001,0))))</f>
        <v/>
      </c>
      <c r="S90" s="21" t="str">
        <f aca="false">IF($B90="","",IF($C90=0,"",IF(INDEX(Setup!$D$37:$D$49,$C90-36)="","",INDEX(Setup!$D$37:$D$49,$C90-36))))</f>
        <v/>
      </c>
      <c r="T90" s="21" t="str">
        <f aca="false">IF($B90="","",IF($C90=0,"",IF(INDEX(Setup!$C$37:$C$49,$C90-36)="","",INDEX(Setup!$C$37:$C$49,$C90-36))))</f>
        <v/>
      </c>
      <c r="U90" s="21" t="str">
        <f aca="false">IF($B90="","",IF($C90=0,"",IF(INDEX(Setup!$F$37:$F$49,$C90-36)="","",INDEX(Setup!$F$37:$F$49,$C90-36))))</f>
        <v/>
      </c>
      <c r="V90" s="21" t="str">
        <f aca="false">IF($B90="","",IF($C90=0,"",IF(INDEX(Setup!$E$37:$E$49,$C90-36)="","",INDEX(Setup!$E$37:$E$49,$C90-36))))</f>
        <v/>
      </c>
      <c r="W90" s="16" t="str">
        <f aca="false">IF($O90="","",IF(OR(Fits!$C$5&lt;&gt;"Yes",$D90="Blank",$L90&lt;=Fits!$B$6),$O90,($L90*$O90-Fits!$B$6*Fits!$B$7)/($L90-Fits!$B$6)))</f>
        <v/>
      </c>
      <c r="X90" s="16" t="str">
        <f aca="false">IF($W90="","",$W90-Fits!$B$20*($L90-Fits!$B$16))</f>
        <v/>
      </c>
      <c r="Y90" s="22" t="str">
        <f aca="false">IF($W90="","",IF(OR(Fits!$B$38="Row",$BI90=""),$A90,$BI90))</f>
        <v/>
      </c>
      <c r="Z90" s="16" t="str">
        <f aca="false">IF($X90="","",$X90-Fits!$B$39*($Y90-Fits!$B$40))</f>
        <v/>
      </c>
      <c r="AA90" s="23" t="str">
        <f aca="false">IF(OR($Z90="",Fits!$B$55&lt;2),"",Fits!$B$56*$Z90+Fits!$B$57)</f>
        <v/>
      </c>
      <c r="AB90" s="16" t="str">
        <f aca="false">IF($R90="","",IF(OR(Fits!$C$9&lt;&gt;"Yes",$D90="Blank",$P90&lt;=Fits!$B$10),$R90,($P90*$R90-Fits!$B$10*Fits!$B$11)/($P90-Fits!$B$10)))</f>
        <v/>
      </c>
      <c r="AC90" s="16" t="str">
        <f aca="false">IF($AB90="","",$AB90-Fits!$B$28*($P90-Fits!$B$24))</f>
        <v/>
      </c>
      <c r="AD90" s="22" t="str">
        <f aca="false">IF($AB90="","",IF(OR(Fits!$B$50="Row",$BI90=""),$A90,$BI90))</f>
        <v/>
      </c>
      <c r="AE90" s="16" t="str">
        <f aca="false">IF($AC90="","",$AC90-Fits!$B$51*($AD90-Fits!$B$52))</f>
        <v/>
      </c>
      <c r="AF90" s="23" t="str">
        <f aca="false">IF(OR($AE90="",Fits!$B$62&lt;2),"",Fits!$B$63*$AE90+Fits!$B$64)</f>
        <v/>
      </c>
      <c r="AG90" s="21" t="str">
        <f aca="false">IF(OR($L90="",Fits!$B$69&lt;3),"",($L90-Fits!$B$71)/Fits!$B$70)</f>
        <v/>
      </c>
      <c r="AH90" s="21" t="str">
        <f aca="false">IF(OR($P90="",Fits!$B$75&lt;3),"",($P90-Fits!$B$77)/Fits!$B$76)</f>
        <v/>
      </c>
      <c r="AI90" s="23" t="str">
        <f aca="false">IF(OR($AG90="",$G90="",$G90=0),"",$AG90/($G90*1000)*100)</f>
        <v/>
      </c>
      <c r="AJ90" s="23" t="str">
        <f aca="false">IF(OR($AH90="",$G90="",$G90=0),"",$AH90/($G90*1000)*100)</f>
        <v/>
      </c>
      <c r="AK90" s="23" t="str">
        <f aca="false">IF(OR($AG90="",$AH90="",$AG90&lt;=0),"",($AH90/Setup!$B$52)/($AG90/Setup!$B$53))</f>
        <v/>
      </c>
      <c r="AL90" s="23" t="str">
        <f aca="false">IF(OR($AG90="",$AH90="",$AG90&lt;=0),"",$AH90/$AG90)</f>
        <v/>
      </c>
      <c r="AM90" s="9" t="str">
        <f aca="false">IF($D90="Linearity",IF($L90="","",$L90),"")</f>
        <v/>
      </c>
      <c r="AN90" s="9" t="str">
        <f aca="false">IF($D90="Linearity",IF($W90="","",$W90),"")</f>
        <v/>
      </c>
      <c r="AO90" s="9" t="str">
        <f aca="false">IF($D90="Linearity",IF($P90="","",$P90),"")</f>
        <v/>
      </c>
      <c r="AP90" s="9" t="str">
        <f aca="false">IF($D90="Linearity",IF($AB90="","",$AB90),"")</f>
        <v/>
      </c>
      <c r="AQ90" s="9" t="str">
        <f aca="false">IF($D90="Drift",IF($A90&lt;IF(Setup!$B$14="",0,Setup!$B$14),"",$A90),"")</f>
        <v/>
      </c>
      <c r="AR90" s="9" t="str">
        <f aca="false">IF($D90="Drift",IF($A90&lt;IF(Setup!$B$14="",0,Setup!$B$14),"",IF($BI90="","",$BI90)),"")</f>
        <v/>
      </c>
      <c r="AS90" s="9" t="str">
        <f aca="false">IF($D90="Drift",IF($A90&lt;IF(Setup!$B$14="",0,Setup!$B$14),"",IF(OR($X90="",$BX90=1),"",$X90)),"")</f>
        <v/>
      </c>
      <c r="AT90" s="9" t="str">
        <f aca="false">IF($D90="Drift",IF($A90&lt;IF(Setup!$B$14="",0,Setup!$B$14),"",IF(OR($AC90="",$BY90=1),"",$AC90)),"")</f>
        <v/>
      </c>
      <c r="AU90" s="9" t="str">
        <f aca="false">IF($D90="Anchor",IF(OR($Z90="",$S90=""),"",$Z90),"")</f>
        <v/>
      </c>
      <c r="AV90" s="9" t="str">
        <f aca="false">IF($D90="Anchor",IF(OR($Z90="",$S90=""),"",$S90),"")</f>
        <v/>
      </c>
      <c r="AW90" s="9" t="str">
        <f aca="false">IF($D90="Anchor",IF(OR($AE90="",$T90=""),"",$AE90),"")</f>
        <v/>
      </c>
      <c r="AX90" s="9" t="str">
        <f aca="false">IF($D90="Anchor",IF(OR($AE90="",$T90=""),"",$T90),"")</f>
        <v/>
      </c>
      <c r="AY90" s="9" t="str">
        <f aca="false">IF(OR($D90="Blank",$D90="Exclude",$D90="Sample",$D90="",$G90="",$U90="",$L90=""),"",$G90*1000*$U90/100)</f>
        <v/>
      </c>
      <c r="AZ90" s="9" t="str">
        <f aca="false">IF($AY90="","",$L90)</f>
        <v/>
      </c>
      <c r="BA90" s="9" t="str">
        <f aca="false">IF(OR($D90="Blank",$D90="Exclude",$D90="Sample",$D90="",$G90="",$V90="",$P90=""),"",$G90*1000*$V90/100)</f>
        <v/>
      </c>
      <c r="BB90" s="9" t="str">
        <f aca="false">IF($BA90="","",$P90)</f>
        <v/>
      </c>
      <c r="BC90" s="9" t="str">
        <f aca="false">IF(AND($D90="Blank",$L90&lt;&gt;""),$O90,"")</f>
        <v/>
      </c>
      <c r="BD90" s="9" t="str">
        <f aca="false">IF($BC90="","",$L90)</f>
        <v/>
      </c>
      <c r="BE90" s="9" t="str">
        <f aca="false">IF(AND($D90="Blank",$P90&lt;&gt;""),$R90,"")</f>
        <v/>
      </c>
      <c r="BF90" s="9" t="str">
        <f aca="false">IF($BE90="","",$P90)</f>
        <v/>
      </c>
      <c r="BG90" s="9" t="str">
        <f aca="false">IF(AND($D90="Drift",$BX90&lt;&gt;1),IF($AA90="","",$AA90),"")</f>
        <v/>
      </c>
      <c r="BH90" s="9" t="str">
        <f aca="false">IF(AND($D90="Drift",$BY90&lt;&gt;1),IF($AF90="","",$AF90),"")</f>
        <v/>
      </c>
      <c r="BI90" s="20" t="str">
        <f aca="false">IF($B90="","",IFERROR(INDEX(Raw!$G$2:$G$1001,MATCH($A90&amp;"|N|"&amp;SUMPRODUCT(MAX((Raw!$A$2:$A$1001=$A90)*(Raw!$R$2:$R$1001="N")*(Raw!$I$2:$I$1001=1)*Raw!$D$2:$D$1001)),Raw!$S$2:$S$1001,0)),""))</f>
        <v/>
      </c>
      <c r="BJ90" s="21" t="str">
        <f aca="false">IF(OR($BI90="",Fits!$B$85&lt;=0),"",($BI90-Fits!$B$83)/Fits!$B$85)</f>
        <v/>
      </c>
      <c r="BK90" s="9" t="str">
        <f aca="false">IF($AS90="","",IF($A90&gt;=Fits!$B$86,"",$A90))</f>
        <v/>
      </c>
      <c r="BL90" s="9" t="str">
        <f aca="false">IF($BK90="","",$X90)</f>
        <v/>
      </c>
      <c r="BM90" s="9" t="str">
        <f aca="false">IF($AS90="","",IF($A90&lt;Fits!$B$86,"",$A90))</f>
        <v/>
      </c>
      <c r="BN90" s="9" t="str">
        <f aca="false">IF($BM90="","",$X90)</f>
        <v/>
      </c>
      <c r="BO90" s="9" t="str">
        <f aca="false">IF(AND($D90="Drift",$BX90&lt;&gt;1),IF($O90="","",$O90),"")</f>
        <v/>
      </c>
      <c r="BP90" s="9" t="str">
        <f aca="false">IF(AND($D90="Drift",$BX90&lt;&gt;1),IF($W90="","",$W90),"")</f>
        <v/>
      </c>
      <c r="BQ90" s="9" t="str">
        <f aca="false">IF(AND($D90="Drift",$BX90&lt;&gt;1),IF($X90="","",$X90),"")</f>
        <v/>
      </c>
      <c r="BR90" s="9" t="str">
        <f aca="false">IF(AND($D90="Drift",$BX90&lt;&gt;1),IF($Z90="","",$Z90),"")</f>
        <v/>
      </c>
      <c r="BS90" s="9" t="str">
        <f aca="false">IF(OR($B90="",$H90=""),"",SUMPRODUCT(MIN((Raw!$A$2:$A$1001=$A90)*(Raw!$R$2:$R$1001="N")*(Raw!$I$2:$I$1001=0)*(Raw!$D$2:$D$1001&lt;$H90)*Raw!$D$2:$D$1001+(1-(Raw!$A$2:$A$1001=$A90)*(Raw!$R$2:$R$1001="N")*(Raw!$I$2:$I$1001=0)*(Raw!$D$2:$D$1001&lt;$H90))*9999)))</f>
        <v/>
      </c>
      <c r="BT90" s="16" t="str">
        <f aca="false">IF(OR($BS90="",$BS90=9999,$BS90=0),"",IFERROR(INDEX(Raw!$N$2:$N$1001,MATCH($A90&amp;"|N|"&amp;$BS90,Raw!$S$2:$S$1001,0)),""))</f>
        <v/>
      </c>
      <c r="BU90" s="9" t="str">
        <f aca="false">IF($B90="","",SUMPRODUCT(MIN((Raw!$A$2:$A$1001=$A90)*(Raw!$R$2:$R$1001="C")*(Raw!$I$2:$I$1001=1)*Raw!$D$2:$D$1001+(1-(Raw!$A$2:$A$1001=$A90)*(Raw!$R$2:$R$1001="C")*(Raw!$I$2:$I$1001=1))*9999)))</f>
        <v/>
      </c>
      <c r="BV90" s="9" t="str">
        <f aca="false">IF(OR($BU90="",$BU90=9999),"",SUMPRODUCT(MIN((Raw!$A$2:$A$1001=$A90)*(Raw!$R$2:$R$1001="C")*(Raw!$I$2:$I$1001=0)*(Raw!$D$2:$D$1001&gt;$BU90)*Raw!$D$2:$D$1001+(1-(Raw!$A$2:$A$1001=$A90)*(Raw!$R$2:$R$1001="C")*(Raw!$I$2:$I$1001=0)*(Raw!$D$2:$D$1001&gt;$BU90))*9999)))</f>
        <v/>
      </c>
      <c r="BW90" s="16" t="str">
        <f aca="false">IF(OR($BV90="",$BV90=9999,$BV90=0),"",IFERROR(INDEX(Raw!$O$2:$O$1001,MATCH($A90&amp;"|C|"&amp;$BV90,Raw!$S$2:$S$1001,0)),""))</f>
        <v/>
      </c>
      <c r="BX90" s="9" t="str">
        <f aca="false">IF($B90="","",IF(ISNUMBER(SEARCH(","&amp;$A90&amp;",",","&amp;SUBSTITUTE(Setup!$B$16," ","")&amp;",")),1,0))</f>
        <v/>
      </c>
      <c r="BY90" s="9" t="str">
        <f aca="false">IF($B90="","",IF(ISNUMBER(SEARCH(","&amp;$A90&amp;",",","&amp;SUBSTITUTE(Setup!$B$17," ","")&amp;",")),1,0))</f>
        <v/>
      </c>
      <c r="BZ90" s="22" t="str">
        <f aca="false">IF($AS90="","",IF(Fits!$B$38="Row",$AQ90,IF($AR90="","",$AR90)))</f>
        <v/>
      </c>
      <c r="CA90" s="22" t="str">
        <f aca="false">IF($AT90="","",IF(Fits!$B$50="Row",$AQ90,IF($AR90="","",$AR90)))</f>
        <v/>
      </c>
      <c r="CB90" s="20" t="str">
        <f aca="false">IF(OR($D90&lt;&gt;"Drift",$X90="",$A90&lt;IF(Setup!$B$14="",0,Setup!$B$14),Fits!$B$107&lt;3,Fits!$B$110="",Fits!$B$109=0,IF(Fits!$B$38="Row",$AQ90,$AR90)=""),"",IF($BX90=1,IF(OR(Fits!$B$111="",Fits!$B$111=0),"",($X90-(IF(Fits!$B$38="Row",Fits!$B$32,Fits!$B$35)*IF(Fits!$B$38="Row",$AQ90,$AR90)+Fits!$B$110))/(Fits!$B$111*SQRT(1+(1/Fits!$B$107+(IF(Fits!$B$38="Row",$AQ90,$AR90)-Fits!$B$108)^2/Fits!$B$109)))),IF(OR(Fits!$B$107&lt;4,(1/Fits!$B$107+(IF(Fits!$B$38="Row",$AQ90,$AR90)-Fits!$B$108)^2/Fits!$B$109)&gt;=1),"",IF((Fits!$B$116-($X90-(IF(Fits!$B$38="Row",Fits!$B$32,Fits!$B$35)*IF(Fits!$B$38="Row",$AQ90,$AR90)+Fits!$B$110))^2/(1-(1/Fits!$B$107+(IF(Fits!$B$38="Row",$AQ90,$AR90)-Fits!$B$108)^2/Fits!$B$109)))&lt;=0,"",($X90-(IF(Fits!$B$38="Row",Fits!$B$32,Fits!$B$35)*IF(Fits!$B$38="Row",$AQ90,$AR90)+Fits!$B$110))/(SQRT((Fits!$B$116-($X90-(IF(Fits!$B$38="Row",Fits!$B$32,Fits!$B$35)*IF(Fits!$B$38="Row",$AQ90,$AR90)+Fits!$B$110))^2/(1-(1/Fits!$B$107+(IF(Fits!$B$38="Row",$AQ90,$AR90)-Fits!$B$108)^2/Fits!$B$109)))/(Fits!$B$107-3))*SQRT(1-(1/Fits!$B$107+(IF(Fits!$B$38="Row",$AQ90,$AR90)-Fits!$B$108)^2/Fits!$B$109)))))))</f>
        <v/>
      </c>
      <c r="CC90" s="20" t="str">
        <f aca="false">IF(OR($D90&lt;&gt;"Drift",$AC90="",$A90&lt;IF(Setup!$B$14="",0,Setup!$B$14),Fits!$B$120&lt;3,Fits!$B$123="",Fits!$B$122=0,IF(Fits!$B$50="Row",$AQ90,$AR90)=""),"",IF($BY90=1,IF(OR(Fits!$B$124="",Fits!$B$124=0),"",($AC90-(IF(Fits!$B$50="Row",Fits!$B$44,Fits!$B$47)*IF(Fits!$B$50="Row",$AQ90,$AR90)+Fits!$B$123))/(Fits!$B$124*SQRT(1+(1/Fits!$B$120+(IF(Fits!$B$50="Row",$AQ90,$AR90)-Fits!$B$121)^2/Fits!$B$122)))),IF(OR(Fits!$B$120&lt;4,(1/Fits!$B$120+(IF(Fits!$B$50="Row",$AQ90,$AR90)-Fits!$B$121)^2/Fits!$B$122)&gt;=1),"",IF((Fits!$B$129-($AC90-(IF(Fits!$B$50="Row",Fits!$B$44,Fits!$B$47)*IF(Fits!$B$50="Row",$AQ90,$AR90)+Fits!$B$123))^2/(1-(1/Fits!$B$120+(IF(Fits!$B$50="Row",$AQ90,$AR90)-Fits!$B$121)^2/Fits!$B$122)))&lt;=0,"",($AC90-(IF(Fits!$B$50="Row",Fits!$B$44,Fits!$B$47)*IF(Fits!$B$50="Row",$AQ90,$AR90)+Fits!$B$123))/(SQRT((Fits!$B$129-($AC90-(IF(Fits!$B$50="Row",Fits!$B$44,Fits!$B$47)*IF(Fits!$B$50="Row",$AQ90,$AR90)+Fits!$B$123))^2/(1-(1/Fits!$B$120+(IF(Fits!$B$50="Row",$AQ90,$AR90)-Fits!$B$121)^2/Fits!$B$122)))/(Fits!$B$120-3))*SQRT(1-(1/Fits!$B$120+(IF(Fits!$B$50="Row",$AQ90,$AR90)-Fits!$B$121)^2/Fits!$B$122)))))))</f>
        <v/>
      </c>
      <c r="CD90" s="9" t="str">
        <f aca="false">IF($AU90="","",1)</f>
        <v/>
      </c>
      <c r="CE90" s="24" t="str">
        <f aca="false">IF($AU90="","",$AU90-Fits!$B$133)</f>
        <v/>
      </c>
      <c r="CF90" s="24" t="str">
        <f aca="false">IF($AU90="","",($AV90-(Fits!$B$56*$AU90+Fits!$B$57))-Fits!$B$56*($AU90-Fits!$B$133))</f>
        <v/>
      </c>
      <c r="CG90" s="25" t="str">
        <f aca="false">IF($AU90="","",$AU90^2)</f>
        <v/>
      </c>
      <c r="CH90" s="9" t="str">
        <f aca="false">IF($AW90="","",1)</f>
        <v/>
      </c>
      <c r="CI90" s="24" t="str">
        <f aca="false">IF($AW90="","",$AW90-Fits!$B$153)</f>
        <v/>
      </c>
      <c r="CJ90" s="24" t="str">
        <f aca="false">IF($AW90="","",($AX90-(Fits!$B$63*$AW90+Fits!$B$64))-Fits!$B$63*($AW90-Fits!$B$153))</f>
        <v/>
      </c>
      <c r="CK90" s="25" t="str">
        <f aca="false">IF($AW90="","",$AW90^2)</f>
        <v/>
      </c>
      <c r="CL90" s="26" t="str">
        <f aca="false">IF(OR($Z90="",Fits!$B$55&lt;3,Fits!$B$133="",Fits!$B$134="",Fits!$B$134=0,Fits!$B$136=""),"",SQRT((Fits!$B$136*Fits!$B$56)^2+SUMPRODUCT((Fits!$J$163:$J$175*(Fits!$B$163:$B$175/Fits!$B$55+Fits!$H$163:$H$175*($Z90-Fits!$B$133)/Fits!$B$134))^2)+SUMPRODUCT((Fits!$G$163:$G$175*(($Z90-Fits!$B$133)*Fits!$I$163:$I$175/Fits!$B$134-Fits!$B$163:$B$175*Fits!$B$56/Fits!$B$55))^2)))</f>
        <v/>
      </c>
      <c r="CM90" s="26" t="str">
        <f aca="false">IF($CL90="","",Setup!$B$32*$CL90)</f>
        <v/>
      </c>
      <c r="CN90" s="26" t="str">
        <f aca="false">IF(OR($AE90="",Fits!$B$62&lt;3,Fits!$B$153="",Fits!$B$154="",Fits!$B$154=0,Fits!$B$156=""),"",SQRT((Fits!$B$156*Fits!$B$63)^2+SUMPRODUCT((Fits!$J$183:$J$195*(Fits!$B$183:$B$195/Fits!$B$62+Fits!$H$183:$H$195*($AE90-Fits!$B$153)/Fits!$B$154))^2)+SUMPRODUCT((Fits!$G$183:$G$195*(($AE90-Fits!$B$153)*Fits!$I$183:$I$195/Fits!$B$154-Fits!$B$183:$B$195*Fits!$B$63/Fits!$B$62))^2)))</f>
        <v/>
      </c>
      <c r="CO90" s="26" t="str">
        <f aca="false">IF($CN90="","",Setup!$B$32*$CN90)</f>
        <v/>
      </c>
      <c r="CP90" s="9" t="n">
        <f aca="false">IF(OR(NOT(ISNUMBER($BJ90)),$EK90=1),$CP89,IF($BJ90&lt;=Setup!$B$26,$CP89+1,0))</f>
        <v>26</v>
      </c>
      <c r="CQ90" s="9" t="str">
        <f aca="false">IF($BT90="","",$A90)</f>
        <v/>
      </c>
      <c r="CR90" s="9" t="str">
        <f aca="false">IF($BW90="","",$A90)</f>
        <v/>
      </c>
      <c r="CS90" s="9" t="str">
        <f aca="false">IF($B90="","",IF(Setup!$A$37="",0,IF(ISNUMBER(SEARCH(Setup!$A$37,$B90)),37,0)))</f>
        <v/>
      </c>
      <c r="CT90" s="9" t="str">
        <f aca="false">IF($B90="","",IF(Setup!$A$38="",0,IF(ISNUMBER(SEARCH(Setup!$A$38,$B90)),38,0)))</f>
        <v/>
      </c>
      <c r="CU90" s="9" t="str">
        <f aca="false">IF($B90="","",IF(Setup!$A$39="",0,IF(ISNUMBER(SEARCH(Setup!$A$39,$B90)),39,0)))</f>
        <v/>
      </c>
      <c r="CV90" s="9" t="str">
        <f aca="false">IF($B90="","",IF(Setup!$A$40="",0,IF(ISNUMBER(SEARCH(Setup!$A$40,$B90)),40,0)))</f>
        <v/>
      </c>
      <c r="CW90" s="9" t="str">
        <f aca="false">IF($B90="","",IF(Setup!$A$41="",0,IF(ISNUMBER(SEARCH(Setup!$A$41,$B90)),41,0)))</f>
        <v/>
      </c>
      <c r="CX90" s="9" t="str">
        <f aca="false">IF($B90="","",IF(Setup!$A$42="",0,IF(ISNUMBER(SEARCH(Setup!$A$42,$B90)),42,0)))</f>
        <v/>
      </c>
      <c r="CY90" s="9" t="str">
        <f aca="false">IF($B90="","",IF(Setup!$A$43="",0,IF(ISNUMBER(SEARCH(Setup!$A$43,$B90)),43,0)))</f>
        <v/>
      </c>
      <c r="CZ90" s="9" t="str">
        <f aca="false">IF($B90="","",IF(Setup!$A$44="",0,IF(ISNUMBER(SEARCH(Setup!$A$44,$B90)),44,0)))</f>
        <v/>
      </c>
      <c r="DA90" s="9" t="str">
        <f aca="false">IF($B90="","",IF(Setup!$A$45="",0,IF(ISNUMBER(SEARCH(Setup!$A$45,$B90)),45,0)))</f>
        <v/>
      </c>
      <c r="DB90" s="9" t="str">
        <f aca="false">IF($B90="","",IF(Setup!$A$46="",0,IF(ISNUMBER(SEARCH(Setup!$A$46,$B90)),46,0)))</f>
        <v/>
      </c>
      <c r="DC90" s="9" t="str">
        <f aca="false">IF($B90="","",IF(Setup!$A$47="",0,IF(ISNUMBER(SEARCH(Setup!$A$47,$B90)),47,0)))</f>
        <v/>
      </c>
      <c r="DD90" s="9" t="str">
        <f aca="false">IF($B90="","",IF(Setup!$A$48="",0,IF(ISNUMBER(SEARCH(Setup!$A$48,$B90)),48,0)))</f>
        <v/>
      </c>
      <c r="DE90" s="9" t="str">
        <f aca="false">IF($B90="","",IF(Setup!$A$49="",0,IF(ISNUMBER(SEARCH(Setup!$A$49,$B90)),49,0)))</f>
        <v/>
      </c>
      <c r="DF90" s="9" t="e">
        <f aca="false">IF($B90="",NA(),$A90)</f>
        <v>#N/A</v>
      </c>
      <c r="DG90" s="9" t="e">
        <f aca="false">IF($BI90="",NA(),$BI90)</f>
        <v>#N/A</v>
      </c>
      <c r="DH90" s="9" t="e">
        <f aca="false">IF($N90="",NA(),$N90)</f>
        <v>#N/A</v>
      </c>
      <c r="DI90" s="9" t="e">
        <f aca="false">IF(AND($D90="Drift",$N90&lt;&gt;""),$N90,NA())</f>
        <v>#N/A</v>
      </c>
      <c r="DJ90" s="9" t="str">
        <f aca="false">IF(AND($D90="Drift",$N90&lt;&gt;""),$N90,"")</f>
        <v/>
      </c>
      <c r="DK90" s="9" t="str">
        <f aca="false">IF($DJ90="","",$A90)</f>
        <v/>
      </c>
      <c r="DL90" s="9" t="e">
        <f aca="false">IF($AN90="",NA(),$AM90)</f>
        <v>#N/A</v>
      </c>
      <c r="DM90" s="9" t="e">
        <f aca="false">IF($AN90="",NA(),$AN90)</f>
        <v>#N/A</v>
      </c>
      <c r="DN90" s="9" t="e">
        <f aca="false">IF(AND($D90="Sample",$L90&lt;&gt;""),$L90,NA())</f>
        <v>#N/A</v>
      </c>
      <c r="DO90" s="9" t="e">
        <f aca="false">IF(AND($D90="Sample",$L90&lt;&gt;"",Fits!$B$98&lt;&gt;""),Fits!$B$98,NA())</f>
        <v>#N/A</v>
      </c>
      <c r="DP90" s="9" t="e">
        <f aca="false">IF($AS90="",NA(),$AS90)</f>
        <v>#N/A</v>
      </c>
      <c r="DQ90" s="9" t="e">
        <f aca="false">IF(AND($D90="Drift",$AS90="",$X90&lt;&gt;""),$X90,NA())</f>
        <v>#N/A</v>
      </c>
      <c r="DR90" s="9" t="e">
        <f aca="false">IF(AND($D90="Drift",$Z90&lt;&gt;""),$Z90,NA())</f>
        <v>#N/A</v>
      </c>
      <c r="DS90" s="9" t="e">
        <f aca="false">IF(AND(OR($D90="Sample",$D90="Check"),$AA90&lt;&gt;""),$AA90,NA())</f>
        <v>#N/A</v>
      </c>
      <c r="DT90" s="9" t="e">
        <f aca="false">IF(OR($B90="",Fits!$B$138=""),NA(),Fits!$B$138)</f>
        <v>#N/A</v>
      </c>
      <c r="DU90" s="9" t="e">
        <f aca="false">IF(OR($B90="",Fits!$B$139=""),NA(),Fits!$B$139)</f>
        <v>#N/A</v>
      </c>
      <c r="DV90" s="9" t="e">
        <f aca="false">IF($BT90="",NA(),$BT90)</f>
        <v>#N/A</v>
      </c>
      <c r="DW90" s="9" t="e">
        <f aca="false">IF($AP90="",NA(),$AO90)</f>
        <v>#N/A</v>
      </c>
      <c r="DX90" s="9" t="e">
        <f aca="false">IF($AP90="",NA(),$AP90)</f>
        <v>#N/A</v>
      </c>
      <c r="DY90" s="9" t="e">
        <f aca="false">IF(AND($D90="Sample",$P90&lt;&gt;""),$P90,NA())</f>
        <v>#N/A</v>
      </c>
      <c r="DZ90" s="9" t="e">
        <f aca="false">IF(AND($D90="Sample",$P90&lt;&gt;"",Fits!$B$105&lt;&gt;""),Fits!$B$105,NA())</f>
        <v>#N/A</v>
      </c>
      <c r="EA90" s="9" t="e">
        <f aca="false">IF($AT90="",NA(),$AT90)</f>
        <v>#N/A</v>
      </c>
      <c r="EB90" s="9" t="e">
        <f aca="false">IF(AND($D90="Drift",$AT90="",$AC90&lt;&gt;""),$AC90,NA())</f>
        <v>#N/A</v>
      </c>
      <c r="EC90" s="9" t="e">
        <f aca="false">IF(AND($D90="Drift",$AE90&lt;&gt;""),$AE90,NA())</f>
        <v>#N/A</v>
      </c>
      <c r="ED90" s="9" t="e">
        <f aca="false">IF(AND(OR($D90="Sample",$D90="Check"),$AF90&lt;&gt;""),$AF90,NA())</f>
        <v>#N/A</v>
      </c>
      <c r="EE90" s="9" t="e">
        <f aca="false">IF(OR($B90="",Fits!$B$158=""),NA(),Fits!$B$158)</f>
        <v>#N/A</v>
      </c>
      <c r="EF90" s="9" t="e">
        <f aca="false">IF(OR($B90="",Fits!$B$159=""),NA(),Fits!$B$159)</f>
        <v>#N/A</v>
      </c>
      <c r="EG90" s="9" t="e">
        <f aca="false">IF($BW90="",NA(),$BW90)</f>
        <v>#N/A</v>
      </c>
      <c r="EH90" s="9" t="e">
        <f aca="false">IF(AND($EN90=1,ISNUMBER($N90)),$N90,NA())</f>
        <v>#N/A</v>
      </c>
      <c r="EI90" s="9" t="str">
        <f aca="false">IF($B90="","",$A90)</f>
        <v/>
      </c>
      <c r="EJ90" s="9" t="n">
        <f aca="false">IF(OR(AND(ISNUMBER($L90),Fits!$B$97&gt;0,$L90&gt;Fits!$B$97),AND(ISNUMBER($P90),Fits!$B$104&gt;0,$P90&gt;Fits!$B$104)),1,0)</f>
        <v>0</v>
      </c>
      <c r="EK90" s="9" t="n">
        <f aca="false">IF(OR($EJ89=1,$EJ88=1),1,0)</f>
        <v>0</v>
      </c>
      <c r="EL90" s="22" t="n">
        <f aca="false">IF(AND($EK90=0,ISNUMBER($N90)),$N90,$EL89)</f>
        <v>25.7</v>
      </c>
      <c r="EM90" s="9" t="str">
        <f aca="false">IF(AND($EK90=1,ISNUMBER($N90),ISNUMBER($EL90)),$N90-$EL90,"")</f>
        <v/>
      </c>
      <c r="EN90" s="9" t="n">
        <f aca="false">IF(Setup!$B$28="",0,IF(ISNUMBER($EM90),IF($EM90&gt;Setup!$B$28,1,0),0))</f>
        <v>0</v>
      </c>
      <c r="EO90" s="9" t="str">
        <f aca="false">IF($EN90=1,COUNTIF($EN$6:$EN90,1),"")</f>
        <v/>
      </c>
      <c r="EP90" s="9" t="n">
        <f aca="false">IF(AND($EJ89=1,OR($D90="Sample",$D90="Check")),1,0)</f>
        <v>0</v>
      </c>
      <c r="EQ90" s="9" t="str">
        <f aca="false">IF(ISNUMBER($BI90),IF(COUNT($BI$6:$BI90)&lt;=5,$BI90,""),"")</f>
        <v/>
      </c>
      <c r="ER90" s="9" t="n">
        <f aca="false">IF(OR(NOT(ISNUMBER($BJ90)),$EK90=1),$ER89,IF($BJ90&lt;=Setup!$B$26,IF($CP89=0,$A90,$ER89),""))</f>
        <v>27</v>
      </c>
    </row>
    <row r="91" customFormat="false" ht="15" hidden="false" customHeight="false" outlineLevel="0" collapsed="false">
      <c r="A91" s="8" t="n">
        <v>86</v>
      </c>
      <c r="B91" s="8" t="str">
        <f aca="false">IFERROR(INDEX(Raw!$B$2:$B$1001,MATCH($A91,Raw!$A$2:$A$1001,0)),"")</f>
        <v/>
      </c>
      <c r="C91" s="9" t="str">
        <f aca="false">IF($B91="","",MAX($CS91:$DE91))</f>
        <v/>
      </c>
      <c r="D91" s="8" t="str">
        <f aca="false">IF($B91="","",IF($C91=0,"Sample",INDEX(Setup!$B$37:$B$49,$C91-36)))</f>
        <v/>
      </c>
      <c r="E91" s="16" t="str">
        <f aca="false">IF($B91="","",IFERROR(IF(INDEX(Raw!$E$2:$E$1001,MATCH($A91,Raw!$A$2:$A$1001,0))=0,"",INDEX(Raw!$E$2:$E$1001,MATCH($A91,Raw!$A$2:$A$1001,0))),""))</f>
        <v/>
      </c>
      <c r="F91" s="18"/>
      <c r="G91" s="16" t="str">
        <f aca="false">IF($B91="","",IF($F91&lt;&gt;"",$F91,IF($E91="","",$E91)))</f>
        <v/>
      </c>
      <c r="H91" s="9" t="str">
        <f aca="false">IF($B91="","",SUMPRODUCT(MAX((Raw!$A$2:$A$1001=$A91)*(Raw!$R$2:$R$1001="N")*Raw!$D$2:$D$1001)))</f>
        <v/>
      </c>
      <c r="I91" s="9" t="str">
        <f aca="false">IF(OR($H91="",$H91=0),"",$A91&amp;"|N|"&amp;$H91)</f>
        <v/>
      </c>
      <c r="J91" s="9" t="str">
        <f aca="false">IF($B91="","",SUMPRODUCT(MIN((Raw!$A$2:$A$1001=$A91)*(Raw!$R$2:$R$1001="C")*Raw!$D$2:$D$1001+(1-(Raw!$A$2:$A$1001=$A91)*(Raw!$R$2:$R$1001="C"))*9999)))</f>
        <v/>
      </c>
      <c r="K91" s="9" t="str">
        <f aca="false">IF(OR($J91="",$J91=0,$J91=9999),"",$A91&amp;"|C|"&amp;$J91)</f>
        <v/>
      </c>
      <c r="L91" s="16" t="str">
        <f aca="false">IF($I91="","",IF(INDEX(Raw!$I$2:$I$1001,MATCH($I91,Raw!$S$2:$S$1001,0))&lt;&gt;0,"",INDEX(Raw!$H$2:$H$1001,MATCH($I91,Raw!$S$2:$S$1001,0))))</f>
        <v/>
      </c>
      <c r="M91" s="19" t="str">
        <f aca="false">IF($I91="","",IF(INDEX(Raw!$I$2:$I$1001,MATCH($I91,Raw!$S$2:$S$1001,0))&lt;&gt;0,"",INDEX(Raw!$F$2:$F$1001,MATCH($I91,Raw!$S$2:$S$1001,0))))</f>
        <v/>
      </c>
      <c r="N91" s="20" t="str">
        <f aca="false">IF($I91="","",IF(INDEX(Raw!$I$2:$I$1001,MATCH($I91,Raw!$S$2:$S$1001,0))&lt;&gt;0,"",INDEX(Raw!$G$2:$G$1001,MATCH($I91,Raw!$S$2:$S$1001,0))))</f>
        <v/>
      </c>
      <c r="O91" s="16" t="str">
        <f aca="false">IF($I91="","",IF(INDEX(Raw!$I$2:$I$1001,MATCH($I91,Raw!$S$2:$S$1001,0))&lt;&gt;0,"",INDEX(Raw!$N$2:$N$1001,MATCH($I91,Raw!$S$2:$S$1001,0))))</f>
        <v/>
      </c>
      <c r="P91" s="16" t="str">
        <f aca="false">IF($K91="","",IF(INDEX(Raw!$I$2:$I$1001,MATCH($K91,Raw!$S$2:$S$1001,0))&lt;&gt;0,"",INDEX(Raw!$K$2:$K$1001,MATCH($K91,Raw!$S$2:$S$1001,0))))</f>
        <v/>
      </c>
      <c r="Q91" s="19" t="str">
        <f aca="false">IF($K91="","",IF(INDEX(Raw!$I$2:$I$1001,MATCH($K91,Raw!$S$2:$S$1001,0))&lt;&gt;0,"",INDEX(Raw!$J$2:$J$1001,MATCH($K91,Raw!$S$2:$S$1001,0))))</f>
        <v/>
      </c>
      <c r="R91" s="16" t="str">
        <f aca="false">IF($K91="","",IF(INDEX(Raw!$I$2:$I$1001,MATCH($K91,Raw!$S$2:$S$1001,0))&lt;&gt;0,"",INDEX(Raw!$O$2:$O$1001,MATCH($K91,Raw!$S$2:$S$1001,0))))</f>
        <v/>
      </c>
      <c r="S91" s="21" t="str">
        <f aca="false">IF($B91="","",IF($C91=0,"",IF(INDEX(Setup!$D$37:$D$49,$C91-36)="","",INDEX(Setup!$D$37:$D$49,$C91-36))))</f>
        <v/>
      </c>
      <c r="T91" s="21" t="str">
        <f aca="false">IF($B91="","",IF($C91=0,"",IF(INDEX(Setup!$C$37:$C$49,$C91-36)="","",INDEX(Setup!$C$37:$C$49,$C91-36))))</f>
        <v/>
      </c>
      <c r="U91" s="21" t="str">
        <f aca="false">IF($B91="","",IF($C91=0,"",IF(INDEX(Setup!$F$37:$F$49,$C91-36)="","",INDEX(Setup!$F$37:$F$49,$C91-36))))</f>
        <v/>
      </c>
      <c r="V91" s="21" t="str">
        <f aca="false">IF($B91="","",IF($C91=0,"",IF(INDEX(Setup!$E$37:$E$49,$C91-36)="","",INDEX(Setup!$E$37:$E$49,$C91-36))))</f>
        <v/>
      </c>
      <c r="W91" s="16" t="str">
        <f aca="false">IF($O91="","",IF(OR(Fits!$C$5&lt;&gt;"Yes",$D91="Blank",$L91&lt;=Fits!$B$6),$O91,($L91*$O91-Fits!$B$6*Fits!$B$7)/($L91-Fits!$B$6)))</f>
        <v/>
      </c>
      <c r="X91" s="16" t="str">
        <f aca="false">IF($W91="","",$W91-Fits!$B$20*($L91-Fits!$B$16))</f>
        <v/>
      </c>
      <c r="Y91" s="22" t="str">
        <f aca="false">IF($W91="","",IF(OR(Fits!$B$38="Row",$BI91=""),$A91,$BI91))</f>
        <v/>
      </c>
      <c r="Z91" s="16" t="str">
        <f aca="false">IF($X91="","",$X91-Fits!$B$39*($Y91-Fits!$B$40))</f>
        <v/>
      </c>
      <c r="AA91" s="23" t="str">
        <f aca="false">IF(OR($Z91="",Fits!$B$55&lt;2),"",Fits!$B$56*$Z91+Fits!$B$57)</f>
        <v/>
      </c>
      <c r="AB91" s="16" t="str">
        <f aca="false">IF($R91="","",IF(OR(Fits!$C$9&lt;&gt;"Yes",$D91="Blank",$P91&lt;=Fits!$B$10),$R91,($P91*$R91-Fits!$B$10*Fits!$B$11)/($P91-Fits!$B$10)))</f>
        <v/>
      </c>
      <c r="AC91" s="16" t="str">
        <f aca="false">IF($AB91="","",$AB91-Fits!$B$28*($P91-Fits!$B$24))</f>
        <v/>
      </c>
      <c r="AD91" s="22" t="str">
        <f aca="false">IF($AB91="","",IF(OR(Fits!$B$50="Row",$BI91=""),$A91,$BI91))</f>
        <v/>
      </c>
      <c r="AE91" s="16" t="str">
        <f aca="false">IF($AC91="","",$AC91-Fits!$B$51*($AD91-Fits!$B$52))</f>
        <v/>
      </c>
      <c r="AF91" s="23" t="str">
        <f aca="false">IF(OR($AE91="",Fits!$B$62&lt;2),"",Fits!$B$63*$AE91+Fits!$B$64)</f>
        <v/>
      </c>
      <c r="AG91" s="21" t="str">
        <f aca="false">IF(OR($L91="",Fits!$B$69&lt;3),"",($L91-Fits!$B$71)/Fits!$B$70)</f>
        <v/>
      </c>
      <c r="AH91" s="21" t="str">
        <f aca="false">IF(OR($P91="",Fits!$B$75&lt;3),"",($P91-Fits!$B$77)/Fits!$B$76)</f>
        <v/>
      </c>
      <c r="AI91" s="23" t="str">
        <f aca="false">IF(OR($AG91="",$G91="",$G91=0),"",$AG91/($G91*1000)*100)</f>
        <v/>
      </c>
      <c r="AJ91" s="23" t="str">
        <f aca="false">IF(OR($AH91="",$G91="",$G91=0),"",$AH91/($G91*1000)*100)</f>
        <v/>
      </c>
      <c r="AK91" s="23" t="str">
        <f aca="false">IF(OR($AG91="",$AH91="",$AG91&lt;=0),"",($AH91/Setup!$B$52)/($AG91/Setup!$B$53))</f>
        <v/>
      </c>
      <c r="AL91" s="23" t="str">
        <f aca="false">IF(OR($AG91="",$AH91="",$AG91&lt;=0),"",$AH91/$AG91)</f>
        <v/>
      </c>
      <c r="AM91" s="9" t="str">
        <f aca="false">IF($D91="Linearity",IF($L91="","",$L91),"")</f>
        <v/>
      </c>
      <c r="AN91" s="9" t="str">
        <f aca="false">IF($D91="Linearity",IF($W91="","",$W91),"")</f>
        <v/>
      </c>
      <c r="AO91" s="9" t="str">
        <f aca="false">IF($D91="Linearity",IF($P91="","",$P91),"")</f>
        <v/>
      </c>
      <c r="AP91" s="9" t="str">
        <f aca="false">IF($D91="Linearity",IF($AB91="","",$AB91),"")</f>
        <v/>
      </c>
      <c r="AQ91" s="9" t="str">
        <f aca="false">IF($D91="Drift",IF($A91&lt;IF(Setup!$B$14="",0,Setup!$B$14),"",$A91),"")</f>
        <v/>
      </c>
      <c r="AR91" s="9" t="str">
        <f aca="false">IF($D91="Drift",IF($A91&lt;IF(Setup!$B$14="",0,Setup!$B$14),"",IF($BI91="","",$BI91)),"")</f>
        <v/>
      </c>
      <c r="AS91" s="9" t="str">
        <f aca="false">IF($D91="Drift",IF($A91&lt;IF(Setup!$B$14="",0,Setup!$B$14),"",IF(OR($X91="",$BX91=1),"",$X91)),"")</f>
        <v/>
      </c>
      <c r="AT91" s="9" t="str">
        <f aca="false">IF($D91="Drift",IF($A91&lt;IF(Setup!$B$14="",0,Setup!$B$14),"",IF(OR($AC91="",$BY91=1),"",$AC91)),"")</f>
        <v/>
      </c>
      <c r="AU91" s="9" t="str">
        <f aca="false">IF($D91="Anchor",IF(OR($Z91="",$S91=""),"",$Z91),"")</f>
        <v/>
      </c>
      <c r="AV91" s="9" t="str">
        <f aca="false">IF($D91="Anchor",IF(OR($Z91="",$S91=""),"",$S91),"")</f>
        <v/>
      </c>
      <c r="AW91" s="9" t="str">
        <f aca="false">IF($D91="Anchor",IF(OR($AE91="",$T91=""),"",$AE91),"")</f>
        <v/>
      </c>
      <c r="AX91" s="9" t="str">
        <f aca="false">IF($D91="Anchor",IF(OR($AE91="",$T91=""),"",$T91),"")</f>
        <v/>
      </c>
      <c r="AY91" s="9" t="str">
        <f aca="false">IF(OR($D91="Blank",$D91="Exclude",$D91="Sample",$D91="",$G91="",$U91="",$L91=""),"",$G91*1000*$U91/100)</f>
        <v/>
      </c>
      <c r="AZ91" s="9" t="str">
        <f aca="false">IF($AY91="","",$L91)</f>
        <v/>
      </c>
      <c r="BA91" s="9" t="str">
        <f aca="false">IF(OR($D91="Blank",$D91="Exclude",$D91="Sample",$D91="",$G91="",$V91="",$P91=""),"",$G91*1000*$V91/100)</f>
        <v/>
      </c>
      <c r="BB91" s="9" t="str">
        <f aca="false">IF($BA91="","",$P91)</f>
        <v/>
      </c>
      <c r="BC91" s="9" t="str">
        <f aca="false">IF(AND($D91="Blank",$L91&lt;&gt;""),$O91,"")</f>
        <v/>
      </c>
      <c r="BD91" s="9" t="str">
        <f aca="false">IF($BC91="","",$L91)</f>
        <v/>
      </c>
      <c r="BE91" s="9" t="str">
        <f aca="false">IF(AND($D91="Blank",$P91&lt;&gt;""),$R91,"")</f>
        <v/>
      </c>
      <c r="BF91" s="9" t="str">
        <f aca="false">IF($BE91="","",$P91)</f>
        <v/>
      </c>
      <c r="BG91" s="9" t="str">
        <f aca="false">IF(AND($D91="Drift",$BX91&lt;&gt;1),IF($AA91="","",$AA91),"")</f>
        <v/>
      </c>
      <c r="BH91" s="9" t="str">
        <f aca="false">IF(AND($D91="Drift",$BY91&lt;&gt;1),IF($AF91="","",$AF91),"")</f>
        <v/>
      </c>
      <c r="BI91" s="20" t="str">
        <f aca="false">IF($B91="","",IFERROR(INDEX(Raw!$G$2:$G$1001,MATCH($A91&amp;"|N|"&amp;SUMPRODUCT(MAX((Raw!$A$2:$A$1001=$A91)*(Raw!$R$2:$R$1001="N")*(Raw!$I$2:$I$1001=1)*Raw!$D$2:$D$1001)),Raw!$S$2:$S$1001,0)),""))</f>
        <v/>
      </c>
      <c r="BJ91" s="21" t="str">
        <f aca="false">IF(OR($BI91="",Fits!$B$85&lt;=0),"",($BI91-Fits!$B$83)/Fits!$B$85)</f>
        <v/>
      </c>
      <c r="BK91" s="9" t="str">
        <f aca="false">IF($AS91="","",IF($A91&gt;=Fits!$B$86,"",$A91))</f>
        <v/>
      </c>
      <c r="BL91" s="9" t="str">
        <f aca="false">IF($BK91="","",$X91)</f>
        <v/>
      </c>
      <c r="BM91" s="9" t="str">
        <f aca="false">IF($AS91="","",IF($A91&lt;Fits!$B$86,"",$A91))</f>
        <v/>
      </c>
      <c r="BN91" s="9" t="str">
        <f aca="false">IF($BM91="","",$X91)</f>
        <v/>
      </c>
      <c r="BO91" s="9" t="str">
        <f aca="false">IF(AND($D91="Drift",$BX91&lt;&gt;1),IF($O91="","",$O91),"")</f>
        <v/>
      </c>
      <c r="BP91" s="9" t="str">
        <f aca="false">IF(AND($D91="Drift",$BX91&lt;&gt;1),IF($W91="","",$W91),"")</f>
        <v/>
      </c>
      <c r="BQ91" s="9" t="str">
        <f aca="false">IF(AND($D91="Drift",$BX91&lt;&gt;1),IF($X91="","",$X91),"")</f>
        <v/>
      </c>
      <c r="BR91" s="9" t="str">
        <f aca="false">IF(AND($D91="Drift",$BX91&lt;&gt;1),IF($Z91="","",$Z91),"")</f>
        <v/>
      </c>
      <c r="BS91" s="9" t="str">
        <f aca="false">IF(OR($B91="",$H91=""),"",SUMPRODUCT(MIN((Raw!$A$2:$A$1001=$A91)*(Raw!$R$2:$R$1001="N")*(Raw!$I$2:$I$1001=0)*(Raw!$D$2:$D$1001&lt;$H91)*Raw!$D$2:$D$1001+(1-(Raw!$A$2:$A$1001=$A91)*(Raw!$R$2:$R$1001="N")*(Raw!$I$2:$I$1001=0)*(Raw!$D$2:$D$1001&lt;$H91))*9999)))</f>
        <v/>
      </c>
      <c r="BT91" s="16" t="str">
        <f aca="false">IF(OR($BS91="",$BS91=9999,$BS91=0),"",IFERROR(INDEX(Raw!$N$2:$N$1001,MATCH($A91&amp;"|N|"&amp;$BS91,Raw!$S$2:$S$1001,0)),""))</f>
        <v/>
      </c>
      <c r="BU91" s="9" t="str">
        <f aca="false">IF($B91="","",SUMPRODUCT(MIN((Raw!$A$2:$A$1001=$A91)*(Raw!$R$2:$R$1001="C")*(Raw!$I$2:$I$1001=1)*Raw!$D$2:$D$1001+(1-(Raw!$A$2:$A$1001=$A91)*(Raw!$R$2:$R$1001="C")*(Raw!$I$2:$I$1001=1))*9999)))</f>
        <v/>
      </c>
      <c r="BV91" s="9" t="str">
        <f aca="false">IF(OR($BU91="",$BU91=9999),"",SUMPRODUCT(MIN((Raw!$A$2:$A$1001=$A91)*(Raw!$R$2:$R$1001="C")*(Raw!$I$2:$I$1001=0)*(Raw!$D$2:$D$1001&gt;$BU91)*Raw!$D$2:$D$1001+(1-(Raw!$A$2:$A$1001=$A91)*(Raw!$R$2:$R$1001="C")*(Raw!$I$2:$I$1001=0)*(Raw!$D$2:$D$1001&gt;$BU91))*9999)))</f>
        <v/>
      </c>
      <c r="BW91" s="16" t="str">
        <f aca="false">IF(OR($BV91="",$BV91=9999,$BV91=0),"",IFERROR(INDEX(Raw!$O$2:$O$1001,MATCH($A91&amp;"|C|"&amp;$BV91,Raw!$S$2:$S$1001,0)),""))</f>
        <v/>
      </c>
      <c r="BX91" s="9" t="str">
        <f aca="false">IF($B91="","",IF(ISNUMBER(SEARCH(","&amp;$A91&amp;",",","&amp;SUBSTITUTE(Setup!$B$16," ","")&amp;",")),1,0))</f>
        <v/>
      </c>
      <c r="BY91" s="9" t="str">
        <f aca="false">IF($B91="","",IF(ISNUMBER(SEARCH(","&amp;$A91&amp;",",","&amp;SUBSTITUTE(Setup!$B$17," ","")&amp;",")),1,0))</f>
        <v/>
      </c>
      <c r="BZ91" s="22" t="str">
        <f aca="false">IF($AS91="","",IF(Fits!$B$38="Row",$AQ91,IF($AR91="","",$AR91)))</f>
        <v/>
      </c>
      <c r="CA91" s="22" t="str">
        <f aca="false">IF($AT91="","",IF(Fits!$B$50="Row",$AQ91,IF($AR91="","",$AR91)))</f>
        <v/>
      </c>
      <c r="CB91" s="20" t="str">
        <f aca="false">IF(OR($D91&lt;&gt;"Drift",$X91="",$A91&lt;IF(Setup!$B$14="",0,Setup!$B$14),Fits!$B$107&lt;3,Fits!$B$110="",Fits!$B$109=0,IF(Fits!$B$38="Row",$AQ91,$AR91)=""),"",IF($BX91=1,IF(OR(Fits!$B$111="",Fits!$B$111=0),"",($X91-(IF(Fits!$B$38="Row",Fits!$B$32,Fits!$B$35)*IF(Fits!$B$38="Row",$AQ91,$AR91)+Fits!$B$110))/(Fits!$B$111*SQRT(1+(1/Fits!$B$107+(IF(Fits!$B$38="Row",$AQ91,$AR91)-Fits!$B$108)^2/Fits!$B$109)))),IF(OR(Fits!$B$107&lt;4,(1/Fits!$B$107+(IF(Fits!$B$38="Row",$AQ91,$AR91)-Fits!$B$108)^2/Fits!$B$109)&gt;=1),"",IF((Fits!$B$116-($X91-(IF(Fits!$B$38="Row",Fits!$B$32,Fits!$B$35)*IF(Fits!$B$38="Row",$AQ91,$AR91)+Fits!$B$110))^2/(1-(1/Fits!$B$107+(IF(Fits!$B$38="Row",$AQ91,$AR91)-Fits!$B$108)^2/Fits!$B$109)))&lt;=0,"",($X91-(IF(Fits!$B$38="Row",Fits!$B$32,Fits!$B$35)*IF(Fits!$B$38="Row",$AQ91,$AR91)+Fits!$B$110))/(SQRT((Fits!$B$116-($X91-(IF(Fits!$B$38="Row",Fits!$B$32,Fits!$B$35)*IF(Fits!$B$38="Row",$AQ91,$AR91)+Fits!$B$110))^2/(1-(1/Fits!$B$107+(IF(Fits!$B$38="Row",$AQ91,$AR91)-Fits!$B$108)^2/Fits!$B$109)))/(Fits!$B$107-3))*SQRT(1-(1/Fits!$B$107+(IF(Fits!$B$38="Row",$AQ91,$AR91)-Fits!$B$108)^2/Fits!$B$109)))))))</f>
        <v/>
      </c>
      <c r="CC91" s="20" t="str">
        <f aca="false">IF(OR($D91&lt;&gt;"Drift",$AC91="",$A91&lt;IF(Setup!$B$14="",0,Setup!$B$14),Fits!$B$120&lt;3,Fits!$B$123="",Fits!$B$122=0,IF(Fits!$B$50="Row",$AQ91,$AR91)=""),"",IF($BY91=1,IF(OR(Fits!$B$124="",Fits!$B$124=0),"",($AC91-(IF(Fits!$B$50="Row",Fits!$B$44,Fits!$B$47)*IF(Fits!$B$50="Row",$AQ91,$AR91)+Fits!$B$123))/(Fits!$B$124*SQRT(1+(1/Fits!$B$120+(IF(Fits!$B$50="Row",$AQ91,$AR91)-Fits!$B$121)^2/Fits!$B$122)))),IF(OR(Fits!$B$120&lt;4,(1/Fits!$B$120+(IF(Fits!$B$50="Row",$AQ91,$AR91)-Fits!$B$121)^2/Fits!$B$122)&gt;=1),"",IF((Fits!$B$129-($AC91-(IF(Fits!$B$50="Row",Fits!$B$44,Fits!$B$47)*IF(Fits!$B$50="Row",$AQ91,$AR91)+Fits!$B$123))^2/(1-(1/Fits!$B$120+(IF(Fits!$B$50="Row",$AQ91,$AR91)-Fits!$B$121)^2/Fits!$B$122)))&lt;=0,"",($AC91-(IF(Fits!$B$50="Row",Fits!$B$44,Fits!$B$47)*IF(Fits!$B$50="Row",$AQ91,$AR91)+Fits!$B$123))/(SQRT((Fits!$B$129-($AC91-(IF(Fits!$B$50="Row",Fits!$B$44,Fits!$B$47)*IF(Fits!$B$50="Row",$AQ91,$AR91)+Fits!$B$123))^2/(1-(1/Fits!$B$120+(IF(Fits!$B$50="Row",$AQ91,$AR91)-Fits!$B$121)^2/Fits!$B$122)))/(Fits!$B$120-3))*SQRT(1-(1/Fits!$B$120+(IF(Fits!$B$50="Row",$AQ91,$AR91)-Fits!$B$121)^2/Fits!$B$122)))))))</f>
        <v/>
      </c>
      <c r="CD91" s="9" t="str">
        <f aca="false">IF($AU91="","",1)</f>
        <v/>
      </c>
      <c r="CE91" s="24" t="str">
        <f aca="false">IF($AU91="","",$AU91-Fits!$B$133)</f>
        <v/>
      </c>
      <c r="CF91" s="24" t="str">
        <f aca="false">IF($AU91="","",($AV91-(Fits!$B$56*$AU91+Fits!$B$57))-Fits!$B$56*($AU91-Fits!$B$133))</f>
        <v/>
      </c>
      <c r="CG91" s="25" t="str">
        <f aca="false">IF($AU91="","",$AU91^2)</f>
        <v/>
      </c>
      <c r="CH91" s="9" t="str">
        <f aca="false">IF($AW91="","",1)</f>
        <v/>
      </c>
      <c r="CI91" s="24" t="str">
        <f aca="false">IF($AW91="","",$AW91-Fits!$B$153)</f>
        <v/>
      </c>
      <c r="CJ91" s="24" t="str">
        <f aca="false">IF($AW91="","",($AX91-(Fits!$B$63*$AW91+Fits!$B$64))-Fits!$B$63*($AW91-Fits!$B$153))</f>
        <v/>
      </c>
      <c r="CK91" s="25" t="str">
        <f aca="false">IF($AW91="","",$AW91^2)</f>
        <v/>
      </c>
      <c r="CL91" s="26" t="str">
        <f aca="false">IF(OR($Z91="",Fits!$B$55&lt;3,Fits!$B$133="",Fits!$B$134="",Fits!$B$134=0,Fits!$B$136=""),"",SQRT((Fits!$B$136*Fits!$B$56)^2+SUMPRODUCT((Fits!$J$163:$J$175*(Fits!$B$163:$B$175/Fits!$B$55+Fits!$H$163:$H$175*($Z91-Fits!$B$133)/Fits!$B$134))^2)+SUMPRODUCT((Fits!$G$163:$G$175*(($Z91-Fits!$B$133)*Fits!$I$163:$I$175/Fits!$B$134-Fits!$B$163:$B$175*Fits!$B$56/Fits!$B$55))^2)))</f>
        <v/>
      </c>
      <c r="CM91" s="26" t="str">
        <f aca="false">IF($CL91="","",Setup!$B$32*$CL91)</f>
        <v/>
      </c>
      <c r="CN91" s="26" t="str">
        <f aca="false">IF(OR($AE91="",Fits!$B$62&lt;3,Fits!$B$153="",Fits!$B$154="",Fits!$B$154=0,Fits!$B$156=""),"",SQRT((Fits!$B$156*Fits!$B$63)^2+SUMPRODUCT((Fits!$J$183:$J$195*(Fits!$B$183:$B$195/Fits!$B$62+Fits!$H$183:$H$195*($AE91-Fits!$B$153)/Fits!$B$154))^2)+SUMPRODUCT((Fits!$G$183:$G$195*(($AE91-Fits!$B$153)*Fits!$I$183:$I$195/Fits!$B$154-Fits!$B$183:$B$195*Fits!$B$63/Fits!$B$62))^2)))</f>
        <v/>
      </c>
      <c r="CO91" s="26" t="str">
        <f aca="false">IF($CN91="","",Setup!$B$32*$CN91)</f>
        <v/>
      </c>
      <c r="CP91" s="9" t="n">
        <f aca="false">IF(OR(NOT(ISNUMBER($BJ91)),$EK91=1),$CP90,IF($BJ91&lt;=Setup!$B$26,$CP90+1,0))</f>
        <v>26</v>
      </c>
      <c r="CQ91" s="9" t="str">
        <f aca="false">IF($BT91="","",$A91)</f>
        <v/>
      </c>
      <c r="CR91" s="9" t="str">
        <f aca="false">IF($BW91="","",$A91)</f>
        <v/>
      </c>
      <c r="CS91" s="9" t="str">
        <f aca="false">IF($B91="","",IF(Setup!$A$37="",0,IF(ISNUMBER(SEARCH(Setup!$A$37,$B91)),37,0)))</f>
        <v/>
      </c>
      <c r="CT91" s="9" t="str">
        <f aca="false">IF($B91="","",IF(Setup!$A$38="",0,IF(ISNUMBER(SEARCH(Setup!$A$38,$B91)),38,0)))</f>
        <v/>
      </c>
      <c r="CU91" s="9" t="str">
        <f aca="false">IF($B91="","",IF(Setup!$A$39="",0,IF(ISNUMBER(SEARCH(Setup!$A$39,$B91)),39,0)))</f>
        <v/>
      </c>
      <c r="CV91" s="9" t="str">
        <f aca="false">IF($B91="","",IF(Setup!$A$40="",0,IF(ISNUMBER(SEARCH(Setup!$A$40,$B91)),40,0)))</f>
        <v/>
      </c>
      <c r="CW91" s="9" t="str">
        <f aca="false">IF($B91="","",IF(Setup!$A$41="",0,IF(ISNUMBER(SEARCH(Setup!$A$41,$B91)),41,0)))</f>
        <v/>
      </c>
      <c r="CX91" s="9" t="str">
        <f aca="false">IF($B91="","",IF(Setup!$A$42="",0,IF(ISNUMBER(SEARCH(Setup!$A$42,$B91)),42,0)))</f>
        <v/>
      </c>
      <c r="CY91" s="9" t="str">
        <f aca="false">IF($B91="","",IF(Setup!$A$43="",0,IF(ISNUMBER(SEARCH(Setup!$A$43,$B91)),43,0)))</f>
        <v/>
      </c>
      <c r="CZ91" s="9" t="str">
        <f aca="false">IF($B91="","",IF(Setup!$A$44="",0,IF(ISNUMBER(SEARCH(Setup!$A$44,$B91)),44,0)))</f>
        <v/>
      </c>
      <c r="DA91" s="9" t="str">
        <f aca="false">IF($B91="","",IF(Setup!$A$45="",0,IF(ISNUMBER(SEARCH(Setup!$A$45,$B91)),45,0)))</f>
        <v/>
      </c>
      <c r="DB91" s="9" t="str">
        <f aca="false">IF($B91="","",IF(Setup!$A$46="",0,IF(ISNUMBER(SEARCH(Setup!$A$46,$B91)),46,0)))</f>
        <v/>
      </c>
      <c r="DC91" s="9" t="str">
        <f aca="false">IF($B91="","",IF(Setup!$A$47="",0,IF(ISNUMBER(SEARCH(Setup!$A$47,$B91)),47,0)))</f>
        <v/>
      </c>
      <c r="DD91" s="9" t="str">
        <f aca="false">IF($B91="","",IF(Setup!$A$48="",0,IF(ISNUMBER(SEARCH(Setup!$A$48,$B91)),48,0)))</f>
        <v/>
      </c>
      <c r="DE91" s="9" t="str">
        <f aca="false">IF($B91="","",IF(Setup!$A$49="",0,IF(ISNUMBER(SEARCH(Setup!$A$49,$B91)),49,0)))</f>
        <v/>
      </c>
      <c r="DF91" s="9" t="e">
        <f aca="false">IF($B91="",NA(),$A91)</f>
        <v>#N/A</v>
      </c>
      <c r="DG91" s="9" t="e">
        <f aca="false">IF($BI91="",NA(),$BI91)</f>
        <v>#N/A</v>
      </c>
      <c r="DH91" s="9" t="e">
        <f aca="false">IF($N91="",NA(),$N91)</f>
        <v>#N/A</v>
      </c>
      <c r="DI91" s="9" t="e">
        <f aca="false">IF(AND($D91="Drift",$N91&lt;&gt;""),$N91,NA())</f>
        <v>#N/A</v>
      </c>
      <c r="DJ91" s="9" t="str">
        <f aca="false">IF(AND($D91="Drift",$N91&lt;&gt;""),$N91,"")</f>
        <v/>
      </c>
      <c r="DK91" s="9" t="str">
        <f aca="false">IF($DJ91="","",$A91)</f>
        <v/>
      </c>
      <c r="DL91" s="9" t="e">
        <f aca="false">IF($AN91="",NA(),$AM91)</f>
        <v>#N/A</v>
      </c>
      <c r="DM91" s="9" t="e">
        <f aca="false">IF($AN91="",NA(),$AN91)</f>
        <v>#N/A</v>
      </c>
      <c r="DN91" s="9" t="e">
        <f aca="false">IF(AND($D91="Sample",$L91&lt;&gt;""),$L91,NA())</f>
        <v>#N/A</v>
      </c>
      <c r="DO91" s="9" t="e">
        <f aca="false">IF(AND($D91="Sample",$L91&lt;&gt;"",Fits!$B$98&lt;&gt;""),Fits!$B$98,NA())</f>
        <v>#N/A</v>
      </c>
      <c r="DP91" s="9" t="e">
        <f aca="false">IF($AS91="",NA(),$AS91)</f>
        <v>#N/A</v>
      </c>
      <c r="DQ91" s="9" t="e">
        <f aca="false">IF(AND($D91="Drift",$AS91="",$X91&lt;&gt;""),$X91,NA())</f>
        <v>#N/A</v>
      </c>
      <c r="DR91" s="9" t="e">
        <f aca="false">IF(AND($D91="Drift",$Z91&lt;&gt;""),$Z91,NA())</f>
        <v>#N/A</v>
      </c>
      <c r="DS91" s="9" t="e">
        <f aca="false">IF(AND(OR($D91="Sample",$D91="Check"),$AA91&lt;&gt;""),$AA91,NA())</f>
        <v>#N/A</v>
      </c>
      <c r="DT91" s="9" t="e">
        <f aca="false">IF(OR($B91="",Fits!$B$138=""),NA(),Fits!$B$138)</f>
        <v>#N/A</v>
      </c>
      <c r="DU91" s="9" t="e">
        <f aca="false">IF(OR($B91="",Fits!$B$139=""),NA(),Fits!$B$139)</f>
        <v>#N/A</v>
      </c>
      <c r="DV91" s="9" t="e">
        <f aca="false">IF($BT91="",NA(),$BT91)</f>
        <v>#N/A</v>
      </c>
      <c r="DW91" s="9" t="e">
        <f aca="false">IF($AP91="",NA(),$AO91)</f>
        <v>#N/A</v>
      </c>
      <c r="DX91" s="9" t="e">
        <f aca="false">IF($AP91="",NA(),$AP91)</f>
        <v>#N/A</v>
      </c>
      <c r="DY91" s="9" t="e">
        <f aca="false">IF(AND($D91="Sample",$P91&lt;&gt;""),$P91,NA())</f>
        <v>#N/A</v>
      </c>
      <c r="DZ91" s="9" t="e">
        <f aca="false">IF(AND($D91="Sample",$P91&lt;&gt;"",Fits!$B$105&lt;&gt;""),Fits!$B$105,NA())</f>
        <v>#N/A</v>
      </c>
      <c r="EA91" s="9" t="e">
        <f aca="false">IF($AT91="",NA(),$AT91)</f>
        <v>#N/A</v>
      </c>
      <c r="EB91" s="9" t="e">
        <f aca="false">IF(AND($D91="Drift",$AT91="",$AC91&lt;&gt;""),$AC91,NA())</f>
        <v>#N/A</v>
      </c>
      <c r="EC91" s="9" t="e">
        <f aca="false">IF(AND($D91="Drift",$AE91&lt;&gt;""),$AE91,NA())</f>
        <v>#N/A</v>
      </c>
      <c r="ED91" s="9" t="e">
        <f aca="false">IF(AND(OR($D91="Sample",$D91="Check"),$AF91&lt;&gt;""),$AF91,NA())</f>
        <v>#N/A</v>
      </c>
      <c r="EE91" s="9" t="e">
        <f aca="false">IF(OR($B91="",Fits!$B$158=""),NA(),Fits!$B$158)</f>
        <v>#N/A</v>
      </c>
      <c r="EF91" s="9" t="e">
        <f aca="false">IF(OR($B91="",Fits!$B$159=""),NA(),Fits!$B$159)</f>
        <v>#N/A</v>
      </c>
      <c r="EG91" s="9" t="e">
        <f aca="false">IF($BW91="",NA(),$BW91)</f>
        <v>#N/A</v>
      </c>
      <c r="EH91" s="9" t="e">
        <f aca="false">IF(AND($EN91=1,ISNUMBER($N91)),$N91,NA())</f>
        <v>#N/A</v>
      </c>
      <c r="EI91" s="9" t="str">
        <f aca="false">IF($B91="","",$A91)</f>
        <v/>
      </c>
      <c r="EJ91" s="9" t="n">
        <f aca="false">IF(OR(AND(ISNUMBER($L91),Fits!$B$97&gt;0,$L91&gt;Fits!$B$97),AND(ISNUMBER($P91),Fits!$B$104&gt;0,$P91&gt;Fits!$B$104)),1,0)</f>
        <v>0</v>
      </c>
      <c r="EK91" s="9" t="n">
        <f aca="false">IF(OR($EJ90=1,$EJ89=1),1,0)</f>
        <v>0</v>
      </c>
      <c r="EL91" s="22" t="n">
        <f aca="false">IF(AND($EK91=0,ISNUMBER($N91)),$N91,$EL90)</f>
        <v>25.7</v>
      </c>
      <c r="EM91" s="9" t="str">
        <f aca="false">IF(AND($EK91=1,ISNUMBER($N91),ISNUMBER($EL91)),$N91-$EL91,"")</f>
        <v/>
      </c>
      <c r="EN91" s="9" t="n">
        <f aca="false">IF(Setup!$B$28="",0,IF(ISNUMBER($EM91),IF($EM91&gt;Setup!$B$28,1,0),0))</f>
        <v>0</v>
      </c>
      <c r="EO91" s="9" t="str">
        <f aca="false">IF($EN91=1,COUNTIF($EN$6:$EN91,1),"")</f>
        <v/>
      </c>
      <c r="EP91" s="9" t="n">
        <f aca="false">IF(AND($EJ90=1,OR($D91="Sample",$D91="Check")),1,0)</f>
        <v>0</v>
      </c>
      <c r="EQ91" s="9" t="str">
        <f aca="false">IF(ISNUMBER($BI91),IF(COUNT($BI$6:$BI91)&lt;=5,$BI91,""),"")</f>
        <v/>
      </c>
      <c r="ER91" s="9" t="n">
        <f aca="false">IF(OR(NOT(ISNUMBER($BJ91)),$EK91=1),$ER90,IF($BJ91&lt;=Setup!$B$26,IF($CP90=0,$A91,$ER90),""))</f>
        <v>27</v>
      </c>
    </row>
    <row r="92" customFormat="false" ht="15" hidden="false" customHeight="false" outlineLevel="0" collapsed="false">
      <c r="A92" s="8" t="n">
        <v>87</v>
      </c>
      <c r="B92" s="8" t="str">
        <f aca="false">IFERROR(INDEX(Raw!$B$2:$B$1001,MATCH($A92,Raw!$A$2:$A$1001,0)),"")</f>
        <v/>
      </c>
      <c r="C92" s="9" t="str">
        <f aca="false">IF($B92="","",MAX($CS92:$DE92))</f>
        <v/>
      </c>
      <c r="D92" s="8" t="str">
        <f aca="false">IF($B92="","",IF($C92=0,"Sample",INDEX(Setup!$B$37:$B$49,$C92-36)))</f>
        <v/>
      </c>
      <c r="E92" s="16" t="str">
        <f aca="false">IF($B92="","",IFERROR(IF(INDEX(Raw!$E$2:$E$1001,MATCH($A92,Raw!$A$2:$A$1001,0))=0,"",INDEX(Raw!$E$2:$E$1001,MATCH($A92,Raw!$A$2:$A$1001,0))),""))</f>
        <v/>
      </c>
      <c r="F92" s="18"/>
      <c r="G92" s="16" t="str">
        <f aca="false">IF($B92="","",IF($F92&lt;&gt;"",$F92,IF($E92="","",$E92)))</f>
        <v/>
      </c>
      <c r="H92" s="9" t="str">
        <f aca="false">IF($B92="","",SUMPRODUCT(MAX((Raw!$A$2:$A$1001=$A92)*(Raw!$R$2:$R$1001="N")*Raw!$D$2:$D$1001)))</f>
        <v/>
      </c>
      <c r="I92" s="9" t="str">
        <f aca="false">IF(OR($H92="",$H92=0),"",$A92&amp;"|N|"&amp;$H92)</f>
        <v/>
      </c>
      <c r="J92" s="9" t="str">
        <f aca="false">IF($B92="","",SUMPRODUCT(MIN((Raw!$A$2:$A$1001=$A92)*(Raw!$R$2:$R$1001="C")*Raw!$D$2:$D$1001+(1-(Raw!$A$2:$A$1001=$A92)*(Raw!$R$2:$R$1001="C"))*9999)))</f>
        <v/>
      </c>
      <c r="K92" s="9" t="str">
        <f aca="false">IF(OR($J92="",$J92=0,$J92=9999),"",$A92&amp;"|C|"&amp;$J92)</f>
        <v/>
      </c>
      <c r="L92" s="16" t="str">
        <f aca="false">IF($I92="","",IF(INDEX(Raw!$I$2:$I$1001,MATCH($I92,Raw!$S$2:$S$1001,0))&lt;&gt;0,"",INDEX(Raw!$H$2:$H$1001,MATCH($I92,Raw!$S$2:$S$1001,0))))</f>
        <v/>
      </c>
      <c r="M92" s="19" t="str">
        <f aca="false">IF($I92="","",IF(INDEX(Raw!$I$2:$I$1001,MATCH($I92,Raw!$S$2:$S$1001,0))&lt;&gt;0,"",INDEX(Raw!$F$2:$F$1001,MATCH($I92,Raw!$S$2:$S$1001,0))))</f>
        <v/>
      </c>
      <c r="N92" s="20" t="str">
        <f aca="false">IF($I92="","",IF(INDEX(Raw!$I$2:$I$1001,MATCH($I92,Raw!$S$2:$S$1001,0))&lt;&gt;0,"",INDEX(Raw!$G$2:$G$1001,MATCH($I92,Raw!$S$2:$S$1001,0))))</f>
        <v/>
      </c>
      <c r="O92" s="16" t="str">
        <f aca="false">IF($I92="","",IF(INDEX(Raw!$I$2:$I$1001,MATCH($I92,Raw!$S$2:$S$1001,0))&lt;&gt;0,"",INDEX(Raw!$N$2:$N$1001,MATCH($I92,Raw!$S$2:$S$1001,0))))</f>
        <v/>
      </c>
      <c r="P92" s="16" t="str">
        <f aca="false">IF($K92="","",IF(INDEX(Raw!$I$2:$I$1001,MATCH($K92,Raw!$S$2:$S$1001,0))&lt;&gt;0,"",INDEX(Raw!$K$2:$K$1001,MATCH($K92,Raw!$S$2:$S$1001,0))))</f>
        <v/>
      </c>
      <c r="Q92" s="19" t="str">
        <f aca="false">IF($K92="","",IF(INDEX(Raw!$I$2:$I$1001,MATCH($K92,Raw!$S$2:$S$1001,0))&lt;&gt;0,"",INDEX(Raw!$J$2:$J$1001,MATCH($K92,Raw!$S$2:$S$1001,0))))</f>
        <v/>
      </c>
      <c r="R92" s="16" t="str">
        <f aca="false">IF($K92="","",IF(INDEX(Raw!$I$2:$I$1001,MATCH($K92,Raw!$S$2:$S$1001,0))&lt;&gt;0,"",INDEX(Raw!$O$2:$O$1001,MATCH($K92,Raw!$S$2:$S$1001,0))))</f>
        <v/>
      </c>
      <c r="S92" s="21" t="str">
        <f aca="false">IF($B92="","",IF($C92=0,"",IF(INDEX(Setup!$D$37:$D$49,$C92-36)="","",INDEX(Setup!$D$37:$D$49,$C92-36))))</f>
        <v/>
      </c>
      <c r="T92" s="21" t="str">
        <f aca="false">IF($B92="","",IF($C92=0,"",IF(INDEX(Setup!$C$37:$C$49,$C92-36)="","",INDEX(Setup!$C$37:$C$49,$C92-36))))</f>
        <v/>
      </c>
      <c r="U92" s="21" t="str">
        <f aca="false">IF($B92="","",IF($C92=0,"",IF(INDEX(Setup!$F$37:$F$49,$C92-36)="","",INDEX(Setup!$F$37:$F$49,$C92-36))))</f>
        <v/>
      </c>
      <c r="V92" s="21" t="str">
        <f aca="false">IF($B92="","",IF($C92=0,"",IF(INDEX(Setup!$E$37:$E$49,$C92-36)="","",INDEX(Setup!$E$37:$E$49,$C92-36))))</f>
        <v/>
      </c>
      <c r="W92" s="16" t="str">
        <f aca="false">IF($O92="","",IF(OR(Fits!$C$5&lt;&gt;"Yes",$D92="Blank",$L92&lt;=Fits!$B$6),$O92,($L92*$O92-Fits!$B$6*Fits!$B$7)/($L92-Fits!$B$6)))</f>
        <v/>
      </c>
      <c r="X92" s="16" t="str">
        <f aca="false">IF($W92="","",$W92-Fits!$B$20*($L92-Fits!$B$16))</f>
        <v/>
      </c>
      <c r="Y92" s="22" t="str">
        <f aca="false">IF($W92="","",IF(OR(Fits!$B$38="Row",$BI92=""),$A92,$BI92))</f>
        <v/>
      </c>
      <c r="Z92" s="16" t="str">
        <f aca="false">IF($X92="","",$X92-Fits!$B$39*($Y92-Fits!$B$40))</f>
        <v/>
      </c>
      <c r="AA92" s="23" t="str">
        <f aca="false">IF(OR($Z92="",Fits!$B$55&lt;2),"",Fits!$B$56*$Z92+Fits!$B$57)</f>
        <v/>
      </c>
      <c r="AB92" s="16" t="str">
        <f aca="false">IF($R92="","",IF(OR(Fits!$C$9&lt;&gt;"Yes",$D92="Blank",$P92&lt;=Fits!$B$10),$R92,($P92*$R92-Fits!$B$10*Fits!$B$11)/($P92-Fits!$B$10)))</f>
        <v/>
      </c>
      <c r="AC92" s="16" t="str">
        <f aca="false">IF($AB92="","",$AB92-Fits!$B$28*($P92-Fits!$B$24))</f>
        <v/>
      </c>
      <c r="AD92" s="22" t="str">
        <f aca="false">IF($AB92="","",IF(OR(Fits!$B$50="Row",$BI92=""),$A92,$BI92))</f>
        <v/>
      </c>
      <c r="AE92" s="16" t="str">
        <f aca="false">IF($AC92="","",$AC92-Fits!$B$51*($AD92-Fits!$B$52))</f>
        <v/>
      </c>
      <c r="AF92" s="23" t="str">
        <f aca="false">IF(OR($AE92="",Fits!$B$62&lt;2),"",Fits!$B$63*$AE92+Fits!$B$64)</f>
        <v/>
      </c>
      <c r="AG92" s="21" t="str">
        <f aca="false">IF(OR($L92="",Fits!$B$69&lt;3),"",($L92-Fits!$B$71)/Fits!$B$70)</f>
        <v/>
      </c>
      <c r="AH92" s="21" t="str">
        <f aca="false">IF(OR($P92="",Fits!$B$75&lt;3),"",($P92-Fits!$B$77)/Fits!$B$76)</f>
        <v/>
      </c>
      <c r="AI92" s="23" t="str">
        <f aca="false">IF(OR($AG92="",$G92="",$G92=0),"",$AG92/($G92*1000)*100)</f>
        <v/>
      </c>
      <c r="AJ92" s="23" t="str">
        <f aca="false">IF(OR($AH92="",$G92="",$G92=0),"",$AH92/($G92*1000)*100)</f>
        <v/>
      </c>
      <c r="AK92" s="23" t="str">
        <f aca="false">IF(OR($AG92="",$AH92="",$AG92&lt;=0),"",($AH92/Setup!$B$52)/($AG92/Setup!$B$53))</f>
        <v/>
      </c>
      <c r="AL92" s="23" t="str">
        <f aca="false">IF(OR($AG92="",$AH92="",$AG92&lt;=0),"",$AH92/$AG92)</f>
        <v/>
      </c>
      <c r="AM92" s="9" t="str">
        <f aca="false">IF($D92="Linearity",IF($L92="","",$L92),"")</f>
        <v/>
      </c>
      <c r="AN92" s="9" t="str">
        <f aca="false">IF($D92="Linearity",IF($W92="","",$W92),"")</f>
        <v/>
      </c>
      <c r="AO92" s="9" t="str">
        <f aca="false">IF($D92="Linearity",IF($P92="","",$P92),"")</f>
        <v/>
      </c>
      <c r="AP92" s="9" t="str">
        <f aca="false">IF($D92="Linearity",IF($AB92="","",$AB92),"")</f>
        <v/>
      </c>
      <c r="AQ92" s="9" t="str">
        <f aca="false">IF($D92="Drift",IF($A92&lt;IF(Setup!$B$14="",0,Setup!$B$14),"",$A92),"")</f>
        <v/>
      </c>
      <c r="AR92" s="9" t="str">
        <f aca="false">IF($D92="Drift",IF($A92&lt;IF(Setup!$B$14="",0,Setup!$B$14),"",IF($BI92="","",$BI92)),"")</f>
        <v/>
      </c>
      <c r="AS92" s="9" t="str">
        <f aca="false">IF($D92="Drift",IF($A92&lt;IF(Setup!$B$14="",0,Setup!$B$14),"",IF(OR($X92="",$BX92=1),"",$X92)),"")</f>
        <v/>
      </c>
      <c r="AT92" s="9" t="str">
        <f aca="false">IF($D92="Drift",IF($A92&lt;IF(Setup!$B$14="",0,Setup!$B$14),"",IF(OR($AC92="",$BY92=1),"",$AC92)),"")</f>
        <v/>
      </c>
      <c r="AU92" s="9" t="str">
        <f aca="false">IF($D92="Anchor",IF(OR($Z92="",$S92=""),"",$Z92),"")</f>
        <v/>
      </c>
      <c r="AV92" s="9" t="str">
        <f aca="false">IF($D92="Anchor",IF(OR($Z92="",$S92=""),"",$S92),"")</f>
        <v/>
      </c>
      <c r="AW92" s="9" t="str">
        <f aca="false">IF($D92="Anchor",IF(OR($AE92="",$T92=""),"",$AE92),"")</f>
        <v/>
      </c>
      <c r="AX92" s="9" t="str">
        <f aca="false">IF($D92="Anchor",IF(OR($AE92="",$T92=""),"",$T92),"")</f>
        <v/>
      </c>
      <c r="AY92" s="9" t="str">
        <f aca="false">IF(OR($D92="Blank",$D92="Exclude",$D92="Sample",$D92="",$G92="",$U92="",$L92=""),"",$G92*1000*$U92/100)</f>
        <v/>
      </c>
      <c r="AZ92" s="9" t="str">
        <f aca="false">IF($AY92="","",$L92)</f>
        <v/>
      </c>
      <c r="BA92" s="9" t="str">
        <f aca="false">IF(OR($D92="Blank",$D92="Exclude",$D92="Sample",$D92="",$G92="",$V92="",$P92=""),"",$G92*1000*$V92/100)</f>
        <v/>
      </c>
      <c r="BB92" s="9" t="str">
        <f aca="false">IF($BA92="","",$P92)</f>
        <v/>
      </c>
      <c r="BC92" s="9" t="str">
        <f aca="false">IF(AND($D92="Blank",$L92&lt;&gt;""),$O92,"")</f>
        <v/>
      </c>
      <c r="BD92" s="9" t="str">
        <f aca="false">IF($BC92="","",$L92)</f>
        <v/>
      </c>
      <c r="BE92" s="9" t="str">
        <f aca="false">IF(AND($D92="Blank",$P92&lt;&gt;""),$R92,"")</f>
        <v/>
      </c>
      <c r="BF92" s="9" t="str">
        <f aca="false">IF($BE92="","",$P92)</f>
        <v/>
      </c>
      <c r="BG92" s="9" t="str">
        <f aca="false">IF(AND($D92="Drift",$BX92&lt;&gt;1),IF($AA92="","",$AA92),"")</f>
        <v/>
      </c>
      <c r="BH92" s="9" t="str">
        <f aca="false">IF(AND($D92="Drift",$BY92&lt;&gt;1),IF($AF92="","",$AF92),"")</f>
        <v/>
      </c>
      <c r="BI92" s="20" t="str">
        <f aca="false">IF($B92="","",IFERROR(INDEX(Raw!$G$2:$G$1001,MATCH($A92&amp;"|N|"&amp;SUMPRODUCT(MAX((Raw!$A$2:$A$1001=$A92)*(Raw!$R$2:$R$1001="N")*(Raw!$I$2:$I$1001=1)*Raw!$D$2:$D$1001)),Raw!$S$2:$S$1001,0)),""))</f>
        <v/>
      </c>
      <c r="BJ92" s="21" t="str">
        <f aca="false">IF(OR($BI92="",Fits!$B$85&lt;=0),"",($BI92-Fits!$B$83)/Fits!$B$85)</f>
        <v/>
      </c>
      <c r="BK92" s="9" t="str">
        <f aca="false">IF($AS92="","",IF($A92&gt;=Fits!$B$86,"",$A92))</f>
        <v/>
      </c>
      <c r="BL92" s="9" t="str">
        <f aca="false">IF($BK92="","",$X92)</f>
        <v/>
      </c>
      <c r="BM92" s="9" t="str">
        <f aca="false">IF($AS92="","",IF($A92&lt;Fits!$B$86,"",$A92))</f>
        <v/>
      </c>
      <c r="BN92" s="9" t="str">
        <f aca="false">IF($BM92="","",$X92)</f>
        <v/>
      </c>
      <c r="BO92" s="9" t="str">
        <f aca="false">IF(AND($D92="Drift",$BX92&lt;&gt;1),IF($O92="","",$O92),"")</f>
        <v/>
      </c>
      <c r="BP92" s="9" t="str">
        <f aca="false">IF(AND($D92="Drift",$BX92&lt;&gt;1),IF($W92="","",$W92),"")</f>
        <v/>
      </c>
      <c r="BQ92" s="9" t="str">
        <f aca="false">IF(AND($D92="Drift",$BX92&lt;&gt;1),IF($X92="","",$X92),"")</f>
        <v/>
      </c>
      <c r="BR92" s="9" t="str">
        <f aca="false">IF(AND($D92="Drift",$BX92&lt;&gt;1),IF($Z92="","",$Z92),"")</f>
        <v/>
      </c>
      <c r="BS92" s="9" t="str">
        <f aca="false">IF(OR($B92="",$H92=""),"",SUMPRODUCT(MIN((Raw!$A$2:$A$1001=$A92)*(Raw!$R$2:$R$1001="N")*(Raw!$I$2:$I$1001=0)*(Raw!$D$2:$D$1001&lt;$H92)*Raw!$D$2:$D$1001+(1-(Raw!$A$2:$A$1001=$A92)*(Raw!$R$2:$R$1001="N")*(Raw!$I$2:$I$1001=0)*(Raw!$D$2:$D$1001&lt;$H92))*9999)))</f>
        <v/>
      </c>
      <c r="BT92" s="16" t="str">
        <f aca="false">IF(OR($BS92="",$BS92=9999,$BS92=0),"",IFERROR(INDEX(Raw!$N$2:$N$1001,MATCH($A92&amp;"|N|"&amp;$BS92,Raw!$S$2:$S$1001,0)),""))</f>
        <v/>
      </c>
      <c r="BU92" s="9" t="str">
        <f aca="false">IF($B92="","",SUMPRODUCT(MIN((Raw!$A$2:$A$1001=$A92)*(Raw!$R$2:$R$1001="C")*(Raw!$I$2:$I$1001=1)*Raw!$D$2:$D$1001+(1-(Raw!$A$2:$A$1001=$A92)*(Raw!$R$2:$R$1001="C")*(Raw!$I$2:$I$1001=1))*9999)))</f>
        <v/>
      </c>
      <c r="BV92" s="9" t="str">
        <f aca="false">IF(OR($BU92="",$BU92=9999),"",SUMPRODUCT(MIN((Raw!$A$2:$A$1001=$A92)*(Raw!$R$2:$R$1001="C")*(Raw!$I$2:$I$1001=0)*(Raw!$D$2:$D$1001&gt;$BU92)*Raw!$D$2:$D$1001+(1-(Raw!$A$2:$A$1001=$A92)*(Raw!$R$2:$R$1001="C")*(Raw!$I$2:$I$1001=0)*(Raw!$D$2:$D$1001&gt;$BU92))*9999)))</f>
        <v/>
      </c>
      <c r="BW92" s="16" t="str">
        <f aca="false">IF(OR($BV92="",$BV92=9999,$BV92=0),"",IFERROR(INDEX(Raw!$O$2:$O$1001,MATCH($A92&amp;"|C|"&amp;$BV92,Raw!$S$2:$S$1001,0)),""))</f>
        <v/>
      </c>
      <c r="BX92" s="9" t="str">
        <f aca="false">IF($B92="","",IF(ISNUMBER(SEARCH(","&amp;$A92&amp;",",","&amp;SUBSTITUTE(Setup!$B$16," ","")&amp;",")),1,0))</f>
        <v/>
      </c>
      <c r="BY92" s="9" t="str">
        <f aca="false">IF($B92="","",IF(ISNUMBER(SEARCH(","&amp;$A92&amp;",",","&amp;SUBSTITUTE(Setup!$B$17," ","")&amp;",")),1,0))</f>
        <v/>
      </c>
      <c r="BZ92" s="22" t="str">
        <f aca="false">IF($AS92="","",IF(Fits!$B$38="Row",$AQ92,IF($AR92="","",$AR92)))</f>
        <v/>
      </c>
      <c r="CA92" s="22" t="str">
        <f aca="false">IF($AT92="","",IF(Fits!$B$50="Row",$AQ92,IF($AR92="","",$AR92)))</f>
        <v/>
      </c>
      <c r="CB92" s="20" t="str">
        <f aca="false">IF(OR($D92&lt;&gt;"Drift",$X92="",$A92&lt;IF(Setup!$B$14="",0,Setup!$B$14),Fits!$B$107&lt;3,Fits!$B$110="",Fits!$B$109=0,IF(Fits!$B$38="Row",$AQ92,$AR92)=""),"",IF($BX92=1,IF(OR(Fits!$B$111="",Fits!$B$111=0),"",($X92-(IF(Fits!$B$38="Row",Fits!$B$32,Fits!$B$35)*IF(Fits!$B$38="Row",$AQ92,$AR92)+Fits!$B$110))/(Fits!$B$111*SQRT(1+(1/Fits!$B$107+(IF(Fits!$B$38="Row",$AQ92,$AR92)-Fits!$B$108)^2/Fits!$B$109)))),IF(OR(Fits!$B$107&lt;4,(1/Fits!$B$107+(IF(Fits!$B$38="Row",$AQ92,$AR92)-Fits!$B$108)^2/Fits!$B$109)&gt;=1),"",IF((Fits!$B$116-($X92-(IF(Fits!$B$38="Row",Fits!$B$32,Fits!$B$35)*IF(Fits!$B$38="Row",$AQ92,$AR92)+Fits!$B$110))^2/(1-(1/Fits!$B$107+(IF(Fits!$B$38="Row",$AQ92,$AR92)-Fits!$B$108)^2/Fits!$B$109)))&lt;=0,"",($X92-(IF(Fits!$B$38="Row",Fits!$B$32,Fits!$B$35)*IF(Fits!$B$38="Row",$AQ92,$AR92)+Fits!$B$110))/(SQRT((Fits!$B$116-($X92-(IF(Fits!$B$38="Row",Fits!$B$32,Fits!$B$35)*IF(Fits!$B$38="Row",$AQ92,$AR92)+Fits!$B$110))^2/(1-(1/Fits!$B$107+(IF(Fits!$B$38="Row",$AQ92,$AR92)-Fits!$B$108)^2/Fits!$B$109)))/(Fits!$B$107-3))*SQRT(1-(1/Fits!$B$107+(IF(Fits!$B$38="Row",$AQ92,$AR92)-Fits!$B$108)^2/Fits!$B$109)))))))</f>
        <v/>
      </c>
      <c r="CC92" s="20" t="str">
        <f aca="false">IF(OR($D92&lt;&gt;"Drift",$AC92="",$A92&lt;IF(Setup!$B$14="",0,Setup!$B$14),Fits!$B$120&lt;3,Fits!$B$123="",Fits!$B$122=0,IF(Fits!$B$50="Row",$AQ92,$AR92)=""),"",IF($BY92=1,IF(OR(Fits!$B$124="",Fits!$B$124=0),"",($AC92-(IF(Fits!$B$50="Row",Fits!$B$44,Fits!$B$47)*IF(Fits!$B$50="Row",$AQ92,$AR92)+Fits!$B$123))/(Fits!$B$124*SQRT(1+(1/Fits!$B$120+(IF(Fits!$B$50="Row",$AQ92,$AR92)-Fits!$B$121)^2/Fits!$B$122)))),IF(OR(Fits!$B$120&lt;4,(1/Fits!$B$120+(IF(Fits!$B$50="Row",$AQ92,$AR92)-Fits!$B$121)^2/Fits!$B$122)&gt;=1),"",IF((Fits!$B$129-($AC92-(IF(Fits!$B$50="Row",Fits!$B$44,Fits!$B$47)*IF(Fits!$B$50="Row",$AQ92,$AR92)+Fits!$B$123))^2/(1-(1/Fits!$B$120+(IF(Fits!$B$50="Row",$AQ92,$AR92)-Fits!$B$121)^2/Fits!$B$122)))&lt;=0,"",($AC92-(IF(Fits!$B$50="Row",Fits!$B$44,Fits!$B$47)*IF(Fits!$B$50="Row",$AQ92,$AR92)+Fits!$B$123))/(SQRT((Fits!$B$129-($AC92-(IF(Fits!$B$50="Row",Fits!$B$44,Fits!$B$47)*IF(Fits!$B$50="Row",$AQ92,$AR92)+Fits!$B$123))^2/(1-(1/Fits!$B$120+(IF(Fits!$B$50="Row",$AQ92,$AR92)-Fits!$B$121)^2/Fits!$B$122)))/(Fits!$B$120-3))*SQRT(1-(1/Fits!$B$120+(IF(Fits!$B$50="Row",$AQ92,$AR92)-Fits!$B$121)^2/Fits!$B$122)))))))</f>
        <v/>
      </c>
      <c r="CD92" s="9" t="str">
        <f aca="false">IF($AU92="","",1)</f>
        <v/>
      </c>
      <c r="CE92" s="24" t="str">
        <f aca="false">IF($AU92="","",$AU92-Fits!$B$133)</f>
        <v/>
      </c>
      <c r="CF92" s="24" t="str">
        <f aca="false">IF($AU92="","",($AV92-(Fits!$B$56*$AU92+Fits!$B$57))-Fits!$B$56*($AU92-Fits!$B$133))</f>
        <v/>
      </c>
      <c r="CG92" s="25" t="str">
        <f aca="false">IF($AU92="","",$AU92^2)</f>
        <v/>
      </c>
      <c r="CH92" s="9" t="str">
        <f aca="false">IF($AW92="","",1)</f>
        <v/>
      </c>
      <c r="CI92" s="24" t="str">
        <f aca="false">IF($AW92="","",$AW92-Fits!$B$153)</f>
        <v/>
      </c>
      <c r="CJ92" s="24" t="str">
        <f aca="false">IF($AW92="","",($AX92-(Fits!$B$63*$AW92+Fits!$B$64))-Fits!$B$63*($AW92-Fits!$B$153))</f>
        <v/>
      </c>
      <c r="CK92" s="25" t="str">
        <f aca="false">IF($AW92="","",$AW92^2)</f>
        <v/>
      </c>
      <c r="CL92" s="26" t="str">
        <f aca="false">IF(OR($Z92="",Fits!$B$55&lt;3,Fits!$B$133="",Fits!$B$134="",Fits!$B$134=0,Fits!$B$136=""),"",SQRT((Fits!$B$136*Fits!$B$56)^2+SUMPRODUCT((Fits!$J$163:$J$175*(Fits!$B$163:$B$175/Fits!$B$55+Fits!$H$163:$H$175*($Z92-Fits!$B$133)/Fits!$B$134))^2)+SUMPRODUCT((Fits!$G$163:$G$175*(($Z92-Fits!$B$133)*Fits!$I$163:$I$175/Fits!$B$134-Fits!$B$163:$B$175*Fits!$B$56/Fits!$B$55))^2)))</f>
        <v/>
      </c>
      <c r="CM92" s="26" t="str">
        <f aca="false">IF($CL92="","",Setup!$B$32*$CL92)</f>
        <v/>
      </c>
      <c r="CN92" s="26" t="str">
        <f aca="false">IF(OR($AE92="",Fits!$B$62&lt;3,Fits!$B$153="",Fits!$B$154="",Fits!$B$154=0,Fits!$B$156=""),"",SQRT((Fits!$B$156*Fits!$B$63)^2+SUMPRODUCT((Fits!$J$183:$J$195*(Fits!$B$183:$B$195/Fits!$B$62+Fits!$H$183:$H$195*($AE92-Fits!$B$153)/Fits!$B$154))^2)+SUMPRODUCT((Fits!$G$183:$G$195*(($AE92-Fits!$B$153)*Fits!$I$183:$I$195/Fits!$B$154-Fits!$B$183:$B$195*Fits!$B$63/Fits!$B$62))^2)))</f>
        <v/>
      </c>
      <c r="CO92" s="26" t="str">
        <f aca="false">IF($CN92="","",Setup!$B$32*$CN92)</f>
        <v/>
      </c>
      <c r="CP92" s="9" t="n">
        <f aca="false">IF(OR(NOT(ISNUMBER($BJ92)),$EK92=1),$CP91,IF($BJ92&lt;=Setup!$B$26,$CP91+1,0))</f>
        <v>26</v>
      </c>
      <c r="CQ92" s="9" t="str">
        <f aca="false">IF($BT92="","",$A92)</f>
        <v/>
      </c>
      <c r="CR92" s="9" t="str">
        <f aca="false">IF($BW92="","",$A92)</f>
        <v/>
      </c>
      <c r="CS92" s="9" t="str">
        <f aca="false">IF($B92="","",IF(Setup!$A$37="",0,IF(ISNUMBER(SEARCH(Setup!$A$37,$B92)),37,0)))</f>
        <v/>
      </c>
      <c r="CT92" s="9" t="str">
        <f aca="false">IF($B92="","",IF(Setup!$A$38="",0,IF(ISNUMBER(SEARCH(Setup!$A$38,$B92)),38,0)))</f>
        <v/>
      </c>
      <c r="CU92" s="9" t="str">
        <f aca="false">IF($B92="","",IF(Setup!$A$39="",0,IF(ISNUMBER(SEARCH(Setup!$A$39,$B92)),39,0)))</f>
        <v/>
      </c>
      <c r="CV92" s="9" t="str">
        <f aca="false">IF($B92="","",IF(Setup!$A$40="",0,IF(ISNUMBER(SEARCH(Setup!$A$40,$B92)),40,0)))</f>
        <v/>
      </c>
      <c r="CW92" s="9" t="str">
        <f aca="false">IF($B92="","",IF(Setup!$A$41="",0,IF(ISNUMBER(SEARCH(Setup!$A$41,$B92)),41,0)))</f>
        <v/>
      </c>
      <c r="CX92" s="9" t="str">
        <f aca="false">IF($B92="","",IF(Setup!$A$42="",0,IF(ISNUMBER(SEARCH(Setup!$A$42,$B92)),42,0)))</f>
        <v/>
      </c>
      <c r="CY92" s="9" t="str">
        <f aca="false">IF($B92="","",IF(Setup!$A$43="",0,IF(ISNUMBER(SEARCH(Setup!$A$43,$B92)),43,0)))</f>
        <v/>
      </c>
      <c r="CZ92" s="9" t="str">
        <f aca="false">IF($B92="","",IF(Setup!$A$44="",0,IF(ISNUMBER(SEARCH(Setup!$A$44,$B92)),44,0)))</f>
        <v/>
      </c>
      <c r="DA92" s="9" t="str">
        <f aca="false">IF($B92="","",IF(Setup!$A$45="",0,IF(ISNUMBER(SEARCH(Setup!$A$45,$B92)),45,0)))</f>
        <v/>
      </c>
      <c r="DB92" s="9" t="str">
        <f aca="false">IF($B92="","",IF(Setup!$A$46="",0,IF(ISNUMBER(SEARCH(Setup!$A$46,$B92)),46,0)))</f>
        <v/>
      </c>
      <c r="DC92" s="9" t="str">
        <f aca="false">IF($B92="","",IF(Setup!$A$47="",0,IF(ISNUMBER(SEARCH(Setup!$A$47,$B92)),47,0)))</f>
        <v/>
      </c>
      <c r="DD92" s="9" t="str">
        <f aca="false">IF($B92="","",IF(Setup!$A$48="",0,IF(ISNUMBER(SEARCH(Setup!$A$48,$B92)),48,0)))</f>
        <v/>
      </c>
      <c r="DE92" s="9" t="str">
        <f aca="false">IF($B92="","",IF(Setup!$A$49="",0,IF(ISNUMBER(SEARCH(Setup!$A$49,$B92)),49,0)))</f>
        <v/>
      </c>
      <c r="DF92" s="9" t="e">
        <f aca="false">IF($B92="",NA(),$A92)</f>
        <v>#N/A</v>
      </c>
      <c r="DG92" s="9" t="e">
        <f aca="false">IF($BI92="",NA(),$BI92)</f>
        <v>#N/A</v>
      </c>
      <c r="DH92" s="9" t="e">
        <f aca="false">IF($N92="",NA(),$N92)</f>
        <v>#N/A</v>
      </c>
      <c r="DI92" s="9" t="e">
        <f aca="false">IF(AND($D92="Drift",$N92&lt;&gt;""),$N92,NA())</f>
        <v>#N/A</v>
      </c>
      <c r="DJ92" s="9" t="str">
        <f aca="false">IF(AND($D92="Drift",$N92&lt;&gt;""),$N92,"")</f>
        <v/>
      </c>
      <c r="DK92" s="9" t="str">
        <f aca="false">IF($DJ92="","",$A92)</f>
        <v/>
      </c>
      <c r="DL92" s="9" t="e">
        <f aca="false">IF($AN92="",NA(),$AM92)</f>
        <v>#N/A</v>
      </c>
      <c r="DM92" s="9" t="e">
        <f aca="false">IF($AN92="",NA(),$AN92)</f>
        <v>#N/A</v>
      </c>
      <c r="DN92" s="9" t="e">
        <f aca="false">IF(AND($D92="Sample",$L92&lt;&gt;""),$L92,NA())</f>
        <v>#N/A</v>
      </c>
      <c r="DO92" s="9" t="e">
        <f aca="false">IF(AND($D92="Sample",$L92&lt;&gt;"",Fits!$B$98&lt;&gt;""),Fits!$B$98,NA())</f>
        <v>#N/A</v>
      </c>
      <c r="DP92" s="9" t="e">
        <f aca="false">IF($AS92="",NA(),$AS92)</f>
        <v>#N/A</v>
      </c>
      <c r="DQ92" s="9" t="e">
        <f aca="false">IF(AND($D92="Drift",$AS92="",$X92&lt;&gt;""),$X92,NA())</f>
        <v>#N/A</v>
      </c>
      <c r="DR92" s="9" t="e">
        <f aca="false">IF(AND($D92="Drift",$Z92&lt;&gt;""),$Z92,NA())</f>
        <v>#N/A</v>
      </c>
      <c r="DS92" s="9" t="e">
        <f aca="false">IF(AND(OR($D92="Sample",$D92="Check"),$AA92&lt;&gt;""),$AA92,NA())</f>
        <v>#N/A</v>
      </c>
      <c r="DT92" s="9" t="e">
        <f aca="false">IF(OR($B92="",Fits!$B$138=""),NA(),Fits!$B$138)</f>
        <v>#N/A</v>
      </c>
      <c r="DU92" s="9" t="e">
        <f aca="false">IF(OR($B92="",Fits!$B$139=""),NA(),Fits!$B$139)</f>
        <v>#N/A</v>
      </c>
      <c r="DV92" s="9" t="e">
        <f aca="false">IF($BT92="",NA(),$BT92)</f>
        <v>#N/A</v>
      </c>
      <c r="DW92" s="9" t="e">
        <f aca="false">IF($AP92="",NA(),$AO92)</f>
        <v>#N/A</v>
      </c>
      <c r="DX92" s="9" t="e">
        <f aca="false">IF($AP92="",NA(),$AP92)</f>
        <v>#N/A</v>
      </c>
      <c r="DY92" s="9" t="e">
        <f aca="false">IF(AND($D92="Sample",$P92&lt;&gt;""),$P92,NA())</f>
        <v>#N/A</v>
      </c>
      <c r="DZ92" s="9" t="e">
        <f aca="false">IF(AND($D92="Sample",$P92&lt;&gt;"",Fits!$B$105&lt;&gt;""),Fits!$B$105,NA())</f>
        <v>#N/A</v>
      </c>
      <c r="EA92" s="9" t="e">
        <f aca="false">IF($AT92="",NA(),$AT92)</f>
        <v>#N/A</v>
      </c>
      <c r="EB92" s="9" t="e">
        <f aca="false">IF(AND($D92="Drift",$AT92="",$AC92&lt;&gt;""),$AC92,NA())</f>
        <v>#N/A</v>
      </c>
      <c r="EC92" s="9" t="e">
        <f aca="false">IF(AND($D92="Drift",$AE92&lt;&gt;""),$AE92,NA())</f>
        <v>#N/A</v>
      </c>
      <c r="ED92" s="9" t="e">
        <f aca="false">IF(AND(OR($D92="Sample",$D92="Check"),$AF92&lt;&gt;""),$AF92,NA())</f>
        <v>#N/A</v>
      </c>
      <c r="EE92" s="9" t="e">
        <f aca="false">IF(OR($B92="",Fits!$B$158=""),NA(),Fits!$B$158)</f>
        <v>#N/A</v>
      </c>
      <c r="EF92" s="9" t="e">
        <f aca="false">IF(OR($B92="",Fits!$B$159=""),NA(),Fits!$B$159)</f>
        <v>#N/A</v>
      </c>
      <c r="EG92" s="9" t="e">
        <f aca="false">IF($BW92="",NA(),$BW92)</f>
        <v>#N/A</v>
      </c>
      <c r="EH92" s="9" t="e">
        <f aca="false">IF(AND($EN92=1,ISNUMBER($N92)),$N92,NA())</f>
        <v>#N/A</v>
      </c>
      <c r="EI92" s="9" t="str">
        <f aca="false">IF($B92="","",$A92)</f>
        <v/>
      </c>
      <c r="EJ92" s="9" t="n">
        <f aca="false">IF(OR(AND(ISNUMBER($L92),Fits!$B$97&gt;0,$L92&gt;Fits!$B$97),AND(ISNUMBER($P92),Fits!$B$104&gt;0,$P92&gt;Fits!$B$104)),1,0)</f>
        <v>0</v>
      </c>
      <c r="EK92" s="9" t="n">
        <f aca="false">IF(OR($EJ91=1,$EJ90=1),1,0)</f>
        <v>0</v>
      </c>
      <c r="EL92" s="22" t="n">
        <f aca="false">IF(AND($EK92=0,ISNUMBER($N92)),$N92,$EL91)</f>
        <v>25.7</v>
      </c>
      <c r="EM92" s="9" t="str">
        <f aca="false">IF(AND($EK92=1,ISNUMBER($N92),ISNUMBER($EL92)),$N92-$EL92,"")</f>
        <v/>
      </c>
      <c r="EN92" s="9" t="n">
        <f aca="false">IF(Setup!$B$28="",0,IF(ISNUMBER($EM92),IF($EM92&gt;Setup!$B$28,1,0),0))</f>
        <v>0</v>
      </c>
      <c r="EO92" s="9" t="str">
        <f aca="false">IF($EN92=1,COUNTIF($EN$6:$EN92,1),"")</f>
        <v/>
      </c>
      <c r="EP92" s="9" t="n">
        <f aca="false">IF(AND($EJ91=1,OR($D92="Sample",$D92="Check")),1,0)</f>
        <v>0</v>
      </c>
      <c r="EQ92" s="9" t="str">
        <f aca="false">IF(ISNUMBER($BI92),IF(COUNT($BI$6:$BI92)&lt;=5,$BI92,""),"")</f>
        <v/>
      </c>
      <c r="ER92" s="9" t="n">
        <f aca="false">IF(OR(NOT(ISNUMBER($BJ92)),$EK92=1),$ER91,IF($BJ92&lt;=Setup!$B$26,IF($CP91=0,$A92,$ER91),""))</f>
        <v>27</v>
      </c>
    </row>
    <row r="93" customFormat="false" ht="15" hidden="false" customHeight="false" outlineLevel="0" collapsed="false">
      <c r="A93" s="8" t="n">
        <v>88</v>
      </c>
      <c r="B93" s="8" t="str">
        <f aca="false">IFERROR(INDEX(Raw!$B$2:$B$1001,MATCH($A93,Raw!$A$2:$A$1001,0)),"")</f>
        <v/>
      </c>
      <c r="C93" s="9" t="str">
        <f aca="false">IF($B93="","",MAX($CS93:$DE93))</f>
        <v/>
      </c>
      <c r="D93" s="8" t="str">
        <f aca="false">IF($B93="","",IF($C93=0,"Sample",INDEX(Setup!$B$37:$B$49,$C93-36)))</f>
        <v/>
      </c>
      <c r="E93" s="16" t="str">
        <f aca="false">IF($B93="","",IFERROR(IF(INDEX(Raw!$E$2:$E$1001,MATCH($A93,Raw!$A$2:$A$1001,0))=0,"",INDEX(Raw!$E$2:$E$1001,MATCH($A93,Raw!$A$2:$A$1001,0))),""))</f>
        <v/>
      </c>
      <c r="F93" s="18"/>
      <c r="G93" s="16" t="str">
        <f aca="false">IF($B93="","",IF($F93&lt;&gt;"",$F93,IF($E93="","",$E93)))</f>
        <v/>
      </c>
      <c r="H93" s="9" t="str">
        <f aca="false">IF($B93="","",SUMPRODUCT(MAX((Raw!$A$2:$A$1001=$A93)*(Raw!$R$2:$R$1001="N")*Raw!$D$2:$D$1001)))</f>
        <v/>
      </c>
      <c r="I93" s="9" t="str">
        <f aca="false">IF(OR($H93="",$H93=0),"",$A93&amp;"|N|"&amp;$H93)</f>
        <v/>
      </c>
      <c r="J93" s="9" t="str">
        <f aca="false">IF($B93="","",SUMPRODUCT(MIN((Raw!$A$2:$A$1001=$A93)*(Raw!$R$2:$R$1001="C")*Raw!$D$2:$D$1001+(1-(Raw!$A$2:$A$1001=$A93)*(Raw!$R$2:$R$1001="C"))*9999)))</f>
        <v/>
      </c>
      <c r="K93" s="9" t="str">
        <f aca="false">IF(OR($J93="",$J93=0,$J93=9999),"",$A93&amp;"|C|"&amp;$J93)</f>
        <v/>
      </c>
      <c r="L93" s="16" t="str">
        <f aca="false">IF($I93="","",IF(INDEX(Raw!$I$2:$I$1001,MATCH($I93,Raw!$S$2:$S$1001,0))&lt;&gt;0,"",INDEX(Raw!$H$2:$H$1001,MATCH($I93,Raw!$S$2:$S$1001,0))))</f>
        <v/>
      </c>
      <c r="M93" s="19" t="str">
        <f aca="false">IF($I93="","",IF(INDEX(Raw!$I$2:$I$1001,MATCH($I93,Raw!$S$2:$S$1001,0))&lt;&gt;0,"",INDEX(Raw!$F$2:$F$1001,MATCH($I93,Raw!$S$2:$S$1001,0))))</f>
        <v/>
      </c>
      <c r="N93" s="20" t="str">
        <f aca="false">IF($I93="","",IF(INDEX(Raw!$I$2:$I$1001,MATCH($I93,Raw!$S$2:$S$1001,0))&lt;&gt;0,"",INDEX(Raw!$G$2:$G$1001,MATCH($I93,Raw!$S$2:$S$1001,0))))</f>
        <v/>
      </c>
      <c r="O93" s="16" t="str">
        <f aca="false">IF($I93="","",IF(INDEX(Raw!$I$2:$I$1001,MATCH($I93,Raw!$S$2:$S$1001,0))&lt;&gt;0,"",INDEX(Raw!$N$2:$N$1001,MATCH($I93,Raw!$S$2:$S$1001,0))))</f>
        <v/>
      </c>
      <c r="P93" s="16" t="str">
        <f aca="false">IF($K93="","",IF(INDEX(Raw!$I$2:$I$1001,MATCH($K93,Raw!$S$2:$S$1001,0))&lt;&gt;0,"",INDEX(Raw!$K$2:$K$1001,MATCH($K93,Raw!$S$2:$S$1001,0))))</f>
        <v/>
      </c>
      <c r="Q93" s="19" t="str">
        <f aca="false">IF($K93="","",IF(INDEX(Raw!$I$2:$I$1001,MATCH($K93,Raw!$S$2:$S$1001,0))&lt;&gt;0,"",INDEX(Raw!$J$2:$J$1001,MATCH($K93,Raw!$S$2:$S$1001,0))))</f>
        <v/>
      </c>
      <c r="R93" s="16" t="str">
        <f aca="false">IF($K93="","",IF(INDEX(Raw!$I$2:$I$1001,MATCH($K93,Raw!$S$2:$S$1001,0))&lt;&gt;0,"",INDEX(Raw!$O$2:$O$1001,MATCH($K93,Raw!$S$2:$S$1001,0))))</f>
        <v/>
      </c>
      <c r="S93" s="21" t="str">
        <f aca="false">IF($B93="","",IF($C93=0,"",IF(INDEX(Setup!$D$37:$D$49,$C93-36)="","",INDEX(Setup!$D$37:$D$49,$C93-36))))</f>
        <v/>
      </c>
      <c r="T93" s="21" t="str">
        <f aca="false">IF($B93="","",IF($C93=0,"",IF(INDEX(Setup!$C$37:$C$49,$C93-36)="","",INDEX(Setup!$C$37:$C$49,$C93-36))))</f>
        <v/>
      </c>
      <c r="U93" s="21" t="str">
        <f aca="false">IF($B93="","",IF($C93=0,"",IF(INDEX(Setup!$F$37:$F$49,$C93-36)="","",INDEX(Setup!$F$37:$F$49,$C93-36))))</f>
        <v/>
      </c>
      <c r="V93" s="21" t="str">
        <f aca="false">IF($B93="","",IF($C93=0,"",IF(INDEX(Setup!$E$37:$E$49,$C93-36)="","",INDEX(Setup!$E$37:$E$49,$C93-36))))</f>
        <v/>
      </c>
      <c r="W93" s="16" t="str">
        <f aca="false">IF($O93="","",IF(OR(Fits!$C$5&lt;&gt;"Yes",$D93="Blank",$L93&lt;=Fits!$B$6),$O93,($L93*$O93-Fits!$B$6*Fits!$B$7)/($L93-Fits!$B$6)))</f>
        <v/>
      </c>
      <c r="X93" s="16" t="str">
        <f aca="false">IF($W93="","",$W93-Fits!$B$20*($L93-Fits!$B$16))</f>
        <v/>
      </c>
      <c r="Y93" s="22" t="str">
        <f aca="false">IF($W93="","",IF(OR(Fits!$B$38="Row",$BI93=""),$A93,$BI93))</f>
        <v/>
      </c>
      <c r="Z93" s="16" t="str">
        <f aca="false">IF($X93="","",$X93-Fits!$B$39*($Y93-Fits!$B$40))</f>
        <v/>
      </c>
      <c r="AA93" s="23" t="str">
        <f aca="false">IF(OR($Z93="",Fits!$B$55&lt;2),"",Fits!$B$56*$Z93+Fits!$B$57)</f>
        <v/>
      </c>
      <c r="AB93" s="16" t="str">
        <f aca="false">IF($R93="","",IF(OR(Fits!$C$9&lt;&gt;"Yes",$D93="Blank",$P93&lt;=Fits!$B$10),$R93,($P93*$R93-Fits!$B$10*Fits!$B$11)/($P93-Fits!$B$10)))</f>
        <v/>
      </c>
      <c r="AC93" s="16" t="str">
        <f aca="false">IF($AB93="","",$AB93-Fits!$B$28*($P93-Fits!$B$24))</f>
        <v/>
      </c>
      <c r="AD93" s="22" t="str">
        <f aca="false">IF($AB93="","",IF(OR(Fits!$B$50="Row",$BI93=""),$A93,$BI93))</f>
        <v/>
      </c>
      <c r="AE93" s="16" t="str">
        <f aca="false">IF($AC93="","",$AC93-Fits!$B$51*($AD93-Fits!$B$52))</f>
        <v/>
      </c>
      <c r="AF93" s="23" t="str">
        <f aca="false">IF(OR($AE93="",Fits!$B$62&lt;2),"",Fits!$B$63*$AE93+Fits!$B$64)</f>
        <v/>
      </c>
      <c r="AG93" s="21" t="str">
        <f aca="false">IF(OR($L93="",Fits!$B$69&lt;3),"",($L93-Fits!$B$71)/Fits!$B$70)</f>
        <v/>
      </c>
      <c r="AH93" s="21" t="str">
        <f aca="false">IF(OR($P93="",Fits!$B$75&lt;3),"",($P93-Fits!$B$77)/Fits!$B$76)</f>
        <v/>
      </c>
      <c r="AI93" s="23" t="str">
        <f aca="false">IF(OR($AG93="",$G93="",$G93=0),"",$AG93/($G93*1000)*100)</f>
        <v/>
      </c>
      <c r="AJ93" s="23" t="str">
        <f aca="false">IF(OR($AH93="",$G93="",$G93=0),"",$AH93/($G93*1000)*100)</f>
        <v/>
      </c>
      <c r="AK93" s="23" t="str">
        <f aca="false">IF(OR($AG93="",$AH93="",$AG93&lt;=0),"",($AH93/Setup!$B$52)/($AG93/Setup!$B$53))</f>
        <v/>
      </c>
      <c r="AL93" s="23" t="str">
        <f aca="false">IF(OR($AG93="",$AH93="",$AG93&lt;=0),"",$AH93/$AG93)</f>
        <v/>
      </c>
      <c r="AM93" s="9" t="str">
        <f aca="false">IF($D93="Linearity",IF($L93="","",$L93),"")</f>
        <v/>
      </c>
      <c r="AN93" s="9" t="str">
        <f aca="false">IF($D93="Linearity",IF($W93="","",$W93),"")</f>
        <v/>
      </c>
      <c r="AO93" s="9" t="str">
        <f aca="false">IF($D93="Linearity",IF($P93="","",$P93),"")</f>
        <v/>
      </c>
      <c r="AP93" s="9" t="str">
        <f aca="false">IF($D93="Linearity",IF($AB93="","",$AB93),"")</f>
        <v/>
      </c>
      <c r="AQ93" s="9" t="str">
        <f aca="false">IF($D93="Drift",IF($A93&lt;IF(Setup!$B$14="",0,Setup!$B$14),"",$A93),"")</f>
        <v/>
      </c>
      <c r="AR93" s="9" t="str">
        <f aca="false">IF($D93="Drift",IF($A93&lt;IF(Setup!$B$14="",0,Setup!$B$14),"",IF($BI93="","",$BI93)),"")</f>
        <v/>
      </c>
      <c r="AS93" s="9" t="str">
        <f aca="false">IF($D93="Drift",IF($A93&lt;IF(Setup!$B$14="",0,Setup!$B$14),"",IF(OR($X93="",$BX93=1),"",$X93)),"")</f>
        <v/>
      </c>
      <c r="AT93" s="9" t="str">
        <f aca="false">IF($D93="Drift",IF($A93&lt;IF(Setup!$B$14="",0,Setup!$B$14),"",IF(OR($AC93="",$BY93=1),"",$AC93)),"")</f>
        <v/>
      </c>
      <c r="AU93" s="9" t="str">
        <f aca="false">IF($D93="Anchor",IF(OR($Z93="",$S93=""),"",$Z93),"")</f>
        <v/>
      </c>
      <c r="AV93" s="9" t="str">
        <f aca="false">IF($D93="Anchor",IF(OR($Z93="",$S93=""),"",$S93),"")</f>
        <v/>
      </c>
      <c r="AW93" s="9" t="str">
        <f aca="false">IF($D93="Anchor",IF(OR($AE93="",$T93=""),"",$AE93),"")</f>
        <v/>
      </c>
      <c r="AX93" s="9" t="str">
        <f aca="false">IF($D93="Anchor",IF(OR($AE93="",$T93=""),"",$T93),"")</f>
        <v/>
      </c>
      <c r="AY93" s="9" t="str">
        <f aca="false">IF(OR($D93="Blank",$D93="Exclude",$D93="Sample",$D93="",$G93="",$U93="",$L93=""),"",$G93*1000*$U93/100)</f>
        <v/>
      </c>
      <c r="AZ93" s="9" t="str">
        <f aca="false">IF($AY93="","",$L93)</f>
        <v/>
      </c>
      <c r="BA93" s="9" t="str">
        <f aca="false">IF(OR($D93="Blank",$D93="Exclude",$D93="Sample",$D93="",$G93="",$V93="",$P93=""),"",$G93*1000*$V93/100)</f>
        <v/>
      </c>
      <c r="BB93" s="9" t="str">
        <f aca="false">IF($BA93="","",$P93)</f>
        <v/>
      </c>
      <c r="BC93" s="9" t="str">
        <f aca="false">IF(AND($D93="Blank",$L93&lt;&gt;""),$O93,"")</f>
        <v/>
      </c>
      <c r="BD93" s="9" t="str">
        <f aca="false">IF($BC93="","",$L93)</f>
        <v/>
      </c>
      <c r="BE93" s="9" t="str">
        <f aca="false">IF(AND($D93="Blank",$P93&lt;&gt;""),$R93,"")</f>
        <v/>
      </c>
      <c r="BF93" s="9" t="str">
        <f aca="false">IF($BE93="","",$P93)</f>
        <v/>
      </c>
      <c r="BG93" s="9" t="str">
        <f aca="false">IF(AND($D93="Drift",$BX93&lt;&gt;1),IF($AA93="","",$AA93),"")</f>
        <v/>
      </c>
      <c r="BH93" s="9" t="str">
        <f aca="false">IF(AND($D93="Drift",$BY93&lt;&gt;1),IF($AF93="","",$AF93),"")</f>
        <v/>
      </c>
      <c r="BI93" s="20" t="str">
        <f aca="false">IF($B93="","",IFERROR(INDEX(Raw!$G$2:$G$1001,MATCH($A93&amp;"|N|"&amp;SUMPRODUCT(MAX((Raw!$A$2:$A$1001=$A93)*(Raw!$R$2:$R$1001="N")*(Raw!$I$2:$I$1001=1)*Raw!$D$2:$D$1001)),Raw!$S$2:$S$1001,0)),""))</f>
        <v/>
      </c>
      <c r="BJ93" s="21" t="str">
        <f aca="false">IF(OR($BI93="",Fits!$B$85&lt;=0),"",($BI93-Fits!$B$83)/Fits!$B$85)</f>
        <v/>
      </c>
      <c r="BK93" s="9" t="str">
        <f aca="false">IF($AS93="","",IF($A93&gt;=Fits!$B$86,"",$A93))</f>
        <v/>
      </c>
      <c r="BL93" s="9" t="str">
        <f aca="false">IF($BK93="","",$X93)</f>
        <v/>
      </c>
      <c r="BM93" s="9" t="str">
        <f aca="false">IF($AS93="","",IF($A93&lt;Fits!$B$86,"",$A93))</f>
        <v/>
      </c>
      <c r="BN93" s="9" t="str">
        <f aca="false">IF($BM93="","",$X93)</f>
        <v/>
      </c>
      <c r="BO93" s="9" t="str">
        <f aca="false">IF(AND($D93="Drift",$BX93&lt;&gt;1),IF($O93="","",$O93),"")</f>
        <v/>
      </c>
      <c r="BP93" s="9" t="str">
        <f aca="false">IF(AND($D93="Drift",$BX93&lt;&gt;1),IF($W93="","",$W93),"")</f>
        <v/>
      </c>
      <c r="BQ93" s="9" t="str">
        <f aca="false">IF(AND($D93="Drift",$BX93&lt;&gt;1),IF($X93="","",$X93),"")</f>
        <v/>
      </c>
      <c r="BR93" s="9" t="str">
        <f aca="false">IF(AND($D93="Drift",$BX93&lt;&gt;1),IF($Z93="","",$Z93),"")</f>
        <v/>
      </c>
      <c r="BS93" s="9" t="str">
        <f aca="false">IF(OR($B93="",$H93=""),"",SUMPRODUCT(MIN((Raw!$A$2:$A$1001=$A93)*(Raw!$R$2:$R$1001="N")*(Raw!$I$2:$I$1001=0)*(Raw!$D$2:$D$1001&lt;$H93)*Raw!$D$2:$D$1001+(1-(Raw!$A$2:$A$1001=$A93)*(Raw!$R$2:$R$1001="N")*(Raw!$I$2:$I$1001=0)*(Raw!$D$2:$D$1001&lt;$H93))*9999)))</f>
        <v/>
      </c>
      <c r="BT93" s="16" t="str">
        <f aca="false">IF(OR($BS93="",$BS93=9999,$BS93=0),"",IFERROR(INDEX(Raw!$N$2:$N$1001,MATCH($A93&amp;"|N|"&amp;$BS93,Raw!$S$2:$S$1001,0)),""))</f>
        <v/>
      </c>
      <c r="BU93" s="9" t="str">
        <f aca="false">IF($B93="","",SUMPRODUCT(MIN((Raw!$A$2:$A$1001=$A93)*(Raw!$R$2:$R$1001="C")*(Raw!$I$2:$I$1001=1)*Raw!$D$2:$D$1001+(1-(Raw!$A$2:$A$1001=$A93)*(Raw!$R$2:$R$1001="C")*(Raw!$I$2:$I$1001=1))*9999)))</f>
        <v/>
      </c>
      <c r="BV93" s="9" t="str">
        <f aca="false">IF(OR($BU93="",$BU93=9999),"",SUMPRODUCT(MIN((Raw!$A$2:$A$1001=$A93)*(Raw!$R$2:$R$1001="C")*(Raw!$I$2:$I$1001=0)*(Raw!$D$2:$D$1001&gt;$BU93)*Raw!$D$2:$D$1001+(1-(Raw!$A$2:$A$1001=$A93)*(Raw!$R$2:$R$1001="C")*(Raw!$I$2:$I$1001=0)*(Raw!$D$2:$D$1001&gt;$BU93))*9999)))</f>
        <v/>
      </c>
      <c r="BW93" s="16" t="str">
        <f aca="false">IF(OR($BV93="",$BV93=9999,$BV93=0),"",IFERROR(INDEX(Raw!$O$2:$O$1001,MATCH($A93&amp;"|C|"&amp;$BV93,Raw!$S$2:$S$1001,0)),""))</f>
        <v/>
      </c>
      <c r="BX93" s="9" t="str">
        <f aca="false">IF($B93="","",IF(ISNUMBER(SEARCH(","&amp;$A93&amp;",",","&amp;SUBSTITUTE(Setup!$B$16," ","")&amp;",")),1,0))</f>
        <v/>
      </c>
      <c r="BY93" s="9" t="str">
        <f aca="false">IF($B93="","",IF(ISNUMBER(SEARCH(","&amp;$A93&amp;",",","&amp;SUBSTITUTE(Setup!$B$17," ","")&amp;",")),1,0))</f>
        <v/>
      </c>
      <c r="BZ93" s="22" t="str">
        <f aca="false">IF($AS93="","",IF(Fits!$B$38="Row",$AQ93,IF($AR93="","",$AR93)))</f>
        <v/>
      </c>
      <c r="CA93" s="22" t="str">
        <f aca="false">IF($AT93="","",IF(Fits!$B$50="Row",$AQ93,IF($AR93="","",$AR93)))</f>
        <v/>
      </c>
      <c r="CB93" s="20" t="str">
        <f aca="false">IF(OR($D93&lt;&gt;"Drift",$X93="",$A93&lt;IF(Setup!$B$14="",0,Setup!$B$14),Fits!$B$107&lt;3,Fits!$B$110="",Fits!$B$109=0,IF(Fits!$B$38="Row",$AQ93,$AR93)=""),"",IF($BX93=1,IF(OR(Fits!$B$111="",Fits!$B$111=0),"",($X93-(IF(Fits!$B$38="Row",Fits!$B$32,Fits!$B$35)*IF(Fits!$B$38="Row",$AQ93,$AR93)+Fits!$B$110))/(Fits!$B$111*SQRT(1+(1/Fits!$B$107+(IF(Fits!$B$38="Row",$AQ93,$AR93)-Fits!$B$108)^2/Fits!$B$109)))),IF(OR(Fits!$B$107&lt;4,(1/Fits!$B$107+(IF(Fits!$B$38="Row",$AQ93,$AR93)-Fits!$B$108)^2/Fits!$B$109)&gt;=1),"",IF((Fits!$B$116-($X93-(IF(Fits!$B$38="Row",Fits!$B$32,Fits!$B$35)*IF(Fits!$B$38="Row",$AQ93,$AR93)+Fits!$B$110))^2/(1-(1/Fits!$B$107+(IF(Fits!$B$38="Row",$AQ93,$AR93)-Fits!$B$108)^2/Fits!$B$109)))&lt;=0,"",($X93-(IF(Fits!$B$38="Row",Fits!$B$32,Fits!$B$35)*IF(Fits!$B$38="Row",$AQ93,$AR93)+Fits!$B$110))/(SQRT((Fits!$B$116-($X93-(IF(Fits!$B$38="Row",Fits!$B$32,Fits!$B$35)*IF(Fits!$B$38="Row",$AQ93,$AR93)+Fits!$B$110))^2/(1-(1/Fits!$B$107+(IF(Fits!$B$38="Row",$AQ93,$AR93)-Fits!$B$108)^2/Fits!$B$109)))/(Fits!$B$107-3))*SQRT(1-(1/Fits!$B$107+(IF(Fits!$B$38="Row",$AQ93,$AR93)-Fits!$B$108)^2/Fits!$B$109)))))))</f>
        <v/>
      </c>
      <c r="CC93" s="20" t="str">
        <f aca="false">IF(OR($D93&lt;&gt;"Drift",$AC93="",$A93&lt;IF(Setup!$B$14="",0,Setup!$B$14),Fits!$B$120&lt;3,Fits!$B$123="",Fits!$B$122=0,IF(Fits!$B$50="Row",$AQ93,$AR93)=""),"",IF($BY93=1,IF(OR(Fits!$B$124="",Fits!$B$124=0),"",($AC93-(IF(Fits!$B$50="Row",Fits!$B$44,Fits!$B$47)*IF(Fits!$B$50="Row",$AQ93,$AR93)+Fits!$B$123))/(Fits!$B$124*SQRT(1+(1/Fits!$B$120+(IF(Fits!$B$50="Row",$AQ93,$AR93)-Fits!$B$121)^2/Fits!$B$122)))),IF(OR(Fits!$B$120&lt;4,(1/Fits!$B$120+(IF(Fits!$B$50="Row",$AQ93,$AR93)-Fits!$B$121)^2/Fits!$B$122)&gt;=1),"",IF((Fits!$B$129-($AC93-(IF(Fits!$B$50="Row",Fits!$B$44,Fits!$B$47)*IF(Fits!$B$50="Row",$AQ93,$AR93)+Fits!$B$123))^2/(1-(1/Fits!$B$120+(IF(Fits!$B$50="Row",$AQ93,$AR93)-Fits!$B$121)^2/Fits!$B$122)))&lt;=0,"",($AC93-(IF(Fits!$B$50="Row",Fits!$B$44,Fits!$B$47)*IF(Fits!$B$50="Row",$AQ93,$AR93)+Fits!$B$123))/(SQRT((Fits!$B$129-($AC93-(IF(Fits!$B$50="Row",Fits!$B$44,Fits!$B$47)*IF(Fits!$B$50="Row",$AQ93,$AR93)+Fits!$B$123))^2/(1-(1/Fits!$B$120+(IF(Fits!$B$50="Row",$AQ93,$AR93)-Fits!$B$121)^2/Fits!$B$122)))/(Fits!$B$120-3))*SQRT(1-(1/Fits!$B$120+(IF(Fits!$B$50="Row",$AQ93,$AR93)-Fits!$B$121)^2/Fits!$B$122)))))))</f>
        <v/>
      </c>
      <c r="CD93" s="9" t="str">
        <f aca="false">IF($AU93="","",1)</f>
        <v/>
      </c>
      <c r="CE93" s="24" t="str">
        <f aca="false">IF($AU93="","",$AU93-Fits!$B$133)</f>
        <v/>
      </c>
      <c r="CF93" s="24" t="str">
        <f aca="false">IF($AU93="","",($AV93-(Fits!$B$56*$AU93+Fits!$B$57))-Fits!$B$56*($AU93-Fits!$B$133))</f>
        <v/>
      </c>
      <c r="CG93" s="25" t="str">
        <f aca="false">IF($AU93="","",$AU93^2)</f>
        <v/>
      </c>
      <c r="CH93" s="9" t="str">
        <f aca="false">IF($AW93="","",1)</f>
        <v/>
      </c>
      <c r="CI93" s="24" t="str">
        <f aca="false">IF($AW93="","",$AW93-Fits!$B$153)</f>
        <v/>
      </c>
      <c r="CJ93" s="24" t="str">
        <f aca="false">IF($AW93="","",($AX93-(Fits!$B$63*$AW93+Fits!$B$64))-Fits!$B$63*($AW93-Fits!$B$153))</f>
        <v/>
      </c>
      <c r="CK93" s="25" t="str">
        <f aca="false">IF($AW93="","",$AW93^2)</f>
        <v/>
      </c>
      <c r="CL93" s="26" t="str">
        <f aca="false">IF(OR($Z93="",Fits!$B$55&lt;3,Fits!$B$133="",Fits!$B$134="",Fits!$B$134=0,Fits!$B$136=""),"",SQRT((Fits!$B$136*Fits!$B$56)^2+SUMPRODUCT((Fits!$J$163:$J$175*(Fits!$B$163:$B$175/Fits!$B$55+Fits!$H$163:$H$175*($Z93-Fits!$B$133)/Fits!$B$134))^2)+SUMPRODUCT((Fits!$G$163:$G$175*(($Z93-Fits!$B$133)*Fits!$I$163:$I$175/Fits!$B$134-Fits!$B$163:$B$175*Fits!$B$56/Fits!$B$55))^2)))</f>
        <v/>
      </c>
      <c r="CM93" s="26" t="str">
        <f aca="false">IF($CL93="","",Setup!$B$32*$CL93)</f>
        <v/>
      </c>
      <c r="CN93" s="26" t="str">
        <f aca="false">IF(OR($AE93="",Fits!$B$62&lt;3,Fits!$B$153="",Fits!$B$154="",Fits!$B$154=0,Fits!$B$156=""),"",SQRT((Fits!$B$156*Fits!$B$63)^2+SUMPRODUCT((Fits!$J$183:$J$195*(Fits!$B$183:$B$195/Fits!$B$62+Fits!$H$183:$H$195*($AE93-Fits!$B$153)/Fits!$B$154))^2)+SUMPRODUCT((Fits!$G$183:$G$195*(($AE93-Fits!$B$153)*Fits!$I$183:$I$195/Fits!$B$154-Fits!$B$183:$B$195*Fits!$B$63/Fits!$B$62))^2)))</f>
        <v/>
      </c>
      <c r="CO93" s="26" t="str">
        <f aca="false">IF($CN93="","",Setup!$B$32*$CN93)</f>
        <v/>
      </c>
      <c r="CP93" s="9" t="n">
        <f aca="false">IF(OR(NOT(ISNUMBER($BJ93)),$EK93=1),$CP92,IF($BJ93&lt;=Setup!$B$26,$CP92+1,0))</f>
        <v>26</v>
      </c>
      <c r="CQ93" s="9" t="str">
        <f aca="false">IF($BT93="","",$A93)</f>
        <v/>
      </c>
      <c r="CR93" s="9" t="str">
        <f aca="false">IF($BW93="","",$A93)</f>
        <v/>
      </c>
      <c r="CS93" s="9" t="str">
        <f aca="false">IF($B93="","",IF(Setup!$A$37="",0,IF(ISNUMBER(SEARCH(Setup!$A$37,$B93)),37,0)))</f>
        <v/>
      </c>
      <c r="CT93" s="9" t="str">
        <f aca="false">IF($B93="","",IF(Setup!$A$38="",0,IF(ISNUMBER(SEARCH(Setup!$A$38,$B93)),38,0)))</f>
        <v/>
      </c>
      <c r="CU93" s="9" t="str">
        <f aca="false">IF($B93="","",IF(Setup!$A$39="",0,IF(ISNUMBER(SEARCH(Setup!$A$39,$B93)),39,0)))</f>
        <v/>
      </c>
      <c r="CV93" s="9" t="str">
        <f aca="false">IF($B93="","",IF(Setup!$A$40="",0,IF(ISNUMBER(SEARCH(Setup!$A$40,$B93)),40,0)))</f>
        <v/>
      </c>
      <c r="CW93" s="9" t="str">
        <f aca="false">IF($B93="","",IF(Setup!$A$41="",0,IF(ISNUMBER(SEARCH(Setup!$A$41,$B93)),41,0)))</f>
        <v/>
      </c>
      <c r="CX93" s="9" t="str">
        <f aca="false">IF($B93="","",IF(Setup!$A$42="",0,IF(ISNUMBER(SEARCH(Setup!$A$42,$B93)),42,0)))</f>
        <v/>
      </c>
      <c r="CY93" s="9" t="str">
        <f aca="false">IF($B93="","",IF(Setup!$A$43="",0,IF(ISNUMBER(SEARCH(Setup!$A$43,$B93)),43,0)))</f>
        <v/>
      </c>
      <c r="CZ93" s="9" t="str">
        <f aca="false">IF($B93="","",IF(Setup!$A$44="",0,IF(ISNUMBER(SEARCH(Setup!$A$44,$B93)),44,0)))</f>
        <v/>
      </c>
      <c r="DA93" s="9" t="str">
        <f aca="false">IF($B93="","",IF(Setup!$A$45="",0,IF(ISNUMBER(SEARCH(Setup!$A$45,$B93)),45,0)))</f>
        <v/>
      </c>
      <c r="DB93" s="9" t="str">
        <f aca="false">IF($B93="","",IF(Setup!$A$46="",0,IF(ISNUMBER(SEARCH(Setup!$A$46,$B93)),46,0)))</f>
        <v/>
      </c>
      <c r="DC93" s="9" t="str">
        <f aca="false">IF($B93="","",IF(Setup!$A$47="",0,IF(ISNUMBER(SEARCH(Setup!$A$47,$B93)),47,0)))</f>
        <v/>
      </c>
      <c r="DD93" s="9" t="str">
        <f aca="false">IF($B93="","",IF(Setup!$A$48="",0,IF(ISNUMBER(SEARCH(Setup!$A$48,$B93)),48,0)))</f>
        <v/>
      </c>
      <c r="DE93" s="9" t="str">
        <f aca="false">IF($B93="","",IF(Setup!$A$49="",0,IF(ISNUMBER(SEARCH(Setup!$A$49,$B93)),49,0)))</f>
        <v/>
      </c>
      <c r="DF93" s="9" t="e">
        <f aca="false">IF($B93="",NA(),$A93)</f>
        <v>#N/A</v>
      </c>
      <c r="DG93" s="9" t="e">
        <f aca="false">IF($BI93="",NA(),$BI93)</f>
        <v>#N/A</v>
      </c>
      <c r="DH93" s="9" t="e">
        <f aca="false">IF($N93="",NA(),$N93)</f>
        <v>#N/A</v>
      </c>
      <c r="DI93" s="9" t="e">
        <f aca="false">IF(AND($D93="Drift",$N93&lt;&gt;""),$N93,NA())</f>
        <v>#N/A</v>
      </c>
      <c r="DJ93" s="9" t="str">
        <f aca="false">IF(AND($D93="Drift",$N93&lt;&gt;""),$N93,"")</f>
        <v/>
      </c>
      <c r="DK93" s="9" t="str">
        <f aca="false">IF($DJ93="","",$A93)</f>
        <v/>
      </c>
      <c r="DL93" s="9" t="e">
        <f aca="false">IF($AN93="",NA(),$AM93)</f>
        <v>#N/A</v>
      </c>
      <c r="DM93" s="9" t="e">
        <f aca="false">IF($AN93="",NA(),$AN93)</f>
        <v>#N/A</v>
      </c>
      <c r="DN93" s="9" t="e">
        <f aca="false">IF(AND($D93="Sample",$L93&lt;&gt;""),$L93,NA())</f>
        <v>#N/A</v>
      </c>
      <c r="DO93" s="9" t="e">
        <f aca="false">IF(AND($D93="Sample",$L93&lt;&gt;"",Fits!$B$98&lt;&gt;""),Fits!$B$98,NA())</f>
        <v>#N/A</v>
      </c>
      <c r="DP93" s="9" t="e">
        <f aca="false">IF($AS93="",NA(),$AS93)</f>
        <v>#N/A</v>
      </c>
      <c r="DQ93" s="9" t="e">
        <f aca="false">IF(AND($D93="Drift",$AS93="",$X93&lt;&gt;""),$X93,NA())</f>
        <v>#N/A</v>
      </c>
      <c r="DR93" s="9" t="e">
        <f aca="false">IF(AND($D93="Drift",$Z93&lt;&gt;""),$Z93,NA())</f>
        <v>#N/A</v>
      </c>
      <c r="DS93" s="9" t="e">
        <f aca="false">IF(AND(OR($D93="Sample",$D93="Check"),$AA93&lt;&gt;""),$AA93,NA())</f>
        <v>#N/A</v>
      </c>
      <c r="DT93" s="9" t="e">
        <f aca="false">IF(OR($B93="",Fits!$B$138=""),NA(),Fits!$B$138)</f>
        <v>#N/A</v>
      </c>
      <c r="DU93" s="9" t="e">
        <f aca="false">IF(OR($B93="",Fits!$B$139=""),NA(),Fits!$B$139)</f>
        <v>#N/A</v>
      </c>
      <c r="DV93" s="9" t="e">
        <f aca="false">IF($BT93="",NA(),$BT93)</f>
        <v>#N/A</v>
      </c>
      <c r="DW93" s="9" t="e">
        <f aca="false">IF($AP93="",NA(),$AO93)</f>
        <v>#N/A</v>
      </c>
      <c r="DX93" s="9" t="e">
        <f aca="false">IF($AP93="",NA(),$AP93)</f>
        <v>#N/A</v>
      </c>
      <c r="DY93" s="9" t="e">
        <f aca="false">IF(AND($D93="Sample",$P93&lt;&gt;""),$P93,NA())</f>
        <v>#N/A</v>
      </c>
      <c r="DZ93" s="9" t="e">
        <f aca="false">IF(AND($D93="Sample",$P93&lt;&gt;"",Fits!$B$105&lt;&gt;""),Fits!$B$105,NA())</f>
        <v>#N/A</v>
      </c>
      <c r="EA93" s="9" t="e">
        <f aca="false">IF($AT93="",NA(),$AT93)</f>
        <v>#N/A</v>
      </c>
      <c r="EB93" s="9" t="e">
        <f aca="false">IF(AND($D93="Drift",$AT93="",$AC93&lt;&gt;""),$AC93,NA())</f>
        <v>#N/A</v>
      </c>
      <c r="EC93" s="9" t="e">
        <f aca="false">IF(AND($D93="Drift",$AE93&lt;&gt;""),$AE93,NA())</f>
        <v>#N/A</v>
      </c>
      <c r="ED93" s="9" t="e">
        <f aca="false">IF(AND(OR($D93="Sample",$D93="Check"),$AF93&lt;&gt;""),$AF93,NA())</f>
        <v>#N/A</v>
      </c>
      <c r="EE93" s="9" t="e">
        <f aca="false">IF(OR($B93="",Fits!$B$158=""),NA(),Fits!$B$158)</f>
        <v>#N/A</v>
      </c>
      <c r="EF93" s="9" t="e">
        <f aca="false">IF(OR($B93="",Fits!$B$159=""),NA(),Fits!$B$159)</f>
        <v>#N/A</v>
      </c>
      <c r="EG93" s="9" t="e">
        <f aca="false">IF($BW93="",NA(),$BW93)</f>
        <v>#N/A</v>
      </c>
      <c r="EH93" s="9" t="e">
        <f aca="false">IF(AND($EN93=1,ISNUMBER($N93)),$N93,NA())</f>
        <v>#N/A</v>
      </c>
      <c r="EI93" s="9" t="str">
        <f aca="false">IF($B93="","",$A93)</f>
        <v/>
      </c>
      <c r="EJ93" s="9" t="n">
        <f aca="false">IF(OR(AND(ISNUMBER($L93),Fits!$B$97&gt;0,$L93&gt;Fits!$B$97),AND(ISNUMBER($P93),Fits!$B$104&gt;0,$P93&gt;Fits!$B$104)),1,0)</f>
        <v>0</v>
      </c>
      <c r="EK93" s="9" t="n">
        <f aca="false">IF(OR($EJ92=1,$EJ91=1),1,0)</f>
        <v>0</v>
      </c>
      <c r="EL93" s="22" t="n">
        <f aca="false">IF(AND($EK93=0,ISNUMBER($N93)),$N93,$EL92)</f>
        <v>25.7</v>
      </c>
      <c r="EM93" s="9" t="str">
        <f aca="false">IF(AND($EK93=1,ISNUMBER($N93),ISNUMBER($EL93)),$N93-$EL93,"")</f>
        <v/>
      </c>
      <c r="EN93" s="9" t="n">
        <f aca="false">IF(Setup!$B$28="",0,IF(ISNUMBER($EM93),IF($EM93&gt;Setup!$B$28,1,0),0))</f>
        <v>0</v>
      </c>
      <c r="EO93" s="9" t="str">
        <f aca="false">IF($EN93=1,COUNTIF($EN$6:$EN93,1),"")</f>
        <v/>
      </c>
      <c r="EP93" s="9" t="n">
        <f aca="false">IF(AND($EJ92=1,OR($D93="Sample",$D93="Check")),1,0)</f>
        <v>0</v>
      </c>
      <c r="EQ93" s="9" t="str">
        <f aca="false">IF(ISNUMBER($BI93),IF(COUNT($BI$6:$BI93)&lt;=5,$BI93,""),"")</f>
        <v/>
      </c>
      <c r="ER93" s="9" t="n">
        <f aca="false">IF(OR(NOT(ISNUMBER($BJ93)),$EK93=1),$ER92,IF($BJ93&lt;=Setup!$B$26,IF($CP92=0,$A93,$ER92),""))</f>
        <v>27</v>
      </c>
    </row>
    <row r="94" customFormat="false" ht="15" hidden="false" customHeight="false" outlineLevel="0" collapsed="false">
      <c r="A94" s="8" t="n">
        <v>89</v>
      </c>
      <c r="B94" s="8" t="str">
        <f aca="false">IFERROR(INDEX(Raw!$B$2:$B$1001,MATCH($A94,Raw!$A$2:$A$1001,0)),"")</f>
        <v/>
      </c>
      <c r="C94" s="9" t="str">
        <f aca="false">IF($B94="","",MAX($CS94:$DE94))</f>
        <v/>
      </c>
      <c r="D94" s="8" t="str">
        <f aca="false">IF($B94="","",IF($C94=0,"Sample",INDEX(Setup!$B$37:$B$49,$C94-36)))</f>
        <v/>
      </c>
      <c r="E94" s="16" t="str">
        <f aca="false">IF($B94="","",IFERROR(IF(INDEX(Raw!$E$2:$E$1001,MATCH($A94,Raw!$A$2:$A$1001,0))=0,"",INDEX(Raw!$E$2:$E$1001,MATCH($A94,Raw!$A$2:$A$1001,0))),""))</f>
        <v/>
      </c>
      <c r="F94" s="18"/>
      <c r="G94" s="16" t="str">
        <f aca="false">IF($B94="","",IF($F94&lt;&gt;"",$F94,IF($E94="","",$E94)))</f>
        <v/>
      </c>
      <c r="H94" s="9" t="str">
        <f aca="false">IF($B94="","",SUMPRODUCT(MAX((Raw!$A$2:$A$1001=$A94)*(Raw!$R$2:$R$1001="N")*Raw!$D$2:$D$1001)))</f>
        <v/>
      </c>
      <c r="I94" s="9" t="str">
        <f aca="false">IF(OR($H94="",$H94=0),"",$A94&amp;"|N|"&amp;$H94)</f>
        <v/>
      </c>
      <c r="J94" s="9" t="str">
        <f aca="false">IF($B94="","",SUMPRODUCT(MIN((Raw!$A$2:$A$1001=$A94)*(Raw!$R$2:$R$1001="C")*Raw!$D$2:$D$1001+(1-(Raw!$A$2:$A$1001=$A94)*(Raw!$R$2:$R$1001="C"))*9999)))</f>
        <v/>
      </c>
      <c r="K94" s="9" t="str">
        <f aca="false">IF(OR($J94="",$J94=0,$J94=9999),"",$A94&amp;"|C|"&amp;$J94)</f>
        <v/>
      </c>
      <c r="L94" s="16" t="str">
        <f aca="false">IF($I94="","",IF(INDEX(Raw!$I$2:$I$1001,MATCH($I94,Raw!$S$2:$S$1001,0))&lt;&gt;0,"",INDEX(Raw!$H$2:$H$1001,MATCH($I94,Raw!$S$2:$S$1001,0))))</f>
        <v/>
      </c>
      <c r="M94" s="19" t="str">
        <f aca="false">IF($I94="","",IF(INDEX(Raw!$I$2:$I$1001,MATCH($I94,Raw!$S$2:$S$1001,0))&lt;&gt;0,"",INDEX(Raw!$F$2:$F$1001,MATCH($I94,Raw!$S$2:$S$1001,0))))</f>
        <v/>
      </c>
      <c r="N94" s="20" t="str">
        <f aca="false">IF($I94="","",IF(INDEX(Raw!$I$2:$I$1001,MATCH($I94,Raw!$S$2:$S$1001,0))&lt;&gt;0,"",INDEX(Raw!$G$2:$G$1001,MATCH($I94,Raw!$S$2:$S$1001,0))))</f>
        <v/>
      </c>
      <c r="O94" s="16" t="str">
        <f aca="false">IF($I94="","",IF(INDEX(Raw!$I$2:$I$1001,MATCH($I94,Raw!$S$2:$S$1001,0))&lt;&gt;0,"",INDEX(Raw!$N$2:$N$1001,MATCH($I94,Raw!$S$2:$S$1001,0))))</f>
        <v/>
      </c>
      <c r="P94" s="16" t="str">
        <f aca="false">IF($K94="","",IF(INDEX(Raw!$I$2:$I$1001,MATCH($K94,Raw!$S$2:$S$1001,0))&lt;&gt;0,"",INDEX(Raw!$K$2:$K$1001,MATCH($K94,Raw!$S$2:$S$1001,0))))</f>
        <v/>
      </c>
      <c r="Q94" s="19" t="str">
        <f aca="false">IF($K94="","",IF(INDEX(Raw!$I$2:$I$1001,MATCH($K94,Raw!$S$2:$S$1001,0))&lt;&gt;0,"",INDEX(Raw!$J$2:$J$1001,MATCH($K94,Raw!$S$2:$S$1001,0))))</f>
        <v/>
      </c>
      <c r="R94" s="16" t="str">
        <f aca="false">IF($K94="","",IF(INDEX(Raw!$I$2:$I$1001,MATCH($K94,Raw!$S$2:$S$1001,0))&lt;&gt;0,"",INDEX(Raw!$O$2:$O$1001,MATCH($K94,Raw!$S$2:$S$1001,0))))</f>
        <v/>
      </c>
      <c r="S94" s="21" t="str">
        <f aca="false">IF($B94="","",IF($C94=0,"",IF(INDEX(Setup!$D$37:$D$49,$C94-36)="","",INDEX(Setup!$D$37:$D$49,$C94-36))))</f>
        <v/>
      </c>
      <c r="T94" s="21" t="str">
        <f aca="false">IF($B94="","",IF($C94=0,"",IF(INDEX(Setup!$C$37:$C$49,$C94-36)="","",INDEX(Setup!$C$37:$C$49,$C94-36))))</f>
        <v/>
      </c>
      <c r="U94" s="21" t="str">
        <f aca="false">IF($B94="","",IF($C94=0,"",IF(INDEX(Setup!$F$37:$F$49,$C94-36)="","",INDEX(Setup!$F$37:$F$49,$C94-36))))</f>
        <v/>
      </c>
      <c r="V94" s="21" t="str">
        <f aca="false">IF($B94="","",IF($C94=0,"",IF(INDEX(Setup!$E$37:$E$49,$C94-36)="","",INDEX(Setup!$E$37:$E$49,$C94-36))))</f>
        <v/>
      </c>
      <c r="W94" s="16" t="str">
        <f aca="false">IF($O94="","",IF(OR(Fits!$C$5&lt;&gt;"Yes",$D94="Blank",$L94&lt;=Fits!$B$6),$O94,($L94*$O94-Fits!$B$6*Fits!$B$7)/($L94-Fits!$B$6)))</f>
        <v/>
      </c>
      <c r="X94" s="16" t="str">
        <f aca="false">IF($W94="","",$W94-Fits!$B$20*($L94-Fits!$B$16))</f>
        <v/>
      </c>
      <c r="Y94" s="22" t="str">
        <f aca="false">IF($W94="","",IF(OR(Fits!$B$38="Row",$BI94=""),$A94,$BI94))</f>
        <v/>
      </c>
      <c r="Z94" s="16" t="str">
        <f aca="false">IF($X94="","",$X94-Fits!$B$39*($Y94-Fits!$B$40))</f>
        <v/>
      </c>
      <c r="AA94" s="23" t="str">
        <f aca="false">IF(OR($Z94="",Fits!$B$55&lt;2),"",Fits!$B$56*$Z94+Fits!$B$57)</f>
        <v/>
      </c>
      <c r="AB94" s="16" t="str">
        <f aca="false">IF($R94="","",IF(OR(Fits!$C$9&lt;&gt;"Yes",$D94="Blank",$P94&lt;=Fits!$B$10),$R94,($P94*$R94-Fits!$B$10*Fits!$B$11)/($P94-Fits!$B$10)))</f>
        <v/>
      </c>
      <c r="AC94" s="16" t="str">
        <f aca="false">IF($AB94="","",$AB94-Fits!$B$28*($P94-Fits!$B$24))</f>
        <v/>
      </c>
      <c r="AD94" s="22" t="str">
        <f aca="false">IF($AB94="","",IF(OR(Fits!$B$50="Row",$BI94=""),$A94,$BI94))</f>
        <v/>
      </c>
      <c r="AE94" s="16" t="str">
        <f aca="false">IF($AC94="","",$AC94-Fits!$B$51*($AD94-Fits!$B$52))</f>
        <v/>
      </c>
      <c r="AF94" s="23" t="str">
        <f aca="false">IF(OR($AE94="",Fits!$B$62&lt;2),"",Fits!$B$63*$AE94+Fits!$B$64)</f>
        <v/>
      </c>
      <c r="AG94" s="21" t="str">
        <f aca="false">IF(OR($L94="",Fits!$B$69&lt;3),"",($L94-Fits!$B$71)/Fits!$B$70)</f>
        <v/>
      </c>
      <c r="AH94" s="21" t="str">
        <f aca="false">IF(OR($P94="",Fits!$B$75&lt;3),"",($P94-Fits!$B$77)/Fits!$B$76)</f>
        <v/>
      </c>
      <c r="AI94" s="23" t="str">
        <f aca="false">IF(OR($AG94="",$G94="",$G94=0),"",$AG94/($G94*1000)*100)</f>
        <v/>
      </c>
      <c r="AJ94" s="23" t="str">
        <f aca="false">IF(OR($AH94="",$G94="",$G94=0),"",$AH94/($G94*1000)*100)</f>
        <v/>
      </c>
      <c r="AK94" s="23" t="str">
        <f aca="false">IF(OR($AG94="",$AH94="",$AG94&lt;=0),"",($AH94/Setup!$B$52)/($AG94/Setup!$B$53))</f>
        <v/>
      </c>
      <c r="AL94" s="23" t="str">
        <f aca="false">IF(OR($AG94="",$AH94="",$AG94&lt;=0),"",$AH94/$AG94)</f>
        <v/>
      </c>
      <c r="AM94" s="9" t="str">
        <f aca="false">IF($D94="Linearity",IF($L94="","",$L94),"")</f>
        <v/>
      </c>
      <c r="AN94" s="9" t="str">
        <f aca="false">IF($D94="Linearity",IF($W94="","",$W94),"")</f>
        <v/>
      </c>
      <c r="AO94" s="9" t="str">
        <f aca="false">IF($D94="Linearity",IF($P94="","",$P94),"")</f>
        <v/>
      </c>
      <c r="AP94" s="9" t="str">
        <f aca="false">IF($D94="Linearity",IF($AB94="","",$AB94),"")</f>
        <v/>
      </c>
      <c r="AQ94" s="9" t="str">
        <f aca="false">IF($D94="Drift",IF($A94&lt;IF(Setup!$B$14="",0,Setup!$B$14),"",$A94),"")</f>
        <v/>
      </c>
      <c r="AR94" s="9" t="str">
        <f aca="false">IF($D94="Drift",IF($A94&lt;IF(Setup!$B$14="",0,Setup!$B$14),"",IF($BI94="","",$BI94)),"")</f>
        <v/>
      </c>
      <c r="AS94" s="9" t="str">
        <f aca="false">IF($D94="Drift",IF($A94&lt;IF(Setup!$B$14="",0,Setup!$B$14),"",IF(OR($X94="",$BX94=1),"",$X94)),"")</f>
        <v/>
      </c>
      <c r="AT94" s="9" t="str">
        <f aca="false">IF($D94="Drift",IF($A94&lt;IF(Setup!$B$14="",0,Setup!$B$14),"",IF(OR($AC94="",$BY94=1),"",$AC94)),"")</f>
        <v/>
      </c>
      <c r="AU94" s="9" t="str">
        <f aca="false">IF($D94="Anchor",IF(OR($Z94="",$S94=""),"",$Z94),"")</f>
        <v/>
      </c>
      <c r="AV94" s="9" t="str">
        <f aca="false">IF($D94="Anchor",IF(OR($Z94="",$S94=""),"",$S94),"")</f>
        <v/>
      </c>
      <c r="AW94" s="9" t="str">
        <f aca="false">IF($D94="Anchor",IF(OR($AE94="",$T94=""),"",$AE94),"")</f>
        <v/>
      </c>
      <c r="AX94" s="9" t="str">
        <f aca="false">IF($D94="Anchor",IF(OR($AE94="",$T94=""),"",$T94),"")</f>
        <v/>
      </c>
      <c r="AY94" s="9" t="str">
        <f aca="false">IF(OR($D94="Blank",$D94="Exclude",$D94="Sample",$D94="",$G94="",$U94="",$L94=""),"",$G94*1000*$U94/100)</f>
        <v/>
      </c>
      <c r="AZ94" s="9" t="str">
        <f aca="false">IF($AY94="","",$L94)</f>
        <v/>
      </c>
      <c r="BA94" s="9" t="str">
        <f aca="false">IF(OR($D94="Blank",$D94="Exclude",$D94="Sample",$D94="",$G94="",$V94="",$P94=""),"",$G94*1000*$V94/100)</f>
        <v/>
      </c>
      <c r="BB94" s="9" t="str">
        <f aca="false">IF($BA94="","",$P94)</f>
        <v/>
      </c>
      <c r="BC94" s="9" t="str">
        <f aca="false">IF(AND($D94="Blank",$L94&lt;&gt;""),$O94,"")</f>
        <v/>
      </c>
      <c r="BD94" s="9" t="str">
        <f aca="false">IF($BC94="","",$L94)</f>
        <v/>
      </c>
      <c r="BE94" s="9" t="str">
        <f aca="false">IF(AND($D94="Blank",$P94&lt;&gt;""),$R94,"")</f>
        <v/>
      </c>
      <c r="BF94" s="9" t="str">
        <f aca="false">IF($BE94="","",$P94)</f>
        <v/>
      </c>
      <c r="BG94" s="9" t="str">
        <f aca="false">IF(AND($D94="Drift",$BX94&lt;&gt;1),IF($AA94="","",$AA94),"")</f>
        <v/>
      </c>
      <c r="BH94" s="9" t="str">
        <f aca="false">IF(AND($D94="Drift",$BY94&lt;&gt;1),IF($AF94="","",$AF94),"")</f>
        <v/>
      </c>
      <c r="BI94" s="20" t="str">
        <f aca="false">IF($B94="","",IFERROR(INDEX(Raw!$G$2:$G$1001,MATCH($A94&amp;"|N|"&amp;SUMPRODUCT(MAX((Raw!$A$2:$A$1001=$A94)*(Raw!$R$2:$R$1001="N")*(Raw!$I$2:$I$1001=1)*Raw!$D$2:$D$1001)),Raw!$S$2:$S$1001,0)),""))</f>
        <v/>
      </c>
      <c r="BJ94" s="21" t="str">
        <f aca="false">IF(OR($BI94="",Fits!$B$85&lt;=0),"",($BI94-Fits!$B$83)/Fits!$B$85)</f>
        <v/>
      </c>
      <c r="BK94" s="9" t="str">
        <f aca="false">IF($AS94="","",IF($A94&gt;=Fits!$B$86,"",$A94))</f>
        <v/>
      </c>
      <c r="BL94" s="9" t="str">
        <f aca="false">IF($BK94="","",$X94)</f>
        <v/>
      </c>
      <c r="BM94" s="9" t="str">
        <f aca="false">IF($AS94="","",IF($A94&lt;Fits!$B$86,"",$A94))</f>
        <v/>
      </c>
      <c r="BN94" s="9" t="str">
        <f aca="false">IF($BM94="","",$X94)</f>
        <v/>
      </c>
      <c r="BO94" s="9" t="str">
        <f aca="false">IF(AND($D94="Drift",$BX94&lt;&gt;1),IF($O94="","",$O94),"")</f>
        <v/>
      </c>
      <c r="BP94" s="9" t="str">
        <f aca="false">IF(AND($D94="Drift",$BX94&lt;&gt;1),IF($W94="","",$W94),"")</f>
        <v/>
      </c>
      <c r="BQ94" s="9" t="str">
        <f aca="false">IF(AND($D94="Drift",$BX94&lt;&gt;1),IF($X94="","",$X94),"")</f>
        <v/>
      </c>
      <c r="BR94" s="9" t="str">
        <f aca="false">IF(AND($D94="Drift",$BX94&lt;&gt;1),IF($Z94="","",$Z94),"")</f>
        <v/>
      </c>
      <c r="BS94" s="9" t="str">
        <f aca="false">IF(OR($B94="",$H94=""),"",SUMPRODUCT(MIN((Raw!$A$2:$A$1001=$A94)*(Raw!$R$2:$R$1001="N")*(Raw!$I$2:$I$1001=0)*(Raw!$D$2:$D$1001&lt;$H94)*Raw!$D$2:$D$1001+(1-(Raw!$A$2:$A$1001=$A94)*(Raw!$R$2:$R$1001="N")*(Raw!$I$2:$I$1001=0)*(Raw!$D$2:$D$1001&lt;$H94))*9999)))</f>
        <v/>
      </c>
      <c r="BT94" s="16" t="str">
        <f aca="false">IF(OR($BS94="",$BS94=9999,$BS94=0),"",IFERROR(INDEX(Raw!$N$2:$N$1001,MATCH($A94&amp;"|N|"&amp;$BS94,Raw!$S$2:$S$1001,0)),""))</f>
        <v/>
      </c>
      <c r="BU94" s="9" t="str">
        <f aca="false">IF($B94="","",SUMPRODUCT(MIN((Raw!$A$2:$A$1001=$A94)*(Raw!$R$2:$R$1001="C")*(Raw!$I$2:$I$1001=1)*Raw!$D$2:$D$1001+(1-(Raw!$A$2:$A$1001=$A94)*(Raw!$R$2:$R$1001="C")*(Raw!$I$2:$I$1001=1))*9999)))</f>
        <v/>
      </c>
      <c r="BV94" s="9" t="str">
        <f aca="false">IF(OR($BU94="",$BU94=9999),"",SUMPRODUCT(MIN((Raw!$A$2:$A$1001=$A94)*(Raw!$R$2:$R$1001="C")*(Raw!$I$2:$I$1001=0)*(Raw!$D$2:$D$1001&gt;$BU94)*Raw!$D$2:$D$1001+(1-(Raw!$A$2:$A$1001=$A94)*(Raw!$R$2:$R$1001="C")*(Raw!$I$2:$I$1001=0)*(Raw!$D$2:$D$1001&gt;$BU94))*9999)))</f>
        <v/>
      </c>
      <c r="BW94" s="16" t="str">
        <f aca="false">IF(OR($BV94="",$BV94=9999,$BV94=0),"",IFERROR(INDEX(Raw!$O$2:$O$1001,MATCH($A94&amp;"|C|"&amp;$BV94,Raw!$S$2:$S$1001,0)),""))</f>
        <v/>
      </c>
      <c r="BX94" s="9" t="str">
        <f aca="false">IF($B94="","",IF(ISNUMBER(SEARCH(","&amp;$A94&amp;",",","&amp;SUBSTITUTE(Setup!$B$16," ","")&amp;",")),1,0))</f>
        <v/>
      </c>
      <c r="BY94" s="9" t="str">
        <f aca="false">IF($B94="","",IF(ISNUMBER(SEARCH(","&amp;$A94&amp;",",","&amp;SUBSTITUTE(Setup!$B$17," ","")&amp;",")),1,0))</f>
        <v/>
      </c>
      <c r="BZ94" s="22" t="str">
        <f aca="false">IF($AS94="","",IF(Fits!$B$38="Row",$AQ94,IF($AR94="","",$AR94)))</f>
        <v/>
      </c>
      <c r="CA94" s="22" t="str">
        <f aca="false">IF($AT94="","",IF(Fits!$B$50="Row",$AQ94,IF($AR94="","",$AR94)))</f>
        <v/>
      </c>
      <c r="CB94" s="20" t="str">
        <f aca="false">IF(OR($D94&lt;&gt;"Drift",$X94="",$A94&lt;IF(Setup!$B$14="",0,Setup!$B$14),Fits!$B$107&lt;3,Fits!$B$110="",Fits!$B$109=0,IF(Fits!$B$38="Row",$AQ94,$AR94)=""),"",IF($BX94=1,IF(OR(Fits!$B$111="",Fits!$B$111=0),"",($X94-(IF(Fits!$B$38="Row",Fits!$B$32,Fits!$B$35)*IF(Fits!$B$38="Row",$AQ94,$AR94)+Fits!$B$110))/(Fits!$B$111*SQRT(1+(1/Fits!$B$107+(IF(Fits!$B$38="Row",$AQ94,$AR94)-Fits!$B$108)^2/Fits!$B$109)))),IF(OR(Fits!$B$107&lt;4,(1/Fits!$B$107+(IF(Fits!$B$38="Row",$AQ94,$AR94)-Fits!$B$108)^2/Fits!$B$109)&gt;=1),"",IF((Fits!$B$116-($X94-(IF(Fits!$B$38="Row",Fits!$B$32,Fits!$B$35)*IF(Fits!$B$38="Row",$AQ94,$AR94)+Fits!$B$110))^2/(1-(1/Fits!$B$107+(IF(Fits!$B$38="Row",$AQ94,$AR94)-Fits!$B$108)^2/Fits!$B$109)))&lt;=0,"",($X94-(IF(Fits!$B$38="Row",Fits!$B$32,Fits!$B$35)*IF(Fits!$B$38="Row",$AQ94,$AR94)+Fits!$B$110))/(SQRT((Fits!$B$116-($X94-(IF(Fits!$B$38="Row",Fits!$B$32,Fits!$B$35)*IF(Fits!$B$38="Row",$AQ94,$AR94)+Fits!$B$110))^2/(1-(1/Fits!$B$107+(IF(Fits!$B$38="Row",$AQ94,$AR94)-Fits!$B$108)^2/Fits!$B$109)))/(Fits!$B$107-3))*SQRT(1-(1/Fits!$B$107+(IF(Fits!$B$38="Row",$AQ94,$AR94)-Fits!$B$108)^2/Fits!$B$109)))))))</f>
        <v/>
      </c>
      <c r="CC94" s="20" t="str">
        <f aca="false">IF(OR($D94&lt;&gt;"Drift",$AC94="",$A94&lt;IF(Setup!$B$14="",0,Setup!$B$14),Fits!$B$120&lt;3,Fits!$B$123="",Fits!$B$122=0,IF(Fits!$B$50="Row",$AQ94,$AR94)=""),"",IF($BY94=1,IF(OR(Fits!$B$124="",Fits!$B$124=0),"",($AC94-(IF(Fits!$B$50="Row",Fits!$B$44,Fits!$B$47)*IF(Fits!$B$50="Row",$AQ94,$AR94)+Fits!$B$123))/(Fits!$B$124*SQRT(1+(1/Fits!$B$120+(IF(Fits!$B$50="Row",$AQ94,$AR94)-Fits!$B$121)^2/Fits!$B$122)))),IF(OR(Fits!$B$120&lt;4,(1/Fits!$B$120+(IF(Fits!$B$50="Row",$AQ94,$AR94)-Fits!$B$121)^2/Fits!$B$122)&gt;=1),"",IF((Fits!$B$129-($AC94-(IF(Fits!$B$50="Row",Fits!$B$44,Fits!$B$47)*IF(Fits!$B$50="Row",$AQ94,$AR94)+Fits!$B$123))^2/(1-(1/Fits!$B$120+(IF(Fits!$B$50="Row",$AQ94,$AR94)-Fits!$B$121)^2/Fits!$B$122)))&lt;=0,"",($AC94-(IF(Fits!$B$50="Row",Fits!$B$44,Fits!$B$47)*IF(Fits!$B$50="Row",$AQ94,$AR94)+Fits!$B$123))/(SQRT((Fits!$B$129-($AC94-(IF(Fits!$B$50="Row",Fits!$B$44,Fits!$B$47)*IF(Fits!$B$50="Row",$AQ94,$AR94)+Fits!$B$123))^2/(1-(1/Fits!$B$120+(IF(Fits!$B$50="Row",$AQ94,$AR94)-Fits!$B$121)^2/Fits!$B$122)))/(Fits!$B$120-3))*SQRT(1-(1/Fits!$B$120+(IF(Fits!$B$50="Row",$AQ94,$AR94)-Fits!$B$121)^2/Fits!$B$122)))))))</f>
        <v/>
      </c>
      <c r="CD94" s="9" t="str">
        <f aca="false">IF($AU94="","",1)</f>
        <v/>
      </c>
      <c r="CE94" s="24" t="str">
        <f aca="false">IF($AU94="","",$AU94-Fits!$B$133)</f>
        <v/>
      </c>
      <c r="CF94" s="24" t="str">
        <f aca="false">IF($AU94="","",($AV94-(Fits!$B$56*$AU94+Fits!$B$57))-Fits!$B$56*($AU94-Fits!$B$133))</f>
        <v/>
      </c>
      <c r="CG94" s="25" t="str">
        <f aca="false">IF($AU94="","",$AU94^2)</f>
        <v/>
      </c>
      <c r="CH94" s="9" t="str">
        <f aca="false">IF($AW94="","",1)</f>
        <v/>
      </c>
      <c r="CI94" s="24" t="str">
        <f aca="false">IF($AW94="","",$AW94-Fits!$B$153)</f>
        <v/>
      </c>
      <c r="CJ94" s="24" t="str">
        <f aca="false">IF($AW94="","",($AX94-(Fits!$B$63*$AW94+Fits!$B$64))-Fits!$B$63*($AW94-Fits!$B$153))</f>
        <v/>
      </c>
      <c r="CK94" s="25" t="str">
        <f aca="false">IF($AW94="","",$AW94^2)</f>
        <v/>
      </c>
      <c r="CL94" s="26" t="str">
        <f aca="false">IF(OR($Z94="",Fits!$B$55&lt;3,Fits!$B$133="",Fits!$B$134="",Fits!$B$134=0,Fits!$B$136=""),"",SQRT((Fits!$B$136*Fits!$B$56)^2+SUMPRODUCT((Fits!$J$163:$J$175*(Fits!$B$163:$B$175/Fits!$B$55+Fits!$H$163:$H$175*($Z94-Fits!$B$133)/Fits!$B$134))^2)+SUMPRODUCT((Fits!$G$163:$G$175*(($Z94-Fits!$B$133)*Fits!$I$163:$I$175/Fits!$B$134-Fits!$B$163:$B$175*Fits!$B$56/Fits!$B$55))^2)))</f>
        <v/>
      </c>
      <c r="CM94" s="26" t="str">
        <f aca="false">IF($CL94="","",Setup!$B$32*$CL94)</f>
        <v/>
      </c>
      <c r="CN94" s="26" t="str">
        <f aca="false">IF(OR($AE94="",Fits!$B$62&lt;3,Fits!$B$153="",Fits!$B$154="",Fits!$B$154=0,Fits!$B$156=""),"",SQRT((Fits!$B$156*Fits!$B$63)^2+SUMPRODUCT((Fits!$J$183:$J$195*(Fits!$B$183:$B$195/Fits!$B$62+Fits!$H$183:$H$195*($AE94-Fits!$B$153)/Fits!$B$154))^2)+SUMPRODUCT((Fits!$G$183:$G$195*(($AE94-Fits!$B$153)*Fits!$I$183:$I$195/Fits!$B$154-Fits!$B$183:$B$195*Fits!$B$63/Fits!$B$62))^2)))</f>
        <v/>
      </c>
      <c r="CO94" s="26" t="str">
        <f aca="false">IF($CN94="","",Setup!$B$32*$CN94)</f>
        <v/>
      </c>
      <c r="CP94" s="9" t="n">
        <f aca="false">IF(OR(NOT(ISNUMBER($BJ94)),$EK94=1),$CP93,IF($BJ94&lt;=Setup!$B$26,$CP93+1,0))</f>
        <v>26</v>
      </c>
      <c r="CQ94" s="9" t="str">
        <f aca="false">IF($BT94="","",$A94)</f>
        <v/>
      </c>
      <c r="CR94" s="9" t="str">
        <f aca="false">IF($BW94="","",$A94)</f>
        <v/>
      </c>
      <c r="CS94" s="9" t="str">
        <f aca="false">IF($B94="","",IF(Setup!$A$37="",0,IF(ISNUMBER(SEARCH(Setup!$A$37,$B94)),37,0)))</f>
        <v/>
      </c>
      <c r="CT94" s="9" t="str">
        <f aca="false">IF($B94="","",IF(Setup!$A$38="",0,IF(ISNUMBER(SEARCH(Setup!$A$38,$B94)),38,0)))</f>
        <v/>
      </c>
      <c r="CU94" s="9" t="str">
        <f aca="false">IF($B94="","",IF(Setup!$A$39="",0,IF(ISNUMBER(SEARCH(Setup!$A$39,$B94)),39,0)))</f>
        <v/>
      </c>
      <c r="CV94" s="9" t="str">
        <f aca="false">IF($B94="","",IF(Setup!$A$40="",0,IF(ISNUMBER(SEARCH(Setup!$A$40,$B94)),40,0)))</f>
        <v/>
      </c>
      <c r="CW94" s="9" t="str">
        <f aca="false">IF($B94="","",IF(Setup!$A$41="",0,IF(ISNUMBER(SEARCH(Setup!$A$41,$B94)),41,0)))</f>
        <v/>
      </c>
      <c r="CX94" s="9" t="str">
        <f aca="false">IF($B94="","",IF(Setup!$A$42="",0,IF(ISNUMBER(SEARCH(Setup!$A$42,$B94)),42,0)))</f>
        <v/>
      </c>
      <c r="CY94" s="9" t="str">
        <f aca="false">IF($B94="","",IF(Setup!$A$43="",0,IF(ISNUMBER(SEARCH(Setup!$A$43,$B94)),43,0)))</f>
        <v/>
      </c>
      <c r="CZ94" s="9" t="str">
        <f aca="false">IF($B94="","",IF(Setup!$A$44="",0,IF(ISNUMBER(SEARCH(Setup!$A$44,$B94)),44,0)))</f>
        <v/>
      </c>
      <c r="DA94" s="9" t="str">
        <f aca="false">IF($B94="","",IF(Setup!$A$45="",0,IF(ISNUMBER(SEARCH(Setup!$A$45,$B94)),45,0)))</f>
        <v/>
      </c>
      <c r="DB94" s="9" t="str">
        <f aca="false">IF($B94="","",IF(Setup!$A$46="",0,IF(ISNUMBER(SEARCH(Setup!$A$46,$B94)),46,0)))</f>
        <v/>
      </c>
      <c r="DC94" s="9" t="str">
        <f aca="false">IF($B94="","",IF(Setup!$A$47="",0,IF(ISNUMBER(SEARCH(Setup!$A$47,$B94)),47,0)))</f>
        <v/>
      </c>
      <c r="DD94" s="9" t="str">
        <f aca="false">IF($B94="","",IF(Setup!$A$48="",0,IF(ISNUMBER(SEARCH(Setup!$A$48,$B94)),48,0)))</f>
        <v/>
      </c>
      <c r="DE94" s="9" t="str">
        <f aca="false">IF($B94="","",IF(Setup!$A$49="",0,IF(ISNUMBER(SEARCH(Setup!$A$49,$B94)),49,0)))</f>
        <v/>
      </c>
      <c r="DF94" s="9" t="e">
        <f aca="false">IF($B94="",NA(),$A94)</f>
        <v>#N/A</v>
      </c>
      <c r="DG94" s="9" t="e">
        <f aca="false">IF($BI94="",NA(),$BI94)</f>
        <v>#N/A</v>
      </c>
      <c r="DH94" s="9" t="e">
        <f aca="false">IF($N94="",NA(),$N94)</f>
        <v>#N/A</v>
      </c>
      <c r="DI94" s="9" t="e">
        <f aca="false">IF(AND($D94="Drift",$N94&lt;&gt;""),$N94,NA())</f>
        <v>#N/A</v>
      </c>
      <c r="DJ94" s="9" t="str">
        <f aca="false">IF(AND($D94="Drift",$N94&lt;&gt;""),$N94,"")</f>
        <v/>
      </c>
      <c r="DK94" s="9" t="str">
        <f aca="false">IF($DJ94="","",$A94)</f>
        <v/>
      </c>
      <c r="DL94" s="9" t="e">
        <f aca="false">IF($AN94="",NA(),$AM94)</f>
        <v>#N/A</v>
      </c>
      <c r="DM94" s="9" t="e">
        <f aca="false">IF($AN94="",NA(),$AN94)</f>
        <v>#N/A</v>
      </c>
      <c r="DN94" s="9" t="e">
        <f aca="false">IF(AND($D94="Sample",$L94&lt;&gt;""),$L94,NA())</f>
        <v>#N/A</v>
      </c>
      <c r="DO94" s="9" t="e">
        <f aca="false">IF(AND($D94="Sample",$L94&lt;&gt;"",Fits!$B$98&lt;&gt;""),Fits!$B$98,NA())</f>
        <v>#N/A</v>
      </c>
      <c r="DP94" s="9" t="e">
        <f aca="false">IF($AS94="",NA(),$AS94)</f>
        <v>#N/A</v>
      </c>
      <c r="DQ94" s="9" t="e">
        <f aca="false">IF(AND($D94="Drift",$AS94="",$X94&lt;&gt;""),$X94,NA())</f>
        <v>#N/A</v>
      </c>
      <c r="DR94" s="9" t="e">
        <f aca="false">IF(AND($D94="Drift",$Z94&lt;&gt;""),$Z94,NA())</f>
        <v>#N/A</v>
      </c>
      <c r="DS94" s="9" t="e">
        <f aca="false">IF(AND(OR($D94="Sample",$D94="Check"),$AA94&lt;&gt;""),$AA94,NA())</f>
        <v>#N/A</v>
      </c>
      <c r="DT94" s="9" t="e">
        <f aca="false">IF(OR($B94="",Fits!$B$138=""),NA(),Fits!$B$138)</f>
        <v>#N/A</v>
      </c>
      <c r="DU94" s="9" t="e">
        <f aca="false">IF(OR($B94="",Fits!$B$139=""),NA(),Fits!$B$139)</f>
        <v>#N/A</v>
      </c>
      <c r="DV94" s="9" t="e">
        <f aca="false">IF($BT94="",NA(),$BT94)</f>
        <v>#N/A</v>
      </c>
      <c r="DW94" s="9" t="e">
        <f aca="false">IF($AP94="",NA(),$AO94)</f>
        <v>#N/A</v>
      </c>
      <c r="DX94" s="9" t="e">
        <f aca="false">IF($AP94="",NA(),$AP94)</f>
        <v>#N/A</v>
      </c>
      <c r="DY94" s="9" t="e">
        <f aca="false">IF(AND($D94="Sample",$P94&lt;&gt;""),$P94,NA())</f>
        <v>#N/A</v>
      </c>
      <c r="DZ94" s="9" t="e">
        <f aca="false">IF(AND($D94="Sample",$P94&lt;&gt;"",Fits!$B$105&lt;&gt;""),Fits!$B$105,NA())</f>
        <v>#N/A</v>
      </c>
      <c r="EA94" s="9" t="e">
        <f aca="false">IF($AT94="",NA(),$AT94)</f>
        <v>#N/A</v>
      </c>
      <c r="EB94" s="9" t="e">
        <f aca="false">IF(AND($D94="Drift",$AT94="",$AC94&lt;&gt;""),$AC94,NA())</f>
        <v>#N/A</v>
      </c>
      <c r="EC94" s="9" t="e">
        <f aca="false">IF(AND($D94="Drift",$AE94&lt;&gt;""),$AE94,NA())</f>
        <v>#N/A</v>
      </c>
      <c r="ED94" s="9" t="e">
        <f aca="false">IF(AND(OR($D94="Sample",$D94="Check"),$AF94&lt;&gt;""),$AF94,NA())</f>
        <v>#N/A</v>
      </c>
      <c r="EE94" s="9" t="e">
        <f aca="false">IF(OR($B94="",Fits!$B$158=""),NA(),Fits!$B$158)</f>
        <v>#N/A</v>
      </c>
      <c r="EF94" s="9" t="e">
        <f aca="false">IF(OR($B94="",Fits!$B$159=""),NA(),Fits!$B$159)</f>
        <v>#N/A</v>
      </c>
      <c r="EG94" s="9" t="e">
        <f aca="false">IF($BW94="",NA(),$BW94)</f>
        <v>#N/A</v>
      </c>
      <c r="EH94" s="9" t="e">
        <f aca="false">IF(AND($EN94=1,ISNUMBER($N94)),$N94,NA())</f>
        <v>#N/A</v>
      </c>
      <c r="EI94" s="9" t="str">
        <f aca="false">IF($B94="","",$A94)</f>
        <v/>
      </c>
      <c r="EJ94" s="9" t="n">
        <f aca="false">IF(OR(AND(ISNUMBER($L94),Fits!$B$97&gt;0,$L94&gt;Fits!$B$97),AND(ISNUMBER($P94),Fits!$B$104&gt;0,$P94&gt;Fits!$B$104)),1,0)</f>
        <v>0</v>
      </c>
      <c r="EK94" s="9" t="n">
        <f aca="false">IF(OR($EJ93=1,$EJ92=1),1,0)</f>
        <v>0</v>
      </c>
      <c r="EL94" s="22" t="n">
        <f aca="false">IF(AND($EK94=0,ISNUMBER($N94)),$N94,$EL93)</f>
        <v>25.7</v>
      </c>
      <c r="EM94" s="9" t="str">
        <f aca="false">IF(AND($EK94=1,ISNUMBER($N94),ISNUMBER($EL94)),$N94-$EL94,"")</f>
        <v/>
      </c>
      <c r="EN94" s="9" t="n">
        <f aca="false">IF(Setup!$B$28="",0,IF(ISNUMBER($EM94),IF($EM94&gt;Setup!$B$28,1,0),0))</f>
        <v>0</v>
      </c>
      <c r="EO94" s="9" t="str">
        <f aca="false">IF($EN94=1,COUNTIF($EN$6:$EN94,1),"")</f>
        <v/>
      </c>
      <c r="EP94" s="9" t="n">
        <f aca="false">IF(AND($EJ93=1,OR($D94="Sample",$D94="Check")),1,0)</f>
        <v>0</v>
      </c>
      <c r="EQ94" s="9" t="str">
        <f aca="false">IF(ISNUMBER($BI94),IF(COUNT($BI$6:$BI94)&lt;=5,$BI94,""),"")</f>
        <v/>
      </c>
      <c r="ER94" s="9" t="n">
        <f aca="false">IF(OR(NOT(ISNUMBER($BJ94)),$EK94=1),$ER93,IF($BJ94&lt;=Setup!$B$26,IF($CP93=0,$A94,$ER93),""))</f>
        <v>27</v>
      </c>
    </row>
    <row r="95" customFormat="false" ht="15" hidden="false" customHeight="false" outlineLevel="0" collapsed="false">
      <c r="A95" s="8" t="n">
        <v>90</v>
      </c>
      <c r="B95" s="8" t="str">
        <f aca="false">IFERROR(INDEX(Raw!$B$2:$B$1001,MATCH($A95,Raw!$A$2:$A$1001,0)),"")</f>
        <v/>
      </c>
      <c r="C95" s="9" t="str">
        <f aca="false">IF($B95="","",MAX($CS95:$DE95))</f>
        <v/>
      </c>
      <c r="D95" s="8" t="str">
        <f aca="false">IF($B95="","",IF($C95=0,"Sample",INDEX(Setup!$B$37:$B$49,$C95-36)))</f>
        <v/>
      </c>
      <c r="E95" s="16" t="str">
        <f aca="false">IF($B95="","",IFERROR(IF(INDEX(Raw!$E$2:$E$1001,MATCH($A95,Raw!$A$2:$A$1001,0))=0,"",INDEX(Raw!$E$2:$E$1001,MATCH($A95,Raw!$A$2:$A$1001,0))),""))</f>
        <v/>
      </c>
      <c r="F95" s="18"/>
      <c r="G95" s="16" t="str">
        <f aca="false">IF($B95="","",IF($F95&lt;&gt;"",$F95,IF($E95="","",$E95)))</f>
        <v/>
      </c>
      <c r="H95" s="9" t="str">
        <f aca="false">IF($B95="","",SUMPRODUCT(MAX((Raw!$A$2:$A$1001=$A95)*(Raw!$R$2:$R$1001="N")*Raw!$D$2:$D$1001)))</f>
        <v/>
      </c>
      <c r="I95" s="9" t="str">
        <f aca="false">IF(OR($H95="",$H95=0),"",$A95&amp;"|N|"&amp;$H95)</f>
        <v/>
      </c>
      <c r="J95" s="9" t="str">
        <f aca="false">IF($B95="","",SUMPRODUCT(MIN((Raw!$A$2:$A$1001=$A95)*(Raw!$R$2:$R$1001="C")*Raw!$D$2:$D$1001+(1-(Raw!$A$2:$A$1001=$A95)*(Raw!$R$2:$R$1001="C"))*9999)))</f>
        <v/>
      </c>
      <c r="K95" s="9" t="str">
        <f aca="false">IF(OR($J95="",$J95=0,$J95=9999),"",$A95&amp;"|C|"&amp;$J95)</f>
        <v/>
      </c>
      <c r="L95" s="16" t="str">
        <f aca="false">IF($I95="","",IF(INDEX(Raw!$I$2:$I$1001,MATCH($I95,Raw!$S$2:$S$1001,0))&lt;&gt;0,"",INDEX(Raw!$H$2:$H$1001,MATCH($I95,Raw!$S$2:$S$1001,0))))</f>
        <v/>
      </c>
      <c r="M95" s="19" t="str">
        <f aca="false">IF($I95="","",IF(INDEX(Raw!$I$2:$I$1001,MATCH($I95,Raw!$S$2:$S$1001,0))&lt;&gt;0,"",INDEX(Raw!$F$2:$F$1001,MATCH($I95,Raw!$S$2:$S$1001,0))))</f>
        <v/>
      </c>
      <c r="N95" s="20" t="str">
        <f aca="false">IF($I95="","",IF(INDEX(Raw!$I$2:$I$1001,MATCH($I95,Raw!$S$2:$S$1001,0))&lt;&gt;0,"",INDEX(Raw!$G$2:$G$1001,MATCH($I95,Raw!$S$2:$S$1001,0))))</f>
        <v/>
      </c>
      <c r="O95" s="16" t="str">
        <f aca="false">IF($I95="","",IF(INDEX(Raw!$I$2:$I$1001,MATCH($I95,Raw!$S$2:$S$1001,0))&lt;&gt;0,"",INDEX(Raw!$N$2:$N$1001,MATCH($I95,Raw!$S$2:$S$1001,0))))</f>
        <v/>
      </c>
      <c r="P95" s="16" t="str">
        <f aca="false">IF($K95="","",IF(INDEX(Raw!$I$2:$I$1001,MATCH($K95,Raw!$S$2:$S$1001,0))&lt;&gt;0,"",INDEX(Raw!$K$2:$K$1001,MATCH($K95,Raw!$S$2:$S$1001,0))))</f>
        <v/>
      </c>
      <c r="Q95" s="19" t="str">
        <f aca="false">IF($K95="","",IF(INDEX(Raw!$I$2:$I$1001,MATCH($K95,Raw!$S$2:$S$1001,0))&lt;&gt;0,"",INDEX(Raw!$J$2:$J$1001,MATCH($K95,Raw!$S$2:$S$1001,0))))</f>
        <v/>
      </c>
      <c r="R95" s="16" t="str">
        <f aca="false">IF($K95="","",IF(INDEX(Raw!$I$2:$I$1001,MATCH($K95,Raw!$S$2:$S$1001,0))&lt;&gt;0,"",INDEX(Raw!$O$2:$O$1001,MATCH($K95,Raw!$S$2:$S$1001,0))))</f>
        <v/>
      </c>
      <c r="S95" s="21" t="str">
        <f aca="false">IF($B95="","",IF($C95=0,"",IF(INDEX(Setup!$D$37:$D$49,$C95-36)="","",INDEX(Setup!$D$37:$D$49,$C95-36))))</f>
        <v/>
      </c>
      <c r="T95" s="21" t="str">
        <f aca="false">IF($B95="","",IF($C95=0,"",IF(INDEX(Setup!$C$37:$C$49,$C95-36)="","",INDEX(Setup!$C$37:$C$49,$C95-36))))</f>
        <v/>
      </c>
      <c r="U95" s="21" t="str">
        <f aca="false">IF($B95="","",IF($C95=0,"",IF(INDEX(Setup!$F$37:$F$49,$C95-36)="","",INDEX(Setup!$F$37:$F$49,$C95-36))))</f>
        <v/>
      </c>
      <c r="V95" s="21" t="str">
        <f aca="false">IF($B95="","",IF($C95=0,"",IF(INDEX(Setup!$E$37:$E$49,$C95-36)="","",INDEX(Setup!$E$37:$E$49,$C95-36))))</f>
        <v/>
      </c>
      <c r="W95" s="16" t="str">
        <f aca="false">IF($O95="","",IF(OR(Fits!$C$5&lt;&gt;"Yes",$D95="Blank",$L95&lt;=Fits!$B$6),$O95,($L95*$O95-Fits!$B$6*Fits!$B$7)/($L95-Fits!$B$6)))</f>
        <v/>
      </c>
      <c r="X95" s="16" t="str">
        <f aca="false">IF($W95="","",$W95-Fits!$B$20*($L95-Fits!$B$16))</f>
        <v/>
      </c>
      <c r="Y95" s="22" t="str">
        <f aca="false">IF($W95="","",IF(OR(Fits!$B$38="Row",$BI95=""),$A95,$BI95))</f>
        <v/>
      </c>
      <c r="Z95" s="16" t="str">
        <f aca="false">IF($X95="","",$X95-Fits!$B$39*($Y95-Fits!$B$40))</f>
        <v/>
      </c>
      <c r="AA95" s="23" t="str">
        <f aca="false">IF(OR($Z95="",Fits!$B$55&lt;2),"",Fits!$B$56*$Z95+Fits!$B$57)</f>
        <v/>
      </c>
      <c r="AB95" s="16" t="str">
        <f aca="false">IF($R95="","",IF(OR(Fits!$C$9&lt;&gt;"Yes",$D95="Blank",$P95&lt;=Fits!$B$10),$R95,($P95*$R95-Fits!$B$10*Fits!$B$11)/($P95-Fits!$B$10)))</f>
        <v/>
      </c>
      <c r="AC95" s="16" t="str">
        <f aca="false">IF($AB95="","",$AB95-Fits!$B$28*($P95-Fits!$B$24))</f>
        <v/>
      </c>
      <c r="AD95" s="22" t="str">
        <f aca="false">IF($AB95="","",IF(OR(Fits!$B$50="Row",$BI95=""),$A95,$BI95))</f>
        <v/>
      </c>
      <c r="AE95" s="16" t="str">
        <f aca="false">IF($AC95="","",$AC95-Fits!$B$51*($AD95-Fits!$B$52))</f>
        <v/>
      </c>
      <c r="AF95" s="23" t="str">
        <f aca="false">IF(OR($AE95="",Fits!$B$62&lt;2),"",Fits!$B$63*$AE95+Fits!$B$64)</f>
        <v/>
      </c>
      <c r="AG95" s="21" t="str">
        <f aca="false">IF(OR($L95="",Fits!$B$69&lt;3),"",($L95-Fits!$B$71)/Fits!$B$70)</f>
        <v/>
      </c>
      <c r="AH95" s="21" t="str">
        <f aca="false">IF(OR($P95="",Fits!$B$75&lt;3),"",($P95-Fits!$B$77)/Fits!$B$76)</f>
        <v/>
      </c>
      <c r="AI95" s="23" t="str">
        <f aca="false">IF(OR($AG95="",$G95="",$G95=0),"",$AG95/($G95*1000)*100)</f>
        <v/>
      </c>
      <c r="AJ95" s="23" t="str">
        <f aca="false">IF(OR($AH95="",$G95="",$G95=0),"",$AH95/($G95*1000)*100)</f>
        <v/>
      </c>
      <c r="AK95" s="23" t="str">
        <f aca="false">IF(OR($AG95="",$AH95="",$AG95&lt;=0),"",($AH95/Setup!$B$52)/($AG95/Setup!$B$53))</f>
        <v/>
      </c>
      <c r="AL95" s="23" t="str">
        <f aca="false">IF(OR($AG95="",$AH95="",$AG95&lt;=0),"",$AH95/$AG95)</f>
        <v/>
      </c>
      <c r="AM95" s="9" t="str">
        <f aca="false">IF($D95="Linearity",IF($L95="","",$L95),"")</f>
        <v/>
      </c>
      <c r="AN95" s="9" t="str">
        <f aca="false">IF($D95="Linearity",IF($W95="","",$W95),"")</f>
        <v/>
      </c>
      <c r="AO95" s="9" t="str">
        <f aca="false">IF($D95="Linearity",IF($P95="","",$P95),"")</f>
        <v/>
      </c>
      <c r="AP95" s="9" t="str">
        <f aca="false">IF($D95="Linearity",IF($AB95="","",$AB95),"")</f>
        <v/>
      </c>
      <c r="AQ95" s="9" t="str">
        <f aca="false">IF($D95="Drift",IF($A95&lt;IF(Setup!$B$14="",0,Setup!$B$14),"",$A95),"")</f>
        <v/>
      </c>
      <c r="AR95" s="9" t="str">
        <f aca="false">IF($D95="Drift",IF($A95&lt;IF(Setup!$B$14="",0,Setup!$B$14),"",IF($BI95="","",$BI95)),"")</f>
        <v/>
      </c>
      <c r="AS95" s="9" t="str">
        <f aca="false">IF($D95="Drift",IF($A95&lt;IF(Setup!$B$14="",0,Setup!$B$14),"",IF(OR($X95="",$BX95=1),"",$X95)),"")</f>
        <v/>
      </c>
      <c r="AT95" s="9" t="str">
        <f aca="false">IF($D95="Drift",IF($A95&lt;IF(Setup!$B$14="",0,Setup!$B$14),"",IF(OR($AC95="",$BY95=1),"",$AC95)),"")</f>
        <v/>
      </c>
      <c r="AU95" s="9" t="str">
        <f aca="false">IF($D95="Anchor",IF(OR($Z95="",$S95=""),"",$Z95),"")</f>
        <v/>
      </c>
      <c r="AV95" s="9" t="str">
        <f aca="false">IF($D95="Anchor",IF(OR($Z95="",$S95=""),"",$S95),"")</f>
        <v/>
      </c>
      <c r="AW95" s="9" t="str">
        <f aca="false">IF($D95="Anchor",IF(OR($AE95="",$T95=""),"",$AE95),"")</f>
        <v/>
      </c>
      <c r="AX95" s="9" t="str">
        <f aca="false">IF($D95="Anchor",IF(OR($AE95="",$T95=""),"",$T95),"")</f>
        <v/>
      </c>
      <c r="AY95" s="9" t="str">
        <f aca="false">IF(OR($D95="Blank",$D95="Exclude",$D95="Sample",$D95="",$G95="",$U95="",$L95=""),"",$G95*1000*$U95/100)</f>
        <v/>
      </c>
      <c r="AZ95" s="9" t="str">
        <f aca="false">IF($AY95="","",$L95)</f>
        <v/>
      </c>
      <c r="BA95" s="9" t="str">
        <f aca="false">IF(OR($D95="Blank",$D95="Exclude",$D95="Sample",$D95="",$G95="",$V95="",$P95=""),"",$G95*1000*$V95/100)</f>
        <v/>
      </c>
      <c r="BB95" s="9" t="str">
        <f aca="false">IF($BA95="","",$P95)</f>
        <v/>
      </c>
      <c r="BC95" s="9" t="str">
        <f aca="false">IF(AND($D95="Blank",$L95&lt;&gt;""),$O95,"")</f>
        <v/>
      </c>
      <c r="BD95" s="9" t="str">
        <f aca="false">IF($BC95="","",$L95)</f>
        <v/>
      </c>
      <c r="BE95" s="9" t="str">
        <f aca="false">IF(AND($D95="Blank",$P95&lt;&gt;""),$R95,"")</f>
        <v/>
      </c>
      <c r="BF95" s="9" t="str">
        <f aca="false">IF($BE95="","",$P95)</f>
        <v/>
      </c>
      <c r="BG95" s="9" t="str">
        <f aca="false">IF(AND($D95="Drift",$BX95&lt;&gt;1),IF($AA95="","",$AA95),"")</f>
        <v/>
      </c>
      <c r="BH95" s="9" t="str">
        <f aca="false">IF(AND($D95="Drift",$BY95&lt;&gt;1),IF($AF95="","",$AF95),"")</f>
        <v/>
      </c>
      <c r="BI95" s="20" t="str">
        <f aca="false">IF($B95="","",IFERROR(INDEX(Raw!$G$2:$G$1001,MATCH($A95&amp;"|N|"&amp;SUMPRODUCT(MAX((Raw!$A$2:$A$1001=$A95)*(Raw!$R$2:$R$1001="N")*(Raw!$I$2:$I$1001=1)*Raw!$D$2:$D$1001)),Raw!$S$2:$S$1001,0)),""))</f>
        <v/>
      </c>
      <c r="BJ95" s="21" t="str">
        <f aca="false">IF(OR($BI95="",Fits!$B$85&lt;=0),"",($BI95-Fits!$B$83)/Fits!$B$85)</f>
        <v/>
      </c>
      <c r="BK95" s="9" t="str">
        <f aca="false">IF($AS95="","",IF($A95&gt;=Fits!$B$86,"",$A95))</f>
        <v/>
      </c>
      <c r="BL95" s="9" t="str">
        <f aca="false">IF($BK95="","",$X95)</f>
        <v/>
      </c>
      <c r="BM95" s="9" t="str">
        <f aca="false">IF($AS95="","",IF($A95&lt;Fits!$B$86,"",$A95))</f>
        <v/>
      </c>
      <c r="BN95" s="9" t="str">
        <f aca="false">IF($BM95="","",$X95)</f>
        <v/>
      </c>
      <c r="BO95" s="9" t="str">
        <f aca="false">IF(AND($D95="Drift",$BX95&lt;&gt;1),IF($O95="","",$O95),"")</f>
        <v/>
      </c>
      <c r="BP95" s="9" t="str">
        <f aca="false">IF(AND($D95="Drift",$BX95&lt;&gt;1),IF($W95="","",$W95),"")</f>
        <v/>
      </c>
      <c r="BQ95" s="9" t="str">
        <f aca="false">IF(AND($D95="Drift",$BX95&lt;&gt;1),IF($X95="","",$X95),"")</f>
        <v/>
      </c>
      <c r="BR95" s="9" t="str">
        <f aca="false">IF(AND($D95="Drift",$BX95&lt;&gt;1),IF($Z95="","",$Z95),"")</f>
        <v/>
      </c>
      <c r="BS95" s="9" t="str">
        <f aca="false">IF(OR($B95="",$H95=""),"",SUMPRODUCT(MIN((Raw!$A$2:$A$1001=$A95)*(Raw!$R$2:$R$1001="N")*(Raw!$I$2:$I$1001=0)*(Raw!$D$2:$D$1001&lt;$H95)*Raw!$D$2:$D$1001+(1-(Raw!$A$2:$A$1001=$A95)*(Raw!$R$2:$R$1001="N")*(Raw!$I$2:$I$1001=0)*(Raw!$D$2:$D$1001&lt;$H95))*9999)))</f>
        <v/>
      </c>
      <c r="BT95" s="16" t="str">
        <f aca="false">IF(OR($BS95="",$BS95=9999,$BS95=0),"",IFERROR(INDEX(Raw!$N$2:$N$1001,MATCH($A95&amp;"|N|"&amp;$BS95,Raw!$S$2:$S$1001,0)),""))</f>
        <v/>
      </c>
      <c r="BU95" s="9" t="str">
        <f aca="false">IF($B95="","",SUMPRODUCT(MIN((Raw!$A$2:$A$1001=$A95)*(Raw!$R$2:$R$1001="C")*(Raw!$I$2:$I$1001=1)*Raw!$D$2:$D$1001+(1-(Raw!$A$2:$A$1001=$A95)*(Raw!$R$2:$R$1001="C")*(Raw!$I$2:$I$1001=1))*9999)))</f>
        <v/>
      </c>
      <c r="BV95" s="9" t="str">
        <f aca="false">IF(OR($BU95="",$BU95=9999),"",SUMPRODUCT(MIN((Raw!$A$2:$A$1001=$A95)*(Raw!$R$2:$R$1001="C")*(Raw!$I$2:$I$1001=0)*(Raw!$D$2:$D$1001&gt;$BU95)*Raw!$D$2:$D$1001+(1-(Raw!$A$2:$A$1001=$A95)*(Raw!$R$2:$R$1001="C")*(Raw!$I$2:$I$1001=0)*(Raw!$D$2:$D$1001&gt;$BU95))*9999)))</f>
        <v/>
      </c>
      <c r="BW95" s="16" t="str">
        <f aca="false">IF(OR($BV95="",$BV95=9999,$BV95=0),"",IFERROR(INDEX(Raw!$O$2:$O$1001,MATCH($A95&amp;"|C|"&amp;$BV95,Raw!$S$2:$S$1001,0)),""))</f>
        <v/>
      </c>
      <c r="BX95" s="9" t="str">
        <f aca="false">IF($B95="","",IF(ISNUMBER(SEARCH(","&amp;$A95&amp;",",","&amp;SUBSTITUTE(Setup!$B$16," ","")&amp;",")),1,0))</f>
        <v/>
      </c>
      <c r="BY95" s="9" t="str">
        <f aca="false">IF($B95="","",IF(ISNUMBER(SEARCH(","&amp;$A95&amp;",",","&amp;SUBSTITUTE(Setup!$B$17," ","")&amp;",")),1,0))</f>
        <v/>
      </c>
      <c r="BZ95" s="22" t="str">
        <f aca="false">IF($AS95="","",IF(Fits!$B$38="Row",$AQ95,IF($AR95="","",$AR95)))</f>
        <v/>
      </c>
      <c r="CA95" s="22" t="str">
        <f aca="false">IF($AT95="","",IF(Fits!$B$50="Row",$AQ95,IF($AR95="","",$AR95)))</f>
        <v/>
      </c>
      <c r="CB95" s="20" t="str">
        <f aca="false">IF(OR($D95&lt;&gt;"Drift",$X95="",$A95&lt;IF(Setup!$B$14="",0,Setup!$B$14),Fits!$B$107&lt;3,Fits!$B$110="",Fits!$B$109=0,IF(Fits!$B$38="Row",$AQ95,$AR95)=""),"",IF($BX95=1,IF(OR(Fits!$B$111="",Fits!$B$111=0),"",($X95-(IF(Fits!$B$38="Row",Fits!$B$32,Fits!$B$35)*IF(Fits!$B$38="Row",$AQ95,$AR95)+Fits!$B$110))/(Fits!$B$111*SQRT(1+(1/Fits!$B$107+(IF(Fits!$B$38="Row",$AQ95,$AR95)-Fits!$B$108)^2/Fits!$B$109)))),IF(OR(Fits!$B$107&lt;4,(1/Fits!$B$107+(IF(Fits!$B$38="Row",$AQ95,$AR95)-Fits!$B$108)^2/Fits!$B$109)&gt;=1),"",IF((Fits!$B$116-($X95-(IF(Fits!$B$38="Row",Fits!$B$32,Fits!$B$35)*IF(Fits!$B$38="Row",$AQ95,$AR95)+Fits!$B$110))^2/(1-(1/Fits!$B$107+(IF(Fits!$B$38="Row",$AQ95,$AR95)-Fits!$B$108)^2/Fits!$B$109)))&lt;=0,"",($X95-(IF(Fits!$B$38="Row",Fits!$B$32,Fits!$B$35)*IF(Fits!$B$38="Row",$AQ95,$AR95)+Fits!$B$110))/(SQRT((Fits!$B$116-($X95-(IF(Fits!$B$38="Row",Fits!$B$32,Fits!$B$35)*IF(Fits!$B$38="Row",$AQ95,$AR95)+Fits!$B$110))^2/(1-(1/Fits!$B$107+(IF(Fits!$B$38="Row",$AQ95,$AR95)-Fits!$B$108)^2/Fits!$B$109)))/(Fits!$B$107-3))*SQRT(1-(1/Fits!$B$107+(IF(Fits!$B$38="Row",$AQ95,$AR95)-Fits!$B$108)^2/Fits!$B$109)))))))</f>
        <v/>
      </c>
      <c r="CC95" s="20" t="str">
        <f aca="false">IF(OR($D95&lt;&gt;"Drift",$AC95="",$A95&lt;IF(Setup!$B$14="",0,Setup!$B$14),Fits!$B$120&lt;3,Fits!$B$123="",Fits!$B$122=0,IF(Fits!$B$50="Row",$AQ95,$AR95)=""),"",IF($BY95=1,IF(OR(Fits!$B$124="",Fits!$B$124=0),"",($AC95-(IF(Fits!$B$50="Row",Fits!$B$44,Fits!$B$47)*IF(Fits!$B$50="Row",$AQ95,$AR95)+Fits!$B$123))/(Fits!$B$124*SQRT(1+(1/Fits!$B$120+(IF(Fits!$B$50="Row",$AQ95,$AR95)-Fits!$B$121)^2/Fits!$B$122)))),IF(OR(Fits!$B$120&lt;4,(1/Fits!$B$120+(IF(Fits!$B$50="Row",$AQ95,$AR95)-Fits!$B$121)^2/Fits!$B$122)&gt;=1),"",IF((Fits!$B$129-($AC95-(IF(Fits!$B$50="Row",Fits!$B$44,Fits!$B$47)*IF(Fits!$B$50="Row",$AQ95,$AR95)+Fits!$B$123))^2/(1-(1/Fits!$B$120+(IF(Fits!$B$50="Row",$AQ95,$AR95)-Fits!$B$121)^2/Fits!$B$122)))&lt;=0,"",($AC95-(IF(Fits!$B$50="Row",Fits!$B$44,Fits!$B$47)*IF(Fits!$B$50="Row",$AQ95,$AR95)+Fits!$B$123))/(SQRT((Fits!$B$129-($AC95-(IF(Fits!$B$50="Row",Fits!$B$44,Fits!$B$47)*IF(Fits!$B$50="Row",$AQ95,$AR95)+Fits!$B$123))^2/(1-(1/Fits!$B$120+(IF(Fits!$B$50="Row",$AQ95,$AR95)-Fits!$B$121)^2/Fits!$B$122)))/(Fits!$B$120-3))*SQRT(1-(1/Fits!$B$120+(IF(Fits!$B$50="Row",$AQ95,$AR95)-Fits!$B$121)^2/Fits!$B$122)))))))</f>
        <v/>
      </c>
      <c r="CD95" s="9" t="str">
        <f aca="false">IF($AU95="","",1)</f>
        <v/>
      </c>
      <c r="CE95" s="24" t="str">
        <f aca="false">IF($AU95="","",$AU95-Fits!$B$133)</f>
        <v/>
      </c>
      <c r="CF95" s="24" t="str">
        <f aca="false">IF($AU95="","",($AV95-(Fits!$B$56*$AU95+Fits!$B$57))-Fits!$B$56*($AU95-Fits!$B$133))</f>
        <v/>
      </c>
      <c r="CG95" s="25" t="str">
        <f aca="false">IF($AU95="","",$AU95^2)</f>
        <v/>
      </c>
      <c r="CH95" s="9" t="str">
        <f aca="false">IF($AW95="","",1)</f>
        <v/>
      </c>
      <c r="CI95" s="24" t="str">
        <f aca="false">IF($AW95="","",$AW95-Fits!$B$153)</f>
        <v/>
      </c>
      <c r="CJ95" s="24" t="str">
        <f aca="false">IF($AW95="","",($AX95-(Fits!$B$63*$AW95+Fits!$B$64))-Fits!$B$63*($AW95-Fits!$B$153))</f>
        <v/>
      </c>
      <c r="CK95" s="25" t="str">
        <f aca="false">IF($AW95="","",$AW95^2)</f>
        <v/>
      </c>
      <c r="CL95" s="26" t="str">
        <f aca="false">IF(OR($Z95="",Fits!$B$55&lt;3,Fits!$B$133="",Fits!$B$134="",Fits!$B$134=0,Fits!$B$136=""),"",SQRT((Fits!$B$136*Fits!$B$56)^2+SUMPRODUCT((Fits!$J$163:$J$175*(Fits!$B$163:$B$175/Fits!$B$55+Fits!$H$163:$H$175*($Z95-Fits!$B$133)/Fits!$B$134))^2)+SUMPRODUCT((Fits!$G$163:$G$175*(($Z95-Fits!$B$133)*Fits!$I$163:$I$175/Fits!$B$134-Fits!$B$163:$B$175*Fits!$B$56/Fits!$B$55))^2)))</f>
        <v/>
      </c>
      <c r="CM95" s="26" t="str">
        <f aca="false">IF($CL95="","",Setup!$B$32*$CL95)</f>
        <v/>
      </c>
      <c r="CN95" s="26" t="str">
        <f aca="false">IF(OR($AE95="",Fits!$B$62&lt;3,Fits!$B$153="",Fits!$B$154="",Fits!$B$154=0,Fits!$B$156=""),"",SQRT((Fits!$B$156*Fits!$B$63)^2+SUMPRODUCT((Fits!$J$183:$J$195*(Fits!$B$183:$B$195/Fits!$B$62+Fits!$H$183:$H$195*($AE95-Fits!$B$153)/Fits!$B$154))^2)+SUMPRODUCT((Fits!$G$183:$G$195*(($AE95-Fits!$B$153)*Fits!$I$183:$I$195/Fits!$B$154-Fits!$B$183:$B$195*Fits!$B$63/Fits!$B$62))^2)))</f>
        <v/>
      </c>
      <c r="CO95" s="26" t="str">
        <f aca="false">IF($CN95="","",Setup!$B$32*$CN95)</f>
        <v/>
      </c>
      <c r="CP95" s="9" t="n">
        <f aca="false">IF(OR(NOT(ISNUMBER($BJ95)),$EK95=1),$CP94,IF($BJ95&lt;=Setup!$B$26,$CP94+1,0))</f>
        <v>26</v>
      </c>
      <c r="CQ95" s="9" t="str">
        <f aca="false">IF($BT95="","",$A95)</f>
        <v/>
      </c>
      <c r="CR95" s="9" t="str">
        <f aca="false">IF($BW95="","",$A95)</f>
        <v/>
      </c>
      <c r="CS95" s="9" t="str">
        <f aca="false">IF($B95="","",IF(Setup!$A$37="",0,IF(ISNUMBER(SEARCH(Setup!$A$37,$B95)),37,0)))</f>
        <v/>
      </c>
      <c r="CT95" s="9" t="str">
        <f aca="false">IF($B95="","",IF(Setup!$A$38="",0,IF(ISNUMBER(SEARCH(Setup!$A$38,$B95)),38,0)))</f>
        <v/>
      </c>
      <c r="CU95" s="9" t="str">
        <f aca="false">IF($B95="","",IF(Setup!$A$39="",0,IF(ISNUMBER(SEARCH(Setup!$A$39,$B95)),39,0)))</f>
        <v/>
      </c>
      <c r="CV95" s="9" t="str">
        <f aca="false">IF($B95="","",IF(Setup!$A$40="",0,IF(ISNUMBER(SEARCH(Setup!$A$40,$B95)),40,0)))</f>
        <v/>
      </c>
      <c r="CW95" s="9" t="str">
        <f aca="false">IF($B95="","",IF(Setup!$A$41="",0,IF(ISNUMBER(SEARCH(Setup!$A$41,$B95)),41,0)))</f>
        <v/>
      </c>
      <c r="CX95" s="9" t="str">
        <f aca="false">IF($B95="","",IF(Setup!$A$42="",0,IF(ISNUMBER(SEARCH(Setup!$A$42,$B95)),42,0)))</f>
        <v/>
      </c>
      <c r="CY95" s="9" t="str">
        <f aca="false">IF($B95="","",IF(Setup!$A$43="",0,IF(ISNUMBER(SEARCH(Setup!$A$43,$B95)),43,0)))</f>
        <v/>
      </c>
      <c r="CZ95" s="9" t="str">
        <f aca="false">IF($B95="","",IF(Setup!$A$44="",0,IF(ISNUMBER(SEARCH(Setup!$A$44,$B95)),44,0)))</f>
        <v/>
      </c>
      <c r="DA95" s="9" t="str">
        <f aca="false">IF($B95="","",IF(Setup!$A$45="",0,IF(ISNUMBER(SEARCH(Setup!$A$45,$B95)),45,0)))</f>
        <v/>
      </c>
      <c r="DB95" s="9" t="str">
        <f aca="false">IF($B95="","",IF(Setup!$A$46="",0,IF(ISNUMBER(SEARCH(Setup!$A$46,$B95)),46,0)))</f>
        <v/>
      </c>
      <c r="DC95" s="9" t="str">
        <f aca="false">IF($B95="","",IF(Setup!$A$47="",0,IF(ISNUMBER(SEARCH(Setup!$A$47,$B95)),47,0)))</f>
        <v/>
      </c>
      <c r="DD95" s="9" t="str">
        <f aca="false">IF($B95="","",IF(Setup!$A$48="",0,IF(ISNUMBER(SEARCH(Setup!$A$48,$B95)),48,0)))</f>
        <v/>
      </c>
      <c r="DE95" s="9" t="str">
        <f aca="false">IF($B95="","",IF(Setup!$A$49="",0,IF(ISNUMBER(SEARCH(Setup!$A$49,$B95)),49,0)))</f>
        <v/>
      </c>
      <c r="DF95" s="9" t="e">
        <f aca="false">IF($B95="",NA(),$A95)</f>
        <v>#N/A</v>
      </c>
      <c r="DG95" s="9" t="e">
        <f aca="false">IF($BI95="",NA(),$BI95)</f>
        <v>#N/A</v>
      </c>
      <c r="DH95" s="9" t="e">
        <f aca="false">IF($N95="",NA(),$N95)</f>
        <v>#N/A</v>
      </c>
      <c r="DI95" s="9" t="e">
        <f aca="false">IF(AND($D95="Drift",$N95&lt;&gt;""),$N95,NA())</f>
        <v>#N/A</v>
      </c>
      <c r="DJ95" s="9" t="str">
        <f aca="false">IF(AND($D95="Drift",$N95&lt;&gt;""),$N95,"")</f>
        <v/>
      </c>
      <c r="DK95" s="9" t="str">
        <f aca="false">IF($DJ95="","",$A95)</f>
        <v/>
      </c>
      <c r="DL95" s="9" t="e">
        <f aca="false">IF($AN95="",NA(),$AM95)</f>
        <v>#N/A</v>
      </c>
      <c r="DM95" s="9" t="e">
        <f aca="false">IF($AN95="",NA(),$AN95)</f>
        <v>#N/A</v>
      </c>
      <c r="DN95" s="9" t="e">
        <f aca="false">IF(AND($D95="Sample",$L95&lt;&gt;""),$L95,NA())</f>
        <v>#N/A</v>
      </c>
      <c r="DO95" s="9" t="e">
        <f aca="false">IF(AND($D95="Sample",$L95&lt;&gt;"",Fits!$B$98&lt;&gt;""),Fits!$B$98,NA())</f>
        <v>#N/A</v>
      </c>
      <c r="DP95" s="9" t="e">
        <f aca="false">IF($AS95="",NA(),$AS95)</f>
        <v>#N/A</v>
      </c>
      <c r="DQ95" s="9" t="e">
        <f aca="false">IF(AND($D95="Drift",$AS95="",$X95&lt;&gt;""),$X95,NA())</f>
        <v>#N/A</v>
      </c>
      <c r="DR95" s="9" t="e">
        <f aca="false">IF(AND($D95="Drift",$Z95&lt;&gt;""),$Z95,NA())</f>
        <v>#N/A</v>
      </c>
      <c r="DS95" s="9" t="e">
        <f aca="false">IF(AND(OR($D95="Sample",$D95="Check"),$AA95&lt;&gt;""),$AA95,NA())</f>
        <v>#N/A</v>
      </c>
      <c r="DT95" s="9" t="e">
        <f aca="false">IF(OR($B95="",Fits!$B$138=""),NA(),Fits!$B$138)</f>
        <v>#N/A</v>
      </c>
      <c r="DU95" s="9" t="e">
        <f aca="false">IF(OR($B95="",Fits!$B$139=""),NA(),Fits!$B$139)</f>
        <v>#N/A</v>
      </c>
      <c r="DV95" s="9" t="e">
        <f aca="false">IF($BT95="",NA(),$BT95)</f>
        <v>#N/A</v>
      </c>
      <c r="DW95" s="9" t="e">
        <f aca="false">IF($AP95="",NA(),$AO95)</f>
        <v>#N/A</v>
      </c>
      <c r="DX95" s="9" t="e">
        <f aca="false">IF($AP95="",NA(),$AP95)</f>
        <v>#N/A</v>
      </c>
      <c r="DY95" s="9" t="e">
        <f aca="false">IF(AND($D95="Sample",$P95&lt;&gt;""),$P95,NA())</f>
        <v>#N/A</v>
      </c>
      <c r="DZ95" s="9" t="e">
        <f aca="false">IF(AND($D95="Sample",$P95&lt;&gt;"",Fits!$B$105&lt;&gt;""),Fits!$B$105,NA())</f>
        <v>#N/A</v>
      </c>
      <c r="EA95" s="9" t="e">
        <f aca="false">IF($AT95="",NA(),$AT95)</f>
        <v>#N/A</v>
      </c>
      <c r="EB95" s="9" t="e">
        <f aca="false">IF(AND($D95="Drift",$AT95="",$AC95&lt;&gt;""),$AC95,NA())</f>
        <v>#N/A</v>
      </c>
      <c r="EC95" s="9" t="e">
        <f aca="false">IF(AND($D95="Drift",$AE95&lt;&gt;""),$AE95,NA())</f>
        <v>#N/A</v>
      </c>
      <c r="ED95" s="9" t="e">
        <f aca="false">IF(AND(OR($D95="Sample",$D95="Check"),$AF95&lt;&gt;""),$AF95,NA())</f>
        <v>#N/A</v>
      </c>
      <c r="EE95" s="9" t="e">
        <f aca="false">IF(OR($B95="",Fits!$B$158=""),NA(),Fits!$B$158)</f>
        <v>#N/A</v>
      </c>
      <c r="EF95" s="9" t="e">
        <f aca="false">IF(OR($B95="",Fits!$B$159=""),NA(),Fits!$B$159)</f>
        <v>#N/A</v>
      </c>
      <c r="EG95" s="9" t="e">
        <f aca="false">IF($BW95="",NA(),$BW95)</f>
        <v>#N/A</v>
      </c>
      <c r="EH95" s="9" t="e">
        <f aca="false">IF(AND($EN95=1,ISNUMBER($N95)),$N95,NA())</f>
        <v>#N/A</v>
      </c>
      <c r="EI95" s="9" t="str">
        <f aca="false">IF($B95="","",$A95)</f>
        <v/>
      </c>
      <c r="EJ95" s="9" t="n">
        <f aca="false">IF(OR(AND(ISNUMBER($L95),Fits!$B$97&gt;0,$L95&gt;Fits!$B$97),AND(ISNUMBER($P95),Fits!$B$104&gt;0,$P95&gt;Fits!$B$104)),1,0)</f>
        <v>0</v>
      </c>
      <c r="EK95" s="9" t="n">
        <f aca="false">IF(OR($EJ94=1,$EJ93=1),1,0)</f>
        <v>0</v>
      </c>
      <c r="EL95" s="22" t="n">
        <f aca="false">IF(AND($EK95=0,ISNUMBER($N95)),$N95,$EL94)</f>
        <v>25.7</v>
      </c>
      <c r="EM95" s="9" t="str">
        <f aca="false">IF(AND($EK95=1,ISNUMBER($N95),ISNUMBER($EL95)),$N95-$EL95,"")</f>
        <v/>
      </c>
      <c r="EN95" s="9" t="n">
        <f aca="false">IF(Setup!$B$28="",0,IF(ISNUMBER($EM95),IF($EM95&gt;Setup!$B$28,1,0),0))</f>
        <v>0</v>
      </c>
      <c r="EO95" s="9" t="str">
        <f aca="false">IF($EN95=1,COUNTIF($EN$6:$EN95,1),"")</f>
        <v/>
      </c>
      <c r="EP95" s="9" t="n">
        <f aca="false">IF(AND($EJ94=1,OR($D95="Sample",$D95="Check")),1,0)</f>
        <v>0</v>
      </c>
      <c r="EQ95" s="9" t="str">
        <f aca="false">IF(ISNUMBER($BI95),IF(COUNT($BI$6:$BI95)&lt;=5,$BI95,""),"")</f>
        <v/>
      </c>
      <c r="ER95" s="9" t="n">
        <f aca="false">IF(OR(NOT(ISNUMBER($BJ95)),$EK95=1),$ER94,IF($BJ95&lt;=Setup!$B$26,IF($CP94=0,$A95,$ER94),""))</f>
        <v>27</v>
      </c>
    </row>
    <row r="96" customFormat="false" ht="15" hidden="false" customHeight="false" outlineLevel="0" collapsed="false">
      <c r="A96" s="8" t="n">
        <v>91</v>
      </c>
      <c r="B96" s="8" t="str">
        <f aca="false">IFERROR(INDEX(Raw!$B$2:$B$1001,MATCH($A96,Raw!$A$2:$A$1001,0)),"")</f>
        <v/>
      </c>
      <c r="C96" s="9" t="str">
        <f aca="false">IF($B96="","",MAX($CS96:$DE96))</f>
        <v/>
      </c>
      <c r="D96" s="8" t="str">
        <f aca="false">IF($B96="","",IF($C96=0,"Sample",INDEX(Setup!$B$37:$B$49,$C96-36)))</f>
        <v/>
      </c>
      <c r="E96" s="16" t="str">
        <f aca="false">IF($B96="","",IFERROR(IF(INDEX(Raw!$E$2:$E$1001,MATCH($A96,Raw!$A$2:$A$1001,0))=0,"",INDEX(Raw!$E$2:$E$1001,MATCH($A96,Raw!$A$2:$A$1001,0))),""))</f>
        <v/>
      </c>
      <c r="F96" s="18"/>
      <c r="G96" s="16" t="str">
        <f aca="false">IF($B96="","",IF($F96&lt;&gt;"",$F96,IF($E96="","",$E96)))</f>
        <v/>
      </c>
      <c r="H96" s="9" t="str">
        <f aca="false">IF($B96="","",SUMPRODUCT(MAX((Raw!$A$2:$A$1001=$A96)*(Raw!$R$2:$R$1001="N")*Raw!$D$2:$D$1001)))</f>
        <v/>
      </c>
      <c r="I96" s="9" t="str">
        <f aca="false">IF(OR($H96="",$H96=0),"",$A96&amp;"|N|"&amp;$H96)</f>
        <v/>
      </c>
      <c r="J96" s="9" t="str">
        <f aca="false">IF($B96="","",SUMPRODUCT(MIN((Raw!$A$2:$A$1001=$A96)*(Raw!$R$2:$R$1001="C")*Raw!$D$2:$D$1001+(1-(Raw!$A$2:$A$1001=$A96)*(Raw!$R$2:$R$1001="C"))*9999)))</f>
        <v/>
      </c>
      <c r="K96" s="9" t="str">
        <f aca="false">IF(OR($J96="",$J96=0,$J96=9999),"",$A96&amp;"|C|"&amp;$J96)</f>
        <v/>
      </c>
      <c r="L96" s="16" t="str">
        <f aca="false">IF($I96="","",IF(INDEX(Raw!$I$2:$I$1001,MATCH($I96,Raw!$S$2:$S$1001,0))&lt;&gt;0,"",INDEX(Raw!$H$2:$H$1001,MATCH($I96,Raw!$S$2:$S$1001,0))))</f>
        <v/>
      </c>
      <c r="M96" s="19" t="str">
        <f aca="false">IF($I96="","",IF(INDEX(Raw!$I$2:$I$1001,MATCH($I96,Raw!$S$2:$S$1001,0))&lt;&gt;0,"",INDEX(Raw!$F$2:$F$1001,MATCH($I96,Raw!$S$2:$S$1001,0))))</f>
        <v/>
      </c>
      <c r="N96" s="20" t="str">
        <f aca="false">IF($I96="","",IF(INDEX(Raw!$I$2:$I$1001,MATCH($I96,Raw!$S$2:$S$1001,0))&lt;&gt;0,"",INDEX(Raw!$G$2:$G$1001,MATCH($I96,Raw!$S$2:$S$1001,0))))</f>
        <v/>
      </c>
      <c r="O96" s="16" t="str">
        <f aca="false">IF($I96="","",IF(INDEX(Raw!$I$2:$I$1001,MATCH($I96,Raw!$S$2:$S$1001,0))&lt;&gt;0,"",INDEX(Raw!$N$2:$N$1001,MATCH($I96,Raw!$S$2:$S$1001,0))))</f>
        <v/>
      </c>
      <c r="P96" s="16" t="str">
        <f aca="false">IF($K96="","",IF(INDEX(Raw!$I$2:$I$1001,MATCH($K96,Raw!$S$2:$S$1001,0))&lt;&gt;0,"",INDEX(Raw!$K$2:$K$1001,MATCH($K96,Raw!$S$2:$S$1001,0))))</f>
        <v/>
      </c>
      <c r="Q96" s="19" t="str">
        <f aca="false">IF($K96="","",IF(INDEX(Raw!$I$2:$I$1001,MATCH($K96,Raw!$S$2:$S$1001,0))&lt;&gt;0,"",INDEX(Raw!$J$2:$J$1001,MATCH($K96,Raw!$S$2:$S$1001,0))))</f>
        <v/>
      </c>
      <c r="R96" s="16" t="str">
        <f aca="false">IF($K96="","",IF(INDEX(Raw!$I$2:$I$1001,MATCH($K96,Raw!$S$2:$S$1001,0))&lt;&gt;0,"",INDEX(Raw!$O$2:$O$1001,MATCH($K96,Raw!$S$2:$S$1001,0))))</f>
        <v/>
      </c>
      <c r="S96" s="21" t="str">
        <f aca="false">IF($B96="","",IF($C96=0,"",IF(INDEX(Setup!$D$37:$D$49,$C96-36)="","",INDEX(Setup!$D$37:$D$49,$C96-36))))</f>
        <v/>
      </c>
      <c r="T96" s="21" t="str">
        <f aca="false">IF($B96="","",IF($C96=0,"",IF(INDEX(Setup!$C$37:$C$49,$C96-36)="","",INDEX(Setup!$C$37:$C$49,$C96-36))))</f>
        <v/>
      </c>
      <c r="U96" s="21" t="str">
        <f aca="false">IF($B96="","",IF($C96=0,"",IF(INDEX(Setup!$F$37:$F$49,$C96-36)="","",INDEX(Setup!$F$37:$F$49,$C96-36))))</f>
        <v/>
      </c>
      <c r="V96" s="21" t="str">
        <f aca="false">IF($B96="","",IF($C96=0,"",IF(INDEX(Setup!$E$37:$E$49,$C96-36)="","",INDEX(Setup!$E$37:$E$49,$C96-36))))</f>
        <v/>
      </c>
      <c r="W96" s="16" t="str">
        <f aca="false">IF($O96="","",IF(OR(Fits!$C$5&lt;&gt;"Yes",$D96="Blank",$L96&lt;=Fits!$B$6),$O96,($L96*$O96-Fits!$B$6*Fits!$B$7)/($L96-Fits!$B$6)))</f>
        <v/>
      </c>
      <c r="X96" s="16" t="str">
        <f aca="false">IF($W96="","",$W96-Fits!$B$20*($L96-Fits!$B$16))</f>
        <v/>
      </c>
      <c r="Y96" s="22" t="str">
        <f aca="false">IF($W96="","",IF(OR(Fits!$B$38="Row",$BI96=""),$A96,$BI96))</f>
        <v/>
      </c>
      <c r="Z96" s="16" t="str">
        <f aca="false">IF($X96="","",$X96-Fits!$B$39*($Y96-Fits!$B$40))</f>
        <v/>
      </c>
      <c r="AA96" s="23" t="str">
        <f aca="false">IF(OR($Z96="",Fits!$B$55&lt;2),"",Fits!$B$56*$Z96+Fits!$B$57)</f>
        <v/>
      </c>
      <c r="AB96" s="16" t="str">
        <f aca="false">IF($R96="","",IF(OR(Fits!$C$9&lt;&gt;"Yes",$D96="Blank",$P96&lt;=Fits!$B$10),$R96,($P96*$R96-Fits!$B$10*Fits!$B$11)/($P96-Fits!$B$10)))</f>
        <v/>
      </c>
      <c r="AC96" s="16" t="str">
        <f aca="false">IF($AB96="","",$AB96-Fits!$B$28*($P96-Fits!$B$24))</f>
        <v/>
      </c>
      <c r="AD96" s="22" t="str">
        <f aca="false">IF($AB96="","",IF(OR(Fits!$B$50="Row",$BI96=""),$A96,$BI96))</f>
        <v/>
      </c>
      <c r="AE96" s="16" t="str">
        <f aca="false">IF($AC96="","",$AC96-Fits!$B$51*($AD96-Fits!$B$52))</f>
        <v/>
      </c>
      <c r="AF96" s="23" t="str">
        <f aca="false">IF(OR($AE96="",Fits!$B$62&lt;2),"",Fits!$B$63*$AE96+Fits!$B$64)</f>
        <v/>
      </c>
      <c r="AG96" s="21" t="str">
        <f aca="false">IF(OR($L96="",Fits!$B$69&lt;3),"",($L96-Fits!$B$71)/Fits!$B$70)</f>
        <v/>
      </c>
      <c r="AH96" s="21" t="str">
        <f aca="false">IF(OR($P96="",Fits!$B$75&lt;3),"",($P96-Fits!$B$77)/Fits!$B$76)</f>
        <v/>
      </c>
      <c r="AI96" s="23" t="str">
        <f aca="false">IF(OR($AG96="",$G96="",$G96=0),"",$AG96/($G96*1000)*100)</f>
        <v/>
      </c>
      <c r="AJ96" s="23" t="str">
        <f aca="false">IF(OR($AH96="",$G96="",$G96=0),"",$AH96/($G96*1000)*100)</f>
        <v/>
      </c>
      <c r="AK96" s="23" t="str">
        <f aca="false">IF(OR($AG96="",$AH96="",$AG96&lt;=0),"",($AH96/Setup!$B$52)/($AG96/Setup!$B$53))</f>
        <v/>
      </c>
      <c r="AL96" s="23" t="str">
        <f aca="false">IF(OR($AG96="",$AH96="",$AG96&lt;=0),"",$AH96/$AG96)</f>
        <v/>
      </c>
      <c r="AM96" s="9" t="str">
        <f aca="false">IF($D96="Linearity",IF($L96="","",$L96),"")</f>
        <v/>
      </c>
      <c r="AN96" s="9" t="str">
        <f aca="false">IF($D96="Linearity",IF($W96="","",$W96),"")</f>
        <v/>
      </c>
      <c r="AO96" s="9" t="str">
        <f aca="false">IF($D96="Linearity",IF($P96="","",$P96),"")</f>
        <v/>
      </c>
      <c r="AP96" s="9" t="str">
        <f aca="false">IF($D96="Linearity",IF($AB96="","",$AB96),"")</f>
        <v/>
      </c>
      <c r="AQ96" s="9" t="str">
        <f aca="false">IF($D96="Drift",IF($A96&lt;IF(Setup!$B$14="",0,Setup!$B$14),"",$A96),"")</f>
        <v/>
      </c>
      <c r="AR96" s="9" t="str">
        <f aca="false">IF($D96="Drift",IF($A96&lt;IF(Setup!$B$14="",0,Setup!$B$14),"",IF($BI96="","",$BI96)),"")</f>
        <v/>
      </c>
      <c r="AS96" s="9" t="str">
        <f aca="false">IF($D96="Drift",IF($A96&lt;IF(Setup!$B$14="",0,Setup!$B$14),"",IF(OR($X96="",$BX96=1),"",$X96)),"")</f>
        <v/>
      </c>
      <c r="AT96" s="9" t="str">
        <f aca="false">IF($D96="Drift",IF($A96&lt;IF(Setup!$B$14="",0,Setup!$B$14),"",IF(OR($AC96="",$BY96=1),"",$AC96)),"")</f>
        <v/>
      </c>
      <c r="AU96" s="9" t="str">
        <f aca="false">IF($D96="Anchor",IF(OR($Z96="",$S96=""),"",$Z96),"")</f>
        <v/>
      </c>
      <c r="AV96" s="9" t="str">
        <f aca="false">IF($D96="Anchor",IF(OR($Z96="",$S96=""),"",$S96),"")</f>
        <v/>
      </c>
      <c r="AW96" s="9" t="str">
        <f aca="false">IF($D96="Anchor",IF(OR($AE96="",$T96=""),"",$AE96),"")</f>
        <v/>
      </c>
      <c r="AX96" s="9" t="str">
        <f aca="false">IF($D96="Anchor",IF(OR($AE96="",$T96=""),"",$T96),"")</f>
        <v/>
      </c>
      <c r="AY96" s="9" t="str">
        <f aca="false">IF(OR($D96="Blank",$D96="Exclude",$D96="Sample",$D96="",$G96="",$U96="",$L96=""),"",$G96*1000*$U96/100)</f>
        <v/>
      </c>
      <c r="AZ96" s="9" t="str">
        <f aca="false">IF($AY96="","",$L96)</f>
        <v/>
      </c>
      <c r="BA96" s="9" t="str">
        <f aca="false">IF(OR($D96="Blank",$D96="Exclude",$D96="Sample",$D96="",$G96="",$V96="",$P96=""),"",$G96*1000*$V96/100)</f>
        <v/>
      </c>
      <c r="BB96" s="9" t="str">
        <f aca="false">IF($BA96="","",$P96)</f>
        <v/>
      </c>
      <c r="BC96" s="9" t="str">
        <f aca="false">IF(AND($D96="Blank",$L96&lt;&gt;""),$O96,"")</f>
        <v/>
      </c>
      <c r="BD96" s="9" t="str">
        <f aca="false">IF($BC96="","",$L96)</f>
        <v/>
      </c>
      <c r="BE96" s="9" t="str">
        <f aca="false">IF(AND($D96="Blank",$P96&lt;&gt;""),$R96,"")</f>
        <v/>
      </c>
      <c r="BF96" s="9" t="str">
        <f aca="false">IF($BE96="","",$P96)</f>
        <v/>
      </c>
      <c r="BG96" s="9" t="str">
        <f aca="false">IF(AND($D96="Drift",$BX96&lt;&gt;1),IF($AA96="","",$AA96),"")</f>
        <v/>
      </c>
      <c r="BH96" s="9" t="str">
        <f aca="false">IF(AND($D96="Drift",$BY96&lt;&gt;1),IF($AF96="","",$AF96),"")</f>
        <v/>
      </c>
      <c r="BI96" s="20" t="str">
        <f aca="false">IF($B96="","",IFERROR(INDEX(Raw!$G$2:$G$1001,MATCH($A96&amp;"|N|"&amp;SUMPRODUCT(MAX((Raw!$A$2:$A$1001=$A96)*(Raw!$R$2:$R$1001="N")*(Raw!$I$2:$I$1001=1)*Raw!$D$2:$D$1001)),Raw!$S$2:$S$1001,0)),""))</f>
        <v/>
      </c>
      <c r="BJ96" s="21" t="str">
        <f aca="false">IF(OR($BI96="",Fits!$B$85&lt;=0),"",($BI96-Fits!$B$83)/Fits!$B$85)</f>
        <v/>
      </c>
      <c r="BK96" s="9" t="str">
        <f aca="false">IF($AS96="","",IF($A96&gt;=Fits!$B$86,"",$A96))</f>
        <v/>
      </c>
      <c r="BL96" s="9" t="str">
        <f aca="false">IF($BK96="","",$X96)</f>
        <v/>
      </c>
      <c r="BM96" s="9" t="str">
        <f aca="false">IF($AS96="","",IF($A96&lt;Fits!$B$86,"",$A96))</f>
        <v/>
      </c>
      <c r="BN96" s="9" t="str">
        <f aca="false">IF($BM96="","",$X96)</f>
        <v/>
      </c>
      <c r="BO96" s="9" t="str">
        <f aca="false">IF(AND($D96="Drift",$BX96&lt;&gt;1),IF($O96="","",$O96),"")</f>
        <v/>
      </c>
      <c r="BP96" s="9" t="str">
        <f aca="false">IF(AND($D96="Drift",$BX96&lt;&gt;1),IF($W96="","",$W96),"")</f>
        <v/>
      </c>
      <c r="BQ96" s="9" t="str">
        <f aca="false">IF(AND($D96="Drift",$BX96&lt;&gt;1),IF($X96="","",$X96),"")</f>
        <v/>
      </c>
      <c r="BR96" s="9" t="str">
        <f aca="false">IF(AND($D96="Drift",$BX96&lt;&gt;1),IF($Z96="","",$Z96),"")</f>
        <v/>
      </c>
      <c r="BS96" s="9" t="str">
        <f aca="false">IF(OR($B96="",$H96=""),"",SUMPRODUCT(MIN((Raw!$A$2:$A$1001=$A96)*(Raw!$R$2:$R$1001="N")*(Raw!$I$2:$I$1001=0)*(Raw!$D$2:$D$1001&lt;$H96)*Raw!$D$2:$D$1001+(1-(Raw!$A$2:$A$1001=$A96)*(Raw!$R$2:$R$1001="N")*(Raw!$I$2:$I$1001=0)*(Raw!$D$2:$D$1001&lt;$H96))*9999)))</f>
        <v/>
      </c>
      <c r="BT96" s="16" t="str">
        <f aca="false">IF(OR($BS96="",$BS96=9999,$BS96=0),"",IFERROR(INDEX(Raw!$N$2:$N$1001,MATCH($A96&amp;"|N|"&amp;$BS96,Raw!$S$2:$S$1001,0)),""))</f>
        <v/>
      </c>
      <c r="BU96" s="9" t="str">
        <f aca="false">IF($B96="","",SUMPRODUCT(MIN((Raw!$A$2:$A$1001=$A96)*(Raw!$R$2:$R$1001="C")*(Raw!$I$2:$I$1001=1)*Raw!$D$2:$D$1001+(1-(Raw!$A$2:$A$1001=$A96)*(Raw!$R$2:$R$1001="C")*(Raw!$I$2:$I$1001=1))*9999)))</f>
        <v/>
      </c>
      <c r="BV96" s="9" t="str">
        <f aca="false">IF(OR($BU96="",$BU96=9999),"",SUMPRODUCT(MIN((Raw!$A$2:$A$1001=$A96)*(Raw!$R$2:$R$1001="C")*(Raw!$I$2:$I$1001=0)*(Raw!$D$2:$D$1001&gt;$BU96)*Raw!$D$2:$D$1001+(1-(Raw!$A$2:$A$1001=$A96)*(Raw!$R$2:$R$1001="C")*(Raw!$I$2:$I$1001=0)*(Raw!$D$2:$D$1001&gt;$BU96))*9999)))</f>
        <v/>
      </c>
      <c r="BW96" s="16" t="str">
        <f aca="false">IF(OR($BV96="",$BV96=9999,$BV96=0),"",IFERROR(INDEX(Raw!$O$2:$O$1001,MATCH($A96&amp;"|C|"&amp;$BV96,Raw!$S$2:$S$1001,0)),""))</f>
        <v/>
      </c>
      <c r="BX96" s="9" t="str">
        <f aca="false">IF($B96="","",IF(ISNUMBER(SEARCH(","&amp;$A96&amp;",",","&amp;SUBSTITUTE(Setup!$B$16," ","")&amp;",")),1,0))</f>
        <v/>
      </c>
      <c r="BY96" s="9" t="str">
        <f aca="false">IF($B96="","",IF(ISNUMBER(SEARCH(","&amp;$A96&amp;",",","&amp;SUBSTITUTE(Setup!$B$17," ","")&amp;",")),1,0))</f>
        <v/>
      </c>
      <c r="BZ96" s="22" t="str">
        <f aca="false">IF($AS96="","",IF(Fits!$B$38="Row",$AQ96,IF($AR96="","",$AR96)))</f>
        <v/>
      </c>
      <c r="CA96" s="22" t="str">
        <f aca="false">IF($AT96="","",IF(Fits!$B$50="Row",$AQ96,IF($AR96="","",$AR96)))</f>
        <v/>
      </c>
      <c r="CB96" s="20" t="str">
        <f aca="false">IF(OR($D96&lt;&gt;"Drift",$X96="",$A96&lt;IF(Setup!$B$14="",0,Setup!$B$14),Fits!$B$107&lt;3,Fits!$B$110="",Fits!$B$109=0,IF(Fits!$B$38="Row",$AQ96,$AR96)=""),"",IF($BX96=1,IF(OR(Fits!$B$111="",Fits!$B$111=0),"",($X96-(IF(Fits!$B$38="Row",Fits!$B$32,Fits!$B$35)*IF(Fits!$B$38="Row",$AQ96,$AR96)+Fits!$B$110))/(Fits!$B$111*SQRT(1+(1/Fits!$B$107+(IF(Fits!$B$38="Row",$AQ96,$AR96)-Fits!$B$108)^2/Fits!$B$109)))),IF(OR(Fits!$B$107&lt;4,(1/Fits!$B$107+(IF(Fits!$B$38="Row",$AQ96,$AR96)-Fits!$B$108)^2/Fits!$B$109)&gt;=1),"",IF((Fits!$B$116-($X96-(IF(Fits!$B$38="Row",Fits!$B$32,Fits!$B$35)*IF(Fits!$B$38="Row",$AQ96,$AR96)+Fits!$B$110))^2/(1-(1/Fits!$B$107+(IF(Fits!$B$38="Row",$AQ96,$AR96)-Fits!$B$108)^2/Fits!$B$109)))&lt;=0,"",($X96-(IF(Fits!$B$38="Row",Fits!$B$32,Fits!$B$35)*IF(Fits!$B$38="Row",$AQ96,$AR96)+Fits!$B$110))/(SQRT((Fits!$B$116-($X96-(IF(Fits!$B$38="Row",Fits!$B$32,Fits!$B$35)*IF(Fits!$B$38="Row",$AQ96,$AR96)+Fits!$B$110))^2/(1-(1/Fits!$B$107+(IF(Fits!$B$38="Row",$AQ96,$AR96)-Fits!$B$108)^2/Fits!$B$109)))/(Fits!$B$107-3))*SQRT(1-(1/Fits!$B$107+(IF(Fits!$B$38="Row",$AQ96,$AR96)-Fits!$B$108)^2/Fits!$B$109)))))))</f>
        <v/>
      </c>
      <c r="CC96" s="20" t="str">
        <f aca="false">IF(OR($D96&lt;&gt;"Drift",$AC96="",$A96&lt;IF(Setup!$B$14="",0,Setup!$B$14),Fits!$B$120&lt;3,Fits!$B$123="",Fits!$B$122=0,IF(Fits!$B$50="Row",$AQ96,$AR96)=""),"",IF($BY96=1,IF(OR(Fits!$B$124="",Fits!$B$124=0),"",($AC96-(IF(Fits!$B$50="Row",Fits!$B$44,Fits!$B$47)*IF(Fits!$B$50="Row",$AQ96,$AR96)+Fits!$B$123))/(Fits!$B$124*SQRT(1+(1/Fits!$B$120+(IF(Fits!$B$50="Row",$AQ96,$AR96)-Fits!$B$121)^2/Fits!$B$122)))),IF(OR(Fits!$B$120&lt;4,(1/Fits!$B$120+(IF(Fits!$B$50="Row",$AQ96,$AR96)-Fits!$B$121)^2/Fits!$B$122)&gt;=1),"",IF((Fits!$B$129-($AC96-(IF(Fits!$B$50="Row",Fits!$B$44,Fits!$B$47)*IF(Fits!$B$50="Row",$AQ96,$AR96)+Fits!$B$123))^2/(1-(1/Fits!$B$120+(IF(Fits!$B$50="Row",$AQ96,$AR96)-Fits!$B$121)^2/Fits!$B$122)))&lt;=0,"",($AC96-(IF(Fits!$B$50="Row",Fits!$B$44,Fits!$B$47)*IF(Fits!$B$50="Row",$AQ96,$AR96)+Fits!$B$123))/(SQRT((Fits!$B$129-($AC96-(IF(Fits!$B$50="Row",Fits!$B$44,Fits!$B$47)*IF(Fits!$B$50="Row",$AQ96,$AR96)+Fits!$B$123))^2/(1-(1/Fits!$B$120+(IF(Fits!$B$50="Row",$AQ96,$AR96)-Fits!$B$121)^2/Fits!$B$122)))/(Fits!$B$120-3))*SQRT(1-(1/Fits!$B$120+(IF(Fits!$B$50="Row",$AQ96,$AR96)-Fits!$B$121)^2/Fits!$B$122)))))))</f>
        <v/>
      </c>
      <c r="CD96" s="9" t="str">
        <f aca="false">IF($AU96="","",1)</f>
        <v/>
      </c>
      <c r="CE96" s="24" t="str">
        <f aca="false">IF($AU96="","",$AU96-Fits!$B$133)</f>
        <v/>
      </c>
      <c r="CF96" s="24" t="str">
        <f aca="false">IF($AU96="","",($AV96-(Fits!$B$56*$AU96+Fits!$B$57))-Fits!$B$56*($AU96-Fits!$B$133))</f>
        <v/>
      </c>
      <c r="CG96" s="25" t="str">
        <f aca="false">IF($AU96="","",$AU96^2)</f>
        <v/>
      </c>
      <c r="CH96" s="9" t="str">
        <f aca="false">IF($AW96="","",1)</f>
        <v/>
      </c>
      <c r="CI96" s="24" t="str">
        <f aca="false">IF($AW96="","",$AW96-Fits!$B$153)</f>
        <v/>
      </c>
      <c r="CJ96" s="24" t="str">
        <f aca="false">IF($AW96="","",($AX96-(Fits!$B$63*$AW96+Fits!$B$64))-Fits!$B$63*($AW96-Fits!$B$153))</f>
        <v/>
      </c>
      <c r="CK96" s="25" t="str">
        <f aca="false">IF($AW96="","",$AW96^2)</f>
        <v/>
      </c>
      <c r="CL96" s="26" t="str">
        <f aca="false">IF(OR($Z96="",Fits!$B$55&lt;3,Fits!$B$133="",Fits!$B$134="",Fits!$B$134=0,Fits!$B$136=""),"",SQRT((Fits!$B$136*Fits!$B$56)^2+SUMPRODUCT((Fits!$J$163:$J$175*(Fits!$B$163:$B$175/Fits!$B$55+Fits!$H$163:$H$175*($Z96-Fits!$B$133)/Fits!$B$134))^2)+SUMPRODUCT((Fits!$G$163:$G$175*(($Z96-Fits!$B$133)*Fits!$I$163:$I$175/Fits!$B$134-Fits!$B$163:$B$175*Fits!$B$56/Fits!$B$55))^2)))</f>
        <v/>
      </c>
      <c r="CM96" s="26" t="str">
        <f aca="false">IF($CL96="","",Setup!$B$32*$CL96)</f>
        <v/>
      </c>
      <c r="CN96" s="26" t="str">
        <f aca="false">IF(OR($AE96="",Fits!$B$62&lt;3,Fits!$B$153="",Fits!$B$154="",Fits!$B$154=0,Fits!$B$156=""),"",SQRT((Fits!$B$156*Fits!$B$63)^2+SUMPRODUCT((Fits!$J$183:$J$195*(Fits!$B$183:$B$195/Fits!$B$62+Fits!$H$183:$H$195*($AE96-Fits!$B$153)/Fits!$B$154))^2)+SUMPRODUCT((Fits!$G$183:$G$195*(($AE96-Fits!$B$153)*Fits!$I$183:$I$195/Fits!$B$154-Fits!$B$183:$B$195*Fits!$B$63/Fits!$B$62))^2)))</f>
        <v/>
      </c>
      <c r="CO96" s="26" t="str">
        <f aca="false">IF($CN96="","",Setup!$B$32*$CN96)</f>
        <v/>
      </c>
      <c r="CP96" s="9" t="n">
        <f aca="false">IF(OR(NOT(ISNUMBER($BJ96)),$EK96=1),$CP95,IF($BJ96&lt;=Setup!$B$26,$CP95+1,0))</f>
        <v>26</v>
      </c>
      <c r="CQ96" s="9" t="str">
        <f aca="false">IF($BT96="","",$A96)</f>
        <v/>
      </c>
      <c r="CR96" s="9" t="str">
        <f aca="false">IF($BW96="","",$A96)</f>
        <v/>
      </c>
      <c r="CS96" s="9" t="str">
        <f aca="false">IF($B96="","",IF(Setup!$A$37="",0,IF(ISNUMBER(SEARCH(Setup!$A$37,$B96)),37,0)))</f>
        <v/>
      </c>
      <c r="CT96" s="9" t="str">
        <f aca="false">IF($B96="","",IF(Setup!$A$38="",0,IF(ISNUMBER(SEARCH(Setup!$A$38,$B96)),38,0)))</f>
        <v/>
      </c>
      <c r="CU96" s="9" t="str">
        <f aca="false">IF($B96="","",IF(Setup!$A$39="",0,IF(ISNUMBER(SEARCH(Setup!$A$39,$B96)),39,0)))</f>
        <v/>
      </c>
      <c r="CV96" s="9" t="str">
        <f aca="false">IF($B96="","",IF(Setup!$A$40="",0,IF(ISNUMBER(SEARCH(Setup!$A$40,$B96)),40,0)))</f>
        <v/>
      </c>
      <c r="CW96" s="9" t="str">
        <f aca="false">IF($B96="","",IF(Setup!$A$41="",0,IF(ISNUMBER(SEARCH(Setup!$A$41,$B96)),41,0)))</f>
        <v/>
      </c>
      <c r="CX96" s="9" t="str">
        <f aca="false">IF($B96="","",IF(Setup!$A$42="",0,IF(ISNUMBER(SEARCH(Setup!$A$42,$B96)),42,0)))</f>
        <v/>
      </c>
      <c r="CY96" s="9" t="str">
        <f aca="false">IF($B96="","",IF(Setup!$A$43="",0,IF(ISNUMBER(SEARCH(Setup!$A$43,$B96)),43,0)))</f>
        <v/>
      </c>
      <c r="CZ96" s="9" t="str">
        <f aca="false">IF($B96="","",IF(Setup!$A$44="",0,IF(ISNUMBER(SEARCH(Setup!$A$44,$B96)),44,0)))</f>
        <v/>
      </c>
      <c r="DA96" s="9" t="str">
        <f aca="false">IF($B96="","",IF(Setup!$A$45="",0,IF(ISNUMBER(SEARCH(Setup!$A$45,$B96)),45,0)))</f>
        <v/>
      </c>
      <c r="DB96" s="9" t="str">
        <f aca="false">IF($B96="","",IF(Setup!$A$46="",0,IF(ISNUMBER(SEARCH(Setup!$A$46,$B96)),46,0)))</f>
        <v/>
      </c>
      <c r="DC96" s="9" t="str">
        <f aca="false">IF($B96="","",IF(Setup!$A$47="",0,IF(ISNUMBER(SEARCH(Setup!$A$47,$B96)),47,0)))</f>
        <v/>
      </c>
      <c r="DD96" s="9" t="str">
        <f aca="false">IF($B96="","",IF(Setup!$A$48="",0,IF(ISNUMBER(SEARCH(Setup!$A$48,$B96)),48,0)))</f>
        <v/>
      </c>
      <c r="DE96" s="9" t="str">
        <f aca="false">IF($B96="","",IF(Setup!$A$49="",0,IF(ISNUMBER(SEARCH(Setup!$A$49,$B96)),49,0)))</f>
        <v/>
      </c>
      <c r="DF96" s="9" t="e">
        <f aca="false">IF($B96="",NA(),$A96)</f>
        <v>#N/A</v>
      </c>
      <c r="DG96" s="9" t="e">
        <f aca="false">IF($BI96="",NA(),$BI96)</f>
        <v>#N/A</v>
      </c>
      <c r="DH96" s="9" t="e">
        <f aca="false">IF($N96="",NA(),$N96)</f>
        <v>#N/A</v>
      </c>
      <c r="DI96" s="9" t="e">
        <f aca="false">IF(AND($D96="Drift",$N96&lt;&gt;""),$N96,NA())</f>
        <v>#N/A</v>
      </c>
      <c r="DJ96" s="9" t="str">
        <f aca="false">IF(AND($D96="Drift",$N96&lt;&gt;""),$N96,"")</f>
        <v/>
      </c>
      <c r="DK96" s="9" t="str">
        <f aca="false">IF($DJ96="","",$A96)</f>
        <v/>
      </c>
      <c r="DL96" s="9" t="e">
        <f aca="false">IF($AN96="",NA(),$AM96)</f>
        <v>#N/A</v>
      </c>
      <c r="DM96" s="9" t="e">
        <f aca="false">IF($AN96="",NA(),$AN96)</f>
        <v>#N/A</v>
      </c>
      <c r="DN96" s="9" t="e">
        <f aca="false">IF(AND($D96="Sample",$L96&lt;&gt;""),$L96,NA())</f>
        <v>#N/A</v>
      </c>
      <c r="DO96" s="9" t="e">
        <f aca="false">IF(AND($D96="Sample",$L96&lt;&gt;"",Fits!$B$98&lt;&gt;""),Fits!$B$98,NA())</f>
        <v>#N/A</v>
      </c>
      <c r="DP96" s="9" t="e">
        <f aca="false">IF($AS96="",NA(),$AS96)</f>
        <v>#N/A</v>
      </c>
      <c r="DQ96" s="9" t="e">
        <f aca="false">IF(AND($D96="Drift",$AS96="",$X96&lt;&gt;""),$X96,NA())</f>
        <v>#N/A</v>
      </c>
      <c r="DR96" s="9" t="e">
        <f aca="false">IF(AND($D96="Drift",$Z96&lt;&gt;""),$Z96,NA())</f>
        <v>#N/A</v>
      </c>
      <c r="DS96" s="9" t="e">
        <f aca="false">IF(AND(OR($D96="Sample",$D96="Check"),$AA96&lt;&gt;""),$AA96,NA())</f>
        <v>#N/A</v>
      </c>
      <c r="DT96" s="9" t="e">
        <f aca="false">IF(OR($B96="",Fits!$B$138=""),NA(),Fits!$B$138)</f>
        <v>#N/A</v>
      </c>
      <c r="DU96" s="9" t="e">
        <f aca="false">IF(OR($B96="",Fits!$B$139=""),NA(),Fits!$B$139)</f>
        <v>#N/A</v>
      </c>
      <c r="DV96" s="9" t="e">
        <f aca="false">IF($BT96="",NA(),$BT96)</f>
        <v>#N/A</v>
      </c>
      <c r="DW96" s="9" t="e">
        <f aca="false">IF($AP96="",NA(),$AO96)</f>
        <v>#N/A</v>
      </c>
      <c r="DX96" s="9" t="e">
        <f aca="false">IF($AP96="",NA(),$AP96)</f>
        <v>#N/A</v>
      </c>
      <c r="DY96" s="9" t="e">
        <f aca="false">IF(AND($D96="Sample",$P96&lt;&gt;""),$P96,NA())</f>
        <v>#N/A</v>
      </c>
      <c r="DZ96" s="9" t="e">
        <f aca="false">IF(AND($D96="Sample",$P96&lt;&gt;"",Fits!$B$105&lt;&gt;""),Fits!$B$105,NA())</f>
        <v>#N/A</v>
      </c>
      <c r="EA96" s="9" t="e">
        <f aca="false">IF($AT96="",NA(),$AT96)</f>
        <v>#N/A</v>
      </c>
      <c r="EB96" s="9" t="e">
        <f aca="false">IF(AND($D96="Drift",$AT96="",$AC96&lt;&gt;""),$AC96,NA())</f>
        <v>#N/A</v>
      </c>
      <c r="EC96" s="9" t="e">
        <f aca="false">IF(AND($D96="Drift",$AE96&lt;&gt;""),$AE96,NA())</f>
        <v>#N/A</v>
      </c>
      <c r="ED96" s="9" t="e">
        <f aca="false">IF(AND(OR($D96="Sample",$D96="Check"),$AF96&lt;&gt;""),$AF96,NA())</f>
        <v>#N/A</v>
      </c>
      <c r="EE96" s="9" t="e">
        <f aca="false">IF(OR($B96="",Fits!$B$158=""),NA(),Fits!$B$158)</f>
        <v>#N/A</v>
      </c>
      <c r="EF96" s="9" t="e">
        <f aca="false">IF(OR($B96="",Fits!$B$159=""),NA(),Fits!$B$159)</f>
        <v>#N/A</v>
      </c>
      <c r="EG96" s="9" t="e">
        <f aca="false">IF($BW96="",NA(),$BW96)</f>
        <v>#N/A</v>
      </c>
      <c r="EH96" s="9" t="e">
        <f aca="false">IF(AND($EN96=1,ISNUMBER($N96)),$N96,NA())</f>
        <v>#N/A</v>
      </c>
      <c r="EI96" s="9" t="str">
        <f aca="false">IF($B96="","",$A96)</f>
        <v/>
      </c>
      <c r="EJ96" s="9" t="n">
        <f aca="false">IF(OR(AND(ISNUMBER($L96),Fits!$B$97&gt;0,$L96&gt;Fits!$B$97),AND(ISNUMBER($P96),Fits!$B$104&gt;0,$P96&gt;Fits!$B$104)),1,0)</f>
        <v>0</v>
      </c>
      <c r="EK96" s="9" t="n">
        <f aca="false">IF(OR($EJ95=1,$EJ94=1),1,0)</f>
        <v>0</v>
      </c>
      <c r="EL96" s="22" t="n">
        <f aca="false">IF(AND($EK96=0,ISNUMBER($N96)),$N96,$EL95)</f>
        <v>25.7</v>
      </c>
      <c r="EM96" s="9" t="str">
        <f aca="false">IF(AND($EK96=1,ISNUMBER($N96),ISNUMBER($EL96)),$N96-$EL96,"")</f>
        <v/>
      </c>
      <c r="EN96" s="9" t="n">
        <f aca="false">IF(Setup!$B$28="",0,IF(ISNUMBER($EM96),IF($EM96&gt;Setup!$B$28,1,0),0))</f>
        <v>0</v>
      </c>
      <c r="EO96" s="9" t="str">
        <f aca="false">IF($EN96=1,COUNTIF($EN$6:$EN96,1),"")</f>
        <v/>
      </c>
      <c r="EP96" s="9" t="n">
        <f aca="false">IF(AND($EJ95=1,OR($D96="Sample",$D96="Check")),1,0)</f>
        <v>0</v>
      </c>
      <c r="EQ96" s="9" t="str">
        <f aca="false">IF(ISNUMBER($BI96),IF(COUNT($BI$6:$BI96)&lt;=5,$BI96,""),"")</f>
        <v/>
      </c>
      <c r="ER96" s="9" t="n">
        <f aca="false">IF(OR(NOT(ISNUMBER($BJ96)),$EK96=1),$ER95,IF($BJ96&lt;=Setup!$B$26,IF($CP95=0,$A96,$ER95),""))</f>
        <v>27</v>
      </c>
    </row>
    <row r="97" customFormat="false" ht="15" hidden="false" customHeight="false" outlineLevel="0" collapsed="false">
      <c r="A97" s="8" t="n">
        <v>92</v>
      </c>
      <c r="B97" s="8" t="str">
        <f aca="false">IFERROR(INDEX(Raw!$B$2:$B$1001,MATCH($A97,Raw!$A$2:$A$1001,0)),"")</f>
        <v/>
      </c>
      <c r="C97" s="9" t="str">
        <f aca="false">IF($B97="","",MAX($CS97:$DE97))</f>
        <v/>
      </c>
      <c r="D97" s="8" t="str">
        <f aca="false">IF($B97="","",IF($C97=0,"Sample",INDEX(Setup!$B$37:$B$49,$C97-36)))</f>
        <v/>
      </c>
      <c r="E97" s="16" t="str">
        <f aca="false">IF($B97="","",IFERROR(IF(INDEX(Raw!$E$2:$E$1001,MATCH($A97,Raw!$A$2:$A$1001,0))=0,"",INDEX(Raw!$E$2:$E$1001,MATCH($A97,Raw!$A$2:$A$1001,0))),""))</f>
        <v/>
      </c>
      <c r="F97" s="18"/>
      <c r="G97" s="16" t="str">
        <f aca="false">IF($B97="","",IF($F97&lt;&gt;"",$F97,IF($E97="","",$E97)))</f>
        <v/>
      </c>
      <c r="H97" s="9" t="str">
        <f aca="false">IF($B97="","",SUMPRODUCT(MAX((Raw!$A$2:$A$1001=$A97)*(Raw!$R$2:$R$1001="N")*Raw!$D$2:$D$1001)))</f>
        <v/>
      </c>
      <c r="I97" s="9" t="str">
        <f aca="false">IF(OR($H97="",$H97=0),"",$A97&amp;"|N|"&amp;$H97)</f>
        <v/>
      </c>
      <c r="J97" s="9" t="str">
        <f aca="false">IF($B97="","",SUMPRODUCT(MIN((Raw!$A$2:$A$1001=$A97)*(Raw!$R$2:$R$1001="C")*Raw!$D$2:$D$1001+(1-(Raw!$A$2:$A$1001=$A97)*(Raw!$R$2:$R$1001="C"))*9999)))</f>
        <v/>
      </c>
      <c r="K97" s="9" t="str">
        <f aca="false">IF(OR($J97="",$J97=0,$J97=9999),"",$A97&amp;"|C|"&amp;$J97)</f>
        <v/>
      </c>
      <c r="L97" s="16" t="str">
        <f aca="false">IF($I97="","",IF(INDEX(Raw!$I$2:$I$1001,MATCH($I97,Raw!$S$2:$S$1001,0))&lt;&gt;0,"",INDEX(Raw!$H$2:$H$1001,MATCH($I97,Raw!$S$2:$S$1001,0))))</f>
        <v/>
      </c>
      <c r="M97" s="19" t="str">
        <f aca="false">IF($I97="","",IF(INDEX(Raw!$I$2:$I$1001,MATCH($I97,Raw!$S$2:$S$1001,0))&lt;&gt;0,"",INDEX(Raw!$F$2:$F$1001,MATCH($I97,Raw!$S$2:$S$1001,0))))</f>
        <v/>
      </c>
      <c r="N97" s="20" t="str">
        <f aca="false">IF($I97="","",IF(INDEX(Raw!$I$2:$I$1001,MATCH($I97,Raw!$S$2:$S$1001,0))&lt;&gt;0,"",INDEX(Raw!$G$2:$G$1001,MATCH($I97,Raw!$S$2:$S$1001,0))))</f>
        <v/>
      </c>
      <c r="O97" s="16" t="str">
        <f aca="false">IF($I97="","",IF(INDEX(Raw!$I$2:$I$1001,MATCH($I97,Raw!$S$2:$S$1001,0))&lt;&gt;0,"",INDEX(Raw!$N$2:$N$1001,MATCH($I97,Raw!$S$2:$S$1001,0))))</f>
        <v/>
      </c>
      <c r="P97" s="16" t="str">
        <f aca="false">IF($K97="","",IF(INDEX(Raw!$I$2:$I$1001,MATCH($K97,Raw!$S$2:$S$1001,0))&lt;&gt;0,"",INDEX(Raw!$K$2:$K$1001,MATCH($K97,Raw!$S$2:$S$1001,0))))</f>
        <v/>
      </c>
      <c r="Q97" s="19" t="str">
        <f aca="false">IF($K97="","",IF(INDEX(Raw!$I$2:$I$1001,MATCH($K97,Raw!$S$2:$S$1001,0))&lt;&gt;0,"",INDEX(Raw!$J$2:$J$1001,MATCH($K97,Raw!$S$2:$S$1001,0))))</f>
        <v/>
      </c>
      <c r="R97" s="16" t="str">
        <f aca="false">IF($K97="","",IF(INDEX(Raw!$I$2:$I$1001,MATCH($K97,Raw!$S$2:$S$1001,0))&lt;&gt;0,"",INDEX(Raw!$O$2:$O$1001,MATCH($K97,Raw!$S$2:$S$1001,0))))</f>
        <v/>
      </c>
      <c r="S97" s="21" t="str">
        <f aca="false">IF($B97="","",IF($C97=0,"",IF(INDEX(Setup!$D$37:$D$49,$C97-36)="","",INDEX(Setup!$D$37:$D$49,$C97-36))))</f>
        <v/>
      </c>
      <c r="T97" s="21" t="str">
        <f aca="false">IF($B97="","",IF($C97=0,"",IF(INDEX(Setup!$C$37:$C$49,$C97-36)="","",INDEX(Setup!$C$37:$C$49,$C97-36))))</f>
        <v/>
      </c>
      <c r="U97" s="21" t="str">
        <f aca="false">IF($B97="","",IF($C97=0,"",IF(INDEX(Setup!$F$37:$F$49,$C97-36)="","",INDEX(Setup!$F$37:$F$49,$C97-36))))</f>
        <v/>
      </c>
      <c r="V97" s="21" t="str">
        <f aca="false">IF($B97="","",IF($C97=0,"",IF(INDEX(Setup!$E$37:$E$49,$C97-36)="","",INDEX(Setup!$E$37:$E$49,$C97-36))))</f>
        <v/>
      </c>
      <c r="W97" s="16" t="str">
        <f aca="false">IF($O97="","",IF(OR(Fits!$C$5&lt;&gt;"Yes",$D97="Blank",$L97&lt;=Fits!$B$6),$O97,($L97*$O97-Fits!$B$6*Fits!$B$7)/($L97-Fits!$B$6)))</f>
        <v/>
      </c>
      <c r="X97" s="16" t="str">
        <f aca="false">IF($W97="","",$W97-Fits!$B$20*($L97-Fits!$B$16))</f>
        <v/>
      </c>
      <c r="Y97" s="22" t="str">
        <f aca="false">IF($W97="","",IF(OR(Fits!$B$38="Row",$BI97=""),$A97,$BI97))</f>
        <v/>
      </c>
      <c r="Z97" s="16" t="str">
        <f aca="false">IF($X97="","",$X97-Fits!$B$39*($Y97-Fits!$B$40))</f>
        <v/>
      </c>
      <c r="AA97" s="23" t="str">
        <f aca="false">IF(OR($Z97="",Fits!$B$55&lt;2),"",Fits!$B$56*$Z97+Fits!$B$57)</f>
        <v/>
      </c>
      <c r="AB97" s="16" t="str">
        <f aca="false">IF($R97="","",IF(OR(Fits!$C$9&lt;&gt;"Yes",$D97="Blank",$P97&lt;=Fits!$B$10),$R97,($P97*$R97-Fits!$B$10*Fits!$B$11)/($P97-Fits!$B$10)))</f>
        <v/>
      </c>
      <c r="AC97" s="16" t="str">
        <f aca="false">IF($AB97="","",$AB97-Fits!$B$28*($P97-Fits!$B$24))</f>
        <v/>
      </c>
      <c r="AD97" s="22" t="str">
        <f aca="false">IF($AB97="","",IF(OR(Fits!$B$50="Row",$BI97=""),$A97,$BI97))</f>
        <v/>
      </c>
      <c r="AE97" s="16" t="str">
        <f aca="false">IF($AC97="","",$AC97-Fits!$B$51*($AD97-Fits!$B$52))</f>
        <v/>
      </c>
      <c r="AF97" s="23" t="str">
        <f aca="false">IF(OR($AE97="",Fits!$B$62&lt;2),"",Fits!$B$63*$AE97+Fits!$B$64)</f>
        <v/>
      </c>
      <c r="AG97" s="21" t="str">
        <f aca="false">IF(OR($L97="",Fits!$B$69&lt;3),"",($L97-Fits!$B$71)/Fits!$B$70)</f>
        <v/>
      </c>
      <c r="AH97" s="21" t="str">
        <f aca="false">IF(OR($P97="",Fits!$B$75&lt;3),"",($P97-Fits!$B$77)/Fits!$B$76)</f>
        <v/>
      </c>
      <c r="AI97" s="23" t="str">
        <f aca="false">IF(OR($AG97="",$G97="",$G97=0),"",$AG97/($G97*1000)*100)</f>
        <v/>
      </c>
      <c r="AJ97" s="23" t="str">
        <f aca="false">IF(OR($AH97="",$G97="",$G97=0),"",$AH97/($G97*1000)*100)</f>
        <v/>
      </c>
      <c r="AK97" s="23" t="str">
        <f aca="false">IF(OR($AG97="",$AH97="",$AG97&lt;=0),"",($AH97/Setup!$B$52)/($AG97/Setup!$B$53))</f>
        <v/>
      </c>
      <c r="AL97" s="23" t="str">
        <f aca="false">IF(OR($AG97="",$AH97="",$AG97&lt;=0),"",$AH97/$AG97)</f>
        <v/>
      </c>
      <c r="AM97" s="9" t="str">
        <f aca="false">IF($D97="Linearity",IF($L97="","",$L97),"")</f>
        <v/>
      </c>
      <c r="AN97" s="9" t="str">
        <f aca="false">IF($D97="Linearity",IF($W97="","",$W97),"")</f>
        <v/>
      </c>
      <c r="AO97" s="9" t="str">
        <f aca="false">IF($D97="Linearity",IF($P97="","",$P97),"")</f>
        <v/>
      </c>
      <c r="AP97" s="9" t="str">
        <f aca="false">IF($D97="Linearity",IF($AB97="","",$AB97),"")</f>
        <v/>
      </c>
      <c r="AQ97" s="9" t="str">
        <f aca="false">IF($D97="Drift",IF($A97&lt;IF(Setup!$B$14="",0,Setup!$B$14),"",$A97),"")</f>
        <v/>
      </c>
      <c r="AR97" s="9" t="str">
        <f aca="false">IF($D97="Drift",IF($A97&lt;IF(Setup!$B$14="",0,Setup!$B$14),"",IF($BI97="","",$BI97)),"")</f>
        <v/>
      </c>
      <c r="AS97" s="9" t="str">
        <f aca="false">IF($D97="Drift",IF($A97&lt;IF(Setup!$B$14="",0,Setup!$B$14),"",IF(OR($X97="",$BX97=1),"",$X97)),"")</f>
        <v/>
      </c>
      <c r="AT97" s="9" t="str">
        <f aca="false">IF($D97="Drift",IF($A97&lt;IF(Setup!$B$14="",0,Setup!$B$14),"",IF(OR($AC97="",$BY97=1),"",$AC97)),"")</f>
        <v/>
      </c>
      <c r="AU97" s="9" t="str">
        <f aca="false">IF($D97="Anchor",IF(OR($Z97="",$S97=""),"",$Z97),"")</f>
        <v/>
      </c>
      <c r="AV97" s="9" t="str">
        <f aca="false">IF($D97="Anchor",IF(OR($Z97="",$S97=""),"",$S97),"")</f>
        <v/>
      </c>
      <c r="AW97" s="9" t="str">
        <f aca="false">IF($D97="Anchor",IF(OR($AE97="",$T97=""),"",$AE97),"")</f>
        <v/>
      </c>
      <c r="AX97" s="9" t="str">
        <f aca="false">IF($D97="Anchor",IF(OR($AE97="",$T97=""),"",$T97),"")</f>
        <v/>
      </c>
      <c r="AY97" s="9" t="str">
        <f aca="false">IF(OR($D97="Blank",$D97="Exclude",$D97="Sample",$D97="",$G97="",$U97="",$L97=""),"",$G97*1000*$U97/100)</f>
        <v/>
      </c>
      <c r="AZ97" s="9" t="str">
        <f aca="false">IF($AY97="","",$L97)</f>
        <v/>
      </c>
      <c r="BA97" s="9" t="str">
        <f aca="false">IF(OR($D97="Blank",$D97="Exclude",$D97="Sample",$D97="",$G97="",$V97="",$P97=""),"",$G97*1000*$V97/100)</f>
        <v/>
      </c>
      <c r="BB97" s="9" t="str">
        <f aca="false">IF($BA97="","",$P97)</f>
        <v/>
      </c>
      <c r="BC97" s="9" t="str">
        <f aca="false">IF(AND($D97="Blank",$L97&lt;&gt;""),$O97,"")</f>
        <v/>
      </c>
      <c r="BD97" s="9" t="str">
        <f aca="false">IF($BC97="","",$L97)</f>
        <v/>
      </c>
      <c r="BE97" s="9" t="str">
        <f aca="false">IF(AND($D97="Blank",$P97&lt;&gt;""),$R97,"")</f>
        <v/>
      </c>
      <c r="BF97" s="9" t="str">
        <f aca="false">IF($BE97="","",$P97)</f>
        <v/>
      </c>
      <c r="BG97" s="9" t="str">
        <f aca="false">IF(AND($D97="Drift",$BX97&lt;&gt;1),IF($AA97="","",$AA97),"")</f>
        <v/>
      </c>
      <c r="BH97" s="9" t="str">
        <f aca="false">IF(AND($D97="Drift",$BY97&lt;&gt;1),IF($AF97="","",$AF97),"")</f>
        <v/>
      </c>
      <c r="BI97" s="20" t="str">
        <f aca="false">IF($B97="","",IFERROR(INDEX(Raw!$G$2:$G$1001,MATCH($A97&amp;"|N|"&amp;SUMPRODUCT(MAX((Raw!$A$2:$A$1001=$A97)*(Raw!$R$2:$R$1001="N")*(Raw!$I$2:$I$1001=1)*Raw!$D$2:$D$1001)),Raw!$S$2:$S$1001,0)),""))</f>
        <v/>
      </c>
      <c r="BJ97" s="21" t="str">
        <f aca="false">IF(OR($BI97="",Fits!$B$85&lt;=0),"",($BI97-Fits!$B$83)/Fits!$B$85)</f>
        <v/>
      </c>
      <c r="BK97" s="9" t="str">
        <f aca="false">IF($AS97="","",IF($A97&gt;=Fits!$B$86,"",$A97))</f>
        <v/>
      </c>
      <c r="BL97" s="9" t="str">
        <f aca="false">IF($BK97="","",$X97)</f>
        <v/>
      </c>
      <c r="BM97" s="9" t="str">
        <f aca="false">IF($AS97="","",IF($A97&lt;Fits!$B$86,"",$A97))</f>
        <v/>
      </c>
      <c r="BN97" s="9" t="str">
        <f aca="false">IF($BM97="","",$X97)</f>
        <v/>
      </c>
      <c r="BO97" s="9" t="str">
        <f aca="false">IF(AND($D97="Drift",$BX97&lt;&gt;1),IF($O97="","",$O97),"")</f>
        <v/>
      </c>
      <c r="BP97" s="9" t="str">
        <f aca="false">IF(AND($D97="Drift",$BX97&lt;&gt;1),IF($W97="","",$W97),"")</f>
        <v/>
      </c>
      <c r="BQ97" s="9" t="str">
        <f aca="false">IF(AND($D97="Drift",$BX97&lt;&gt;1),IF($X97="","",$X97),"")</f>
        <v/>
      </c>
      <c r="BR97" s="9" t="str">
        <f aca="false">IF(AND($D97="Drift",$BX97&lt;&gt;1),IF($Z97="","",$Z97),"")</f>
        <v/>
      </c>
      <c r="BS97" s="9" t="str">
        <f aca="false">IF(OR($B97="",$H97=""),"",SUMPRODUCT(MIN((Raw!$A$2:$A$1001=$A97)*(Raw!$R$2:$R$1001="N")*(Raw!$I$2:$I$1001=0)*(Raw!$D$2:$D$1001&lt;$H97)*Raw!$D$2:$D$1001+(1-(Raw!$A$2:$A$1001=$A97)*(Raw!$R$2:$R$1001="N")*(Raw!$I$2:$I$1001=0)*(Raw!$D$2:$D$1001&lt;$H97))*9999)))</f>
        <v/>
      </c>
      <c r="BT97" s="16" t="str">
        <f aca="false">IF(OR($BS97="",$BS97=9999,$BS97=0),"",IFERROR(INDEX(Raw!$N$2:$N$1001,MATCH($A97&amp;"|N|"&amp;$BS97,Raw!$S$2:$S$1001,0)),""))</f>
        <v/>
      </c>
      <c r="BU97" s="9" t="str">
        <f aca="false">IF($B97="","",SUMPRODUCT(MIN((Raw!$A$2:$A$1001=$A97)*(Raw!$R$2:$R$1001="C")*(Raw!$I$2:$I$1001=1)*Raw!$D$2:$D$1001+(1-(Raw!$A$2:$A$1001=$A97)*(Raw!$R$2:$R$1001="C")*(Raw!$I$2:$I$1001=1))*9999)))</f>
        <v/>
      </c>
      <c r="BV97" s="9" t="str">
        <f aca="false">IF(OR($BU97="",$BU97=9999),"",SUMPRODUCT(MIN((Raw!$A$2:$A$1001=$A97)*(Raw!$R$2:$R$1001="C")*(Raw!$I$2:$I$1001=0)*(Raw!$D$2:$D$1001&gt;$BU97)*Raw!$D$2:$D$1001+(1-(Raw!$A$2:$A$1001=$A97)*(Raw!$R$2:$R$1001="C")*(Raw!$I$2:$I$1001=0)*(Raw!$D$2:$D$1001&gt;$BU97))*9999)))</f>
        <v/>
      </c>
      <c r="BW97" s="16" t="str">
        <f aca="false">IF(OR($BV97="",$BV97=9999,$BV97=0),"",IFERROR(INDEX(Raw!$O$2:$O$1001,MATCH($A97&amp;"|C|"&amp;$BV97,Raw!$S$2:$S$1001,0)),""))</f>
        <v/>
      </c>
      <c r="BX97" s="9" t="str">
        <f aca="false">IF($B97="","",IF(ISNUMBER(SEARCH(","&amp;$A97&amp;",",","&amp;SUBSTITUTE(Setup!$B$16," ","")&amp;",")),1,0))</f>
        <v/>
      </c>
      <c r="BY97" s="9" t="str">
        <f aca="false">IF($B97="","",IF(ISNUMBER(SEARCH(","&amp;$A97&amp;",",","&amp;SUBSTITUTE(Setup!$B$17," ","")&amp;",")),1,0))</f>
        <v/>
      </c>
      <c r="BZ97" s="22" t="str">
        <f aca="false">IF($AS97="","",IF(Fits!$B$38="Row",$AQ97,IF($AR97="","",$AR97)))</f>
        <v/>
      </c>
      <c r="CA97" s="22" t="str">
        <f aca="false">IF($AT97="","",IF(Fits!$B$50="Row",$AQ97,IF($AR97="","",$AR97)))</f>
        <v/>
      </c>
      <c r="CB97" s="20" t="str">
        <f aca="false">IF(OR($D97&lt;&gt;"Drift",$X97="",$A97&lt;IF(Setup!$B$14="",0,Setup!$B$14),Fits!$B$107&lt;3,Fits!$B$110="",Fits!$B$109=0,IF(Fits!$B$38="Row",$AQ97,$AR97)=""),"",IF($BX97=1,IF(OR(Fits!$B$111="",Fits!$B$111=0),"",($X97-(IF(Fits!$B$38="Row",Fits!$B$32,Fits!$B$35)*IF(Fits!$B$38="Row",$AQ97,$AR97)+Fits!$B$110))/(Fits!$B$111*SQRT(1+(1/Fits!$B$107+(IF(Fits!$B$38="Row",$AQ97,$AR97)-Fits!$B$108)^2/Fits!$B$109)))),IF(OR(Fits!$B$107&lt;4,(1/Fits!$B$107+(IF(Fits!$B$38="Row",$AQ97,$AR97)-Fits!$B$108)^2/Fits!$B$109)&gt;=1),"",IF((Fits!$B$116-($X97-(IF(Fits!$B$38="Row",Fits!$B$32,Fits!$B$35)*IF(Fits!$B$38="Row",$AQ97,$AR97)+Fits!$B$110))^2/(1-(1/Fits!$B$107+(IF(Fits!$B$38="Row",$AQ97,$AR97)-Fits!$B$108)^2/Fits!$B$109)))&lt;=0,"",($X97-(IF(Fits!$B$38="Row",Fits!$B$32,Fits!$B$35)*IF(Fits!$B$38="Row",$AQ97,$AR97)+Fits!$B$110))/(SQRT((Fits!$B$116-($X97-(IF(Fits!$B$38="Row",Fits!$B$32,Fits!$B$35)*IF(Fits!$B$38="Row",$AQ97,$AR97)+Fits!$B$110))^2/(1-(1/Fits!$B$107+(IF(Fits!$B$38="Row",$AQ97,$AR97)-Fits!$B$108)^2/Fits!$B$109)))/(Fits!$B$107-3))*SQRT(1-(1/Fits!$B$107+(IF(Fits!$B$38="Row",$AQ97,$AR97)-Fits!$B$108)^2/Fits!$B$109)))))))</f>
        <v/>
      </c>
      <c r="CC97" s="20" t="str">
        <f aca="false">IF(OR($D97&lt;&gt;"Drift",$AC97="",$A97&lt;IF(Setup!$B$14="",0,Setup!$B$14),Fits!$B$120&lt;3,Fits!$B$123="",Fits!$B$122=0,IF(Fits!$B$50="Row",$AQ97,$AR97)=""),"",IF($BY97=1,IF(OR(Fits!$B$124="",Fits!$B$124=0),"",($AC97-(IF(Fits!$B$50="Row",Fits!$B$44,Fits!$B$47)*IF(Fits!$B$50="Row",$AQ97,$AR97)+Fits!$B$123))/(Fits!$B$124*SQRT(1+(1/Fits!$B$120+(IF(Fits!$B$50="Row",$AQ97,$AR97)-Fits!$B$121)^2/Fits!$B$122)))),IF(OR(Fits!$B$120&lt;4,(1/Fits!$B$120+(IF(Fits!$B$50="Row",$AQ97,$AR97)-Fits!$B$121)^2/Fits!$B$122)&gt;=1),"",IF((Fits!$B$129-($AC97-(IF(Fits!$B$50="Row",Fits!$B$44,Fits!$B$47)*IF(Fits!$B$50="Row",$AQ97,$AR97)+Fits!$B$123))^2/(1-(1/Fits!$B$120+(IF(Fits!$B$50="Row",$AQ97,$AR97)-Fits!$B$121)^2/Fits!$B$122)))&lt;=0,"",($AC97-(IF(Fits!$B$50="Row",Fits!$B$44,Fits!$B$47)*IF(Fits!$B$50="Row",$AQ97,$AR97)+Fits!$B$123))/(SQRT((Fits!$B$129-($AC97-(IF(Fits!$B$50="Row",Fits!$B$44,Fits!$B$47)*IF(Fits!$B$50="Row",$AQ97,$AR97)+Fits!$B$123))^2/(1-(1/Fits!$B$120+(IF(Fits!$B$50="Row",$AQ97,$AR97)-Fits!$B$121)^2/Fits!$B$122)))/(Fits!$B$120-3))*SQRT(1-(1/Fits!$B$120+(IF(Fits!$B$50="Row",$AQ97,$AR97)-Fits!$B$121)^2/Fits!$B$122)))))))</f>
        <v/>
      </c>
      <c r="CD97" s="9" t="str">
        <f aca="false">IF($AU97="","",1)</f>
        <v/>
      </c>
      <c r="CE97" s="24" t="str">
        <f aca="false">IF($AU97="","",$AU97-Fits!$B$133)</f>
        <v/>
      </c>
      <c r="CF97" s="24" t="str">
        <f aca="false">IF($AU97="","",($AV97-(Fits!$B$56*$AU97+Fits!$B$57))-Fits!$B$56*($AU97-Fits!$B$133))</f>
        <v/>
      </c>
      <c r="CG97" s="25" t="str">
        <f aca="false">IF($AU97="","",$AU97^2)</f>
        <v/>
      </c>
      <c r="CH97" s="9" t="str">
        <f aca="false">IF($AW97="","",1)</f>
        <v/>
      </c>
      <c r="CI97" s="24" t="str">
        <f aca="false">IF($AW97="","",$AW97-Fits!$B$153)</f>
        <v/>
      </c>
      <c r="CJ97" s="24" t="str">
        <f aca="false">IF($AW97="","",($AX97-(Fits!$B$63*$AW97+Fits!$B$64))-Fits!$B$63*($AW97-Fits!$B$153))</f>
        <v/>
      </c>
      <c r="CK97" s="25" t="str">
        <f aca="false">IF($AW97="","",$AW97^2)</f>
        <v/>
      </c>
      <c r="CL97" s="26" t="str">
        <f aca="false">IF(OR($Z97="",Fits!$B$55&lt;3,Fits!$B$133="",Fits!$B$134="",Fits!$B$134=0,Fits!$B$136=""),"",SQRT((Fits!$B$136*Fits!$B$56)^2+SUMPRODUCT((Fits!$J$163:$J$175*(Fits!$B$163:$B$175/Fits!$B$55+Fits!$H$163:$H$175*($Z97-Fits!$B$133)/Fits!$B$134))^2)+SUMPRODUCT((Fits!$G$163:$G$175*(($Z97-Fits!$B$133)*Fits!$I$163:$I$175/Fits!$B$134-Fits!$B$163:$B$175*Fits!$B$56/Fits!$B$55))^2)))</f>
        <v/>
      </c>
      <c r="CM97" s="26" t="str">
        <f aca="false">IF($CL97="","",Setup!$B$32*$CL97)</f>
        <v/>
      </c>
      <c r="CN97" s="26" t="str">
        <f aca="false">IF(OR($AE97="",Fits!$B$62&lt;3,Fits!$B$153="",Fits!$B$154="",Fits!$B$154=0,Fits!$B$156=""),"",SQRT((Fits!$B$156*Fits!$B$63)^2+SUMPRODUCT((Fits!$J$183:$J$195*(Fits!$B$183:$B$195/Fits!$B$62+Fits!$H$183:$H$195*($AE97-Fits!$B$153)/Fits!$B$154))^2)+SUMPRODUCT((Fits!$G$183:$G$195*(($AE97-Fits!$B$153)*Fits!$I$183:$I$195/Fits!$B$154-Fits!$B$183:$B$195*Fits!$B$63/Fits!$B$62))^2)))</f>
        <v/>
      </c>
      <c r="CO97" s="26" t="str">
        <f aca="false">IF($CN97="","",Setup!$B$32*$CN97)</f>
        <v/>
      </c>
      <c r="CP97" s="9" t="n">
        <f aca="false">IF(OR(NOT(ISNUMBER($BJ97)),$EK97=1),$CP96,IF($BJ97&lt;=Setup!$B$26,$CP96+1,0))</f>
        <v>26</v>
      </c>
      <c r="CQ97" s="9" t="str">
        <f aca="false">IF($BT97="","",$A97)</f>
        <v/>
      </c>
      <c r="CR97" s="9" t="str">
        <f aca="false">IF($BW97="","",$A97)</f>
        <v/>
      </c>
      <c r="CS97" s="9" t="str">
        <f aca="false">IF($B97="","",IF(Setup!$A$37="",0,IF(ISNUMBER(SEARCH(Setup!$A$37,$B97)),37,0)))</f>
        <v/>
      </c>
      <c r="CT97" s="9" t="str">
        <f aca="false">IF($B97="","",IF(Setup!$A$38="",0,IF(ISNUMBER(SEARCH(Setup!$A$38,$B97)),38,0)))</f>
        <v/>
      </c>
      <c r="CU97" s="9" t="str">
        <f aca="false">IF($B97="","",IF(Setup!$A$39="",0,IF(ISNUMBER(SEARCH(Setup!$A$39,$B97)),39,0)))</f>
        <v/>
      </c>
      <c r="CV97" s="9" t="str">
        <f aca="false">IF($B97="","",IF(Setup!$A$40="",0,IF(ISNUMBER(SEARCH(Setup!$A$40,$B97)),40,0)))</f>
        <v/>
      </c>
      <c r="CW97" s="9" t="str">
        <f aca="false">IF($B97="","",IF(Setup!$A$41="",0,IF(ISNUMBER(SEARCH(Setup!$A$41,$B97)),41,0)))</f>
        <v/>
      </c>
      <c r="CX97" s="9" t="str">
        <f aca="false">IF($B97="","",IF(Setup!$A$42="",0,IF(ISNUMBER(SEARCH(Setup!$A$42,$B97)),42,0)))</f>
        <v/>
      </c>
      <c r="CY97" s="9" t="str">
        <f aca="false">IF($B97="","",IF(Setup!$A$43="",0,IF(ISNUMBER(SEARCH(Setup!$A$43,$B97)),43,0)))</f>
        <v/>
      </c>
      <c r="CZ97" s="9" t="str">
        <f aca="false">IF($B97="","",IF(Setup!$A$44="",0,IF(ISNUMBER(SEARCH(Setup!$A$44,$B97)),44,0)))</f>
        <v/>
      </c>
      <c r="DA97" s="9" t="str">
        <f aca="false">IF($B97="","",IF(Setup!$A$45="",0,IF(ISNUMBER(SEARCH(Setup!$A$45,$B97)),45,0)))</f>
        <v/>
      </c>
      <c r="DB97" s="9" t="str">
        <f aca="false">IF($B97="","",IF(Setup!$A$46="",0,IF(ISNUMBER(SEARCH(Setup!$A$46,$B97)),46,0)))</f>
        <v/>
      </c>
      <c r="DC97" s="9" t="str">
        <f aca="false">IF($B97="","",IF(Setup!$A$47="",0,IF(ISNUMBER(SEARCH(Setup!$A$47,$B97)),47,0)))</f>
        <v/>
      </c>
      <c r="DD97" s="9" t="str">
        <f aca="false">IF($B97="","",IF(Setup!$A$48="",0,IF(ISNUMBER(SEARCH(Setup!$A$48,$B97)),48,0)))</f>
        <v/>
      </c>
      <c r="DE97" s="9" t="str">
        <f aca="false">IF($B97="","",IF(Setup!$A$49="",0,IF(ISNUMBER(SEARCH(Setup!$A$49,$B97)),49,0)))</f>
        <v/>
      </c>
      <c r="DF97" s="9" t="e">
        <f aca="false">IF($B97="",NA(),$A97)</f>
        <v>#N/A</v>
      </c>
      <c r="DG97" s="9" t="e">
        <f aca="false">IF($BI97="",NA(),$BI97)</f>
        <v>#N/A</v>
      </c>
      <c r="DH97" s="9" t="e">
        <f aca="false">IF($N97="",NA(),$N97)</f>
        <v>#N/A</v>
      </c>
      <c r="DI97" s="9" t="e">
        <f aca="false">IF(AND($D97="Drift",$N97&lt;&gt;""),$N97,NA())</f>
        <v>#N/A</v>
      </c>
      <c r="DJ97" s="9" t="str">
        <f aca="false">IF(AND($D97="Drift",$N97&lt;&gt;""),$N97,"")</f>
        <v/>
      </c>
      <c r="DK97" s="9" t="str">
        <f aca="false">IF($DJ97="","",$A97)</f>
        <v/>
      </c>
      <c r="DL97" s="9" t="e">
        <f aca="false">IF($AN97="",NA(),$AM97)</f>
        <v>#N/A</v>
      </c>
      <c r="DM97" s="9" t="e">
        <f aca="false">IF($AN97="",NA(),$AN97)</f>
        <v>#N/A</v>
      </c>
      <c r="DN97" s="9" t="e">
        <f aca="false">IF(AND($D97="Sample",$L97&lt;&gt;""),$L97,NA())</f>
        <v>#N/A</v>
      </c>
      <c r="DO97" s="9" t="e">
        <f aca="false">IF(AND($D97="Sample",$L97&lt;&gt;"",Fits!$B$98&lt;&gt;""),Fits!$B$98,NA())</f>
        <v>#N/A</v>
      </c>
      <c r="DP97" s="9" t="e">
        <f aca="false">IF($AS97="",NA(),$AS97)</f>
        <v>#N/A</v>
      </c>
      <c r="DQ97" s="9" t="e">
        <f aca="false">IF(AND($D97="Drift",$AS97="",$X97&lt;&gt;""),$X97,NA())</f>
        <v>#N/A</v>
      </c>
      <c r="DR97" s="9" t="e">
        <f aca="false">IF(AND($D97="Drift",$Z97&lt;&gt;""),$Z97,NA())</f>
        <v>#N/A</v>
      </c>
      <c r="DS97" s="9" t="e">
        <f aca="false">IF(AND(OR($D97="Sample",$D97="Check"),$AA97&lt;&gt;""),$AA97,NA())</f>
        <v>#N/A</v>
      </c>
      <c r="DT97" s="9" t="e">
        <f aca="false">IF(OR($B97="",Fits!$B$138=""),NA(),Fits!$B$138)</f>
        <v>#N/A</v>
      </c>
      <c r="DU97" s="9" t="e">
        <f aca="false">IF(OR($B97="",Fits!$B$139=""),NA(),Fits!$B$139)</f>
        <v>#N/A</v>
      </c>
      <c r="DV97" s="9" t="e">
        <f aca="false">IF($BT97="",NA(),$BT97)</f>
        <v>#N/A</v>
      </c>
      <c r="DW97" s="9" t="e">
        <f aca="false">IF($AP97="",NA(),$AO97)</f>
        <v>#N/A</v>
      </c>
      <c r="DX97" s="9" t="e">
        <f aca="false">IF($AP97="",NA(),$AP97)</f>
        <v>#N/A</v>
      </c>
      <c r="DY97" s="9" t="e">
        <f aca="false">IF(AND($D97="Sample",$P97&lt;&gt;""),$P97,NA())</f>
        <v>#N/A</v>
      </c>
      <c r="DZ97" s="9" t="e">
        <f aca="false">IF(AND($D97="Sample",$P97&lt;&gt;"",Fits!$B$105&lt;&gt;""),Fits!$B$105,NA())</f>
        <v>#N/A</v>
      </c>
      <c r="EA97" s="9" t="e">
        <f aca="false">IF($AT97="",NA(),$AT97)</f>
        <v>#N/A</v>
      </c>
      <c r="EB97" s="9" t="e">
        <f aca="false">IF(AND($D97="Drift",$AT97="",$AC97&lt;&gt;""),$AC97,NA())</f>
        <v>#N/A</v>
      </c>
      <c r="EC97" s="9" t="e">
        <f aca="false">IF(AND($D97="Drift",$AE97&lt;&gt;""),$AE97,NA())</f>
        <v>#N/A</v>
      </c>
      <c r="ED97" s="9" t="e">
        <f aca="false">IF(AND(OR($D97="Sample",$D97="Check"),$AF97&lt;&gt;""),$AF97,NA())</f>
        <v>#N/A</v>
      </c>
      <c r="EE97" s="9" t="e">
        <f aca="false">IF(OR($B97="",Fits!$B$158=""),NA(),Fits!$B$158)</f>
        <v>#N/A</v>
      </c>
      <c r="EF97" s="9" t="e">
        <f aca="false">IF(OR($B97="",Fits!$B$159=""),NA(),Fits!$B$159)</f>
        <v>#N/A</v>
      </c>
      <c r="EG97" s="9" t="e">
        <f aca="false">IF($BW97="",NA(),$BW97)</f>
        <v>#N/A</v>
      </c>
      <c r="EH97" s="9" t="e">
        <f aca="false">IF(AND($EN97=1,ISNUMBER($N97)),$N97,NA())</f>
        <v>#N/A</v>
      </c>
      <c r="EI97" s="9" t="str">
        <f aca="false">IF($B97="","",$A97)</f>
        <v/>
      </c>
      <c r="EJ97" s="9" t="n">
        <f aca="false">IF(OR(AND(ISNUMBER($L97),Fits!$B$97&gt;0,$L97&gt;Fits!$B$97),AND(ISNUMBER($P97),Fits!$B$104&gt;0,$P97&gt;Fits!$B$104)),1,0)</f>
        <v>0</v>
      </c>
      <c r="EK97" s="9" t="n">
        <f aca="false">IF(OR($EJ96=1,$EJ95=1),1,0)</f>
        <v>0</v>
      </c>
      <c r="EL97" s="22" t="n">
        <f aca="false">IF(AND($EK97=0,ISNUMBER($N97)),$N97,$EL96)</f>
        <v>25.7</v>
      </c>
      <c r="EM97" s="9" t="str">
        <f aca="false">IF(AND($EK97=1,ISNUMBER($N97),ISNUMBER($EL97)),$N97-$EL97,"")</f>
        <v/>
      </c>
      <c r="EN97" s="9" t="n">
        <f aca="false">IF(Setup!$B$28="",0,IF(ISNUMBER($EM97),IF($EM97&gt;Setup!$B$28,1,0),0))</f>
        <v>0</v>
      </c>
      <c r="EO97" s="9" t="str">
        <f aca="false">IF($EN97=1,COUNTIF($EN$6:$EN97,1),"")</f>
        <v/>
      </c>
      <c r="EP97" s="9" t="n">
        <f aca="false">IF(AND($EJ96=1,OR($D97="Sample",$D97="Check")),1,0)</f>
        <v>0</v>
      </c>
      <c r="EQ97" s="9" t="str">
        <f aca="false">IF(ISNUMBER($BI97),IF(COUNT($BI$6:$BI97)&lt;=5,$BI97,""),"")</f>
        <v/>
      </c>
      <c r="ER97" s="9" t="n">
        <f aca="false">IF(OR(NOT(ISNUMBER($BJ97)),$EK97=1),$ER96,IF($BJ97&lt;=Setup!$B$26,IF($CP96=0,$A97,$ER96),""))</f>
        <v>27</v>
      </c>
    </row>
    <row r="98" customFormat="false" ht="15" hidden="false" customHeight="false" outlineLevel="0" collapsed="false">
      <c r="A98" s="8" t="n">
        <v>93</v>
      </c>
      <c r="B98" s="8" t="str">
        <f aca="false">IFERROR(INDEX(Raw!$B$2:$B$1001,MATCH($A98,Raw!$A$2:$A$1001,0)),"")</f>
        <v/>
      </c>
      <c r="C98" s="9" t="str">
        <f aca="false">IF($B98="","",MAX($CS98:$DE98))</f>
        <v/>
      </c>
      <c r="D98" s="8" t="str">
        <f aca="false">IF($B98="","",IF($C98=0,"Sample",INDEX(Setup!$B$37:$B$49,$C98-36)))</f>
        <v/>
      </c>
      <c r="E98" s="16" t="str">
        <f aca="false">IF($B98="","",IFERROR(IF(INDEX(Raw!$E$2:$E$1001,MATCH($A98,Raw!$A$2:$A$1001,0))=0,"",INDEX(Raw!$E$2:$E$1001,MATCH($A98,Raw!$A$2:$A$1001,0))),""))</f>
        <v/>
      </c>
      <c r="F98" s="18"/>
      <c r="G98" s="16" t="str">
        <f aca="false">IF($B98="","",IF($F98&lt;&gt;"",$F98,IF($E98="","",$E98)))</f>
        <v/>
      </c>
      <c r="H98" s="9" t="str">
        <f aca="false">IF($B98="","",SUMPRODUCT(MAX((Raw!$A$2:$A$1001=$A98)*(Raw!$R$2:$R$1001="N")*Raw!$D$2:$D$1001)))</f>
        <v/>
      </c>
      <c r="I98" s="9" t="str">
        <f aca="false">IF(OR($H98="",$H98=0),"",$A98&amp;"|N|"&amp;$H98)</f>
        <v/>
      </c>
      <c r="J98" s="9" t="str">
        <f aca="false">IF($B98="","",SUMPRODUCT(MIN((Raw!$A$2:$A$1001=$A98)*(Raw!$R$2:$R$1001="C")*Raw!$D$2:$D$1001+(1-(Raw!$A$2:$A$1001=$A98)*(Raw!$R$2:$R$1001="C"))*9999)))</f>
        <v/>
      </c>
      <c r="K98" s="9" t="str">
        <f aca="false">IF(OR($J98="",$J98=0,$J98=9999),"",$A98&amp;"|C|"&amp;$J98)</f>
        <v/>
      </c>
      <c r="L98" s="16" t="str">
        <f aca="false">IF($I98="","",IF(INDEX(Raw!$I$2:$I$1001,MATCH($I98,Raw!$S$2:$S$1001,0))&lt;&gt;0,"",INDEX(Raw!$H$2:$H$1001,MATCH($I98,Raw!$S$2:$S$1001,0))))</f>
        <v/>
      </c>
      <c r="M98" s="19" t="str">
        <f aca="false">IF($I98="","",IF(INDEX(Raw!$I$2:$I$1001,MATCH($I98,Raw!$S$2:$S$1001,0))&lt;&gt;0,"",INDEX(Raw!$F$2:$F$1001,MATCH($I98,Raw!$S$2:$S$1001,0))))</f>
        <v/>
      </c>
      <c r="N98" s="20" t="str">
        <f aca="false">IF($I98="","",IF(INDEX(Raw!$I$2:$I$1001,MATCH($I98,Raw!$S$2:$S$1001,0))&lt;&gt;0,"",INDEX(Raw!$G$2:$G$1001,MATCH($I98,Raw!$S$2:$S$1001,0))))</f>
        <v/>
      </c>
      <c r="O98" s="16" t="str">
        <f aca="false">IF($I98="","",IF(INDEX(Raw!$I$2:$I$1001,MATCH($I98,Raw!$S$2:$S$1001,0))&lt;&gt;0,"",INDEX(Raw!$N$2:$N$1001,MATCH($I98,Raw!$S$2:$S$1001,0))))</f>
        <v/>
      </c>
      <c r="P98" s="16" t="str">
        <f aca="false">IF($K98="","",IF(INDEX(Raw!$I$2:$I$1001,MATCH($K98,Raw!$S$2:$S$1001,0))&lt;&gt;0,"",INDEX(Raw!$K$2:$K$1001,MATCH($K98,Raw!$S$2:$S$1001,0))))</f>
        <v/>
      </c>
      <c r="Q98" s="19" t="str">
        <f aca="false">IF($K98="","",IF(INDEX(Raw!$I$2:$I$1001,MATCH($K98,Raw!$S$2:$S$1001,0))&lt;&gt;0,"",INDEX(Raw!$J$2:$J$1001,MATCH($K98,Raw!$S$2:$S$1001,0))))</f>
        <v/>
      </c>
      <c r="R98" s="16" t="str">
        <f aca="false">IF($K98="","",IF(INDEX(Raw!$I$2:$I$1001,MATCH($K98,Raw!$S$2:$S$1001,0))&lt;&gt;0,"",INDEX(Raw!$O$2:$O$1001,MATCH($K98,Raw!$S$2:$S$1001,0))))</f>
        <v/>
      </c>
      <c r="S98" s="21" t="str">
        <f aca="false">IF($B98="","",IF($C98=0,"",IF(INDEX(Setup!$D$37:$D$49,$C98-36)="","",INDEX(Setup!$D$37:$D$49,$C98-36))))</f>
        <v/>
      </c>
      <c r="T98" s="21" t="str">
        <f aca="false">IF($B98="","",IF($C98=0,"",IF(INDEX(Setup!$C$37:$C$49,$C98-36)="","",INDEX(Setup!$C$37:$C$49,$C98-36))))</f>
        <v/>
      </c>
      <c r="U98" s="21" t="str">
        <f aca="false">IF($B98="","",IF($C98=0,"",IF(INDEX(Setup!$F$37:$F$49,$C98-36)="","",INDEX(Setup!$F$37:$F$49,$C98-36))))</f>
        <v/>
      </c>
      <c r="V98" s="21" t="str">
        <f aca="false">IF($B98="","",IF($C98=0,"",IF(INDEX(Setup!$E$37:$E$49,$C98-36)="","",INDEX(Setup!$E$37:$E$49,$C98-36))))</f>
        <v/>
      </c>
      <c r="W98" s="16" t="str">
        <f aca="false">IF($O98="","",IF(OR(Fits!$C$5&lt;&gt;"Yes",$D98="Blank",$L98&lt;=Fits!$B$6),$O98,($L98*$O98-Fits!$B$6*Fits!$B$7)/($L98-Fits!$B$6)))</f>
        <v/>
      </c>
      <c r="X98" s="16" t="str">
        <f aca="false">IF($W98="","",$W98-Fits!$B$20*($L98-Fits!$B$16))</f>
        <v/>
      </c>
      <c r="Y98" s="22" t="str">
        <f aca="false">IF($W98="","",IF(OR(Fits!$B$38="Row",$BI98=""),$A98,$BI98))</f>
        <v/>
      </c>
      <c r="Z98" s="16" t="str">
        <f aca="false">IF($X98="","",$X98-Fits!$B$39*($Y98-Fits!$B$40))</f>
        <v/>
      </c>
      <c r="AA98" s="23" t="str">
        <f aca="false">IF(OR($Z98="",Fits!$B$55&lt;2),"",Fits!$B$56*$Z98+Fits!$B$57)</f>
        <v/>
      </c>
      <c r="AB98" s="16" t="str">
        <f aca="false">IF($R98="","",IF(OR(Fits!$C$9&lt;&gt;"Yes",$D98="Blank",$P98&lt;=Fits!$B$10),$R98,($P98*$R98-Fits!$B$10*Fits!$B$11)/($P98-Fits!$B$10)))</f>
        <v/>
      </c>
      <c r="AC98" s="16" t="str">
        <f aca="false">IF($AB98="","",$AB98-Fits!$B$28*($P98-Fits!$B$24))</f>
        <v/>
      </c>
      <c r="AD98" s="22" t="str">
        <f aca="false">IF($AB98="","",IF(OR(Fits!$B$50="Row",$BI98=""),$A98,$BI98))</f>
        <v/>
      </c>
      <c r="AE98" s="16" t="str">
        <f aca="false">IF($AC98="","",$AC98-Fits!$B$51*($AD98-Fits!$B$52))</f>
        <v/>
      </c>
      <c r="AF98" s="23" t="str">
        <f aca="false">IF(OR($AE98="",Fits!$B$62&lt;2),"",Fits!$B$63*$AE98+Fits!$B$64)</f>
        <v/>
      </c>
      <c r="AG98" s="21" t="str">
        <f aca="false">IF(OR($L98="",Fits!$B$69&lt;3),"",($L98-Fits!$B$71)/Fits!$B$70)</f>
        <v/>
      </c>
      <c r="AH98" s="21" t="str">
        <f aca="false">IF(OR($P98="",Fits!$B$75&lt;3),"",($P98-Fits!$B$77)/Fits!$B$76)</f>
        <v/>
      </c>
      <c r="AI98" s="23" t="str">
        <f aca="false">IF(OR($AG98="",$G98="",$G98=0),"",$AG98/($G98*1000)*100)</f>
        <v/>
      </c>
      <c r="AJ98" s="23" t="str">
        <f aca="false">IF(OR($AH98="",$G98="",$G98=0),"",$AH98/($G98*1000)*100)</f>
        <v/>
      </c>
      <c r="AK98" s="23" t="str">
        <f aca="false">IF(OR($AG98="",$AH98="",$AG98&lt;=0),"",($AH98/Setup!$B$52)/($AG98/Setup!$B$53))</f>
        <v/>
      </c>
      <c r="AL98" s="23" t="str">
        <f aca="false">IF(OR($AG98="",$AH98="",$AG98&lt;=0),"",$AH98/$AG98)</f>
        <v/>
      </c>
      <c r="AM98" s="9" t="str">
        <f aca="false">IF($D98="Linearity",IF($L98="","",$L98),"")</f>
        <v/>
      </c>
      <c r="AN98" s="9" t="str">
        <f aca="false">IF($D98="Linearity",IF($W98="","",$W98),"")</f>
        <v/>
      </c>
      <c r="AO98" s="9" t="str">
        <f aca="false">IF($D98="Linearity",IF($P98="","",$P98),"")</f>
        <v/>
      </c>
      <c r="AP98" s="9" t="str">
        <f aca="false">IF($D98="Linearity",IF($AB98="","",$AB98),"")</f>
        <v/>
      </c>
      <c r="AQ98" s="9" t="str">
        <f aca="false">IF($D98="Drift",IF($A98&lt;IF(Setup!$B$14="",0,Setup!$B$14),"",$A98),"")</f>
        <v/>
      </c>
      <c r="AR98" s="9" t="str">
        <f aca="false">IF($D98="Drift",IF($A98&lt;IF(Setup!$B$14="",0,Setup!$B$14),"",IF($BI98="","",$BI98)),"")</f>
        <v/>
      </c>
      <c r="AS98" s="9" t="str">
        <f aca="false">IF($D98="Drift",IF($A98&lt;IF(Setup!$B$14="",0,Setup!$B$14),"",IF(OR($X98="",$BX98=1),"",$X98)),"")</f>
        <v/>
      </c>
      <c r="AT98" s="9" t="str">
        <f aca="false">IF($D98="Drift",IF($A98&lt;IF(Setup!$B$14="",0,Setup!$B$14),"",IF(OR($AC98="",$BY98=1),"",$AC98)),"")</f>
        <v/>
      </c>
      <c r="AU98" s="9" t="str">
        <f aca="false">IF($D98="Anchor",IF(OR($Z98="",$S98=""),"",$Z98),"")</f>
        <v/>
      </c>
      <c r="AV98" s="9" t="str">
        <f aca="false">IF($D98="Anchor",IF(OR($Z98="",$S98=""),"",$S98),"")</f>
        <v/>
      </c>
      <c r="AW98" s="9" t="str">
        <f aca="false">IF($D98="Anchor",IF(OR($AE98="",$T98=""),"",$AE98),"")</f>
        <v/>
      </c>
      <c r="AX98" s="9" t="str">
        <f aca="false">IF($D98="Anchor",IF(OR($AE98="",$T98=""),"",$T98),"")</f>
        <v/>
      </c>
      <c r="AY98" s="9" t="str">
        <f aca="false">IF(OR($D98="Blank",$D98="Exclude",$D98="Sample",$D98="",$G98="",$U98="",$L98=""),"",$G98*1000*$U98/100)</f>
        <v/>
      </c>
      <c r="AZ98" s="9" t="str">
        <f aca="false">IF($AY98="","",$L98)</f>
        <v/>
      </c>
      <c r="BA98" s="9" t="str">
        <f aca="false">IF(OR($D98="Blank",$D98="Exclude",$D98="Sample",$D98="",$G98="",$V98="",$P98=""),"",$G98*1000*$V98/100)</f>
        <v/>
      </c>
      <c r="BB98" s="9" t="str">
        <f aca="false">IF($BA98="","",$P98)</f>
        <v/>
      </c>
      <c r="BC98" s="9" t="str">
        <f aca="false">IF(AND($D98="Blank",$L98&lt;&gt;""),$O98,"")</f>
        <v/>
      </c>
      <c r="BD98" s="9" t="str">
        <f aca="false">IF($BC98="","",$L98)</f>
        <v/>
      </c>
      <c r="BE98" s="9" t="str">
        <f aca="false">IF(AND($D98="Blank",$P98&lt;&gt;""),$R98,"")</f>
        <v/>
      </c>
      <c r="BF98" s="9" t="str">
        <f aca="false">IF($BE98="","",$P98)</f>
        <v/>
      </c>
      <c r="BG98" s="9" t="str">
        <f aca="false">IF(AND($D98="Drift",$BX98&lt;&gt;1),IF($AA98="","",$AA98),"")</f>
        <v/>
      </c>
      <c r="BH98" s="9" t="str">
        <f aca="false">IF(AND($D98="Drift",$BY98&lt;&gt;1),IF($AF98="","",$AF98),"")</f>
        <v/>
      </c>
      <c r="BI98" s="20" t="str">
        <f aca="false">IF($B98="","",IFERROR(INDEX(Raw!$G$2:$G$1001,MATCH($A98&amp;"|N|"&amp;SUMPRODUCT(MAX((Raw!$A$2:$A$1001=$A98)*(Raw!$R$2:$R$1001="N")*(Raw!$I$2:$I$1001=1)*Raw!$D$2:$D$1001)),Raw!$S$2:$S$1001,0)),""))</f>
        <v/>
      </c>
      <c r="BJ98" s="21" t="str">
        <f aca="false">IF(OR($BI98="",Fits!$B$85&lt;=0),"",($BI98-Fits!$B$83)/Fits!$B$85)</f>
        <v/>
      </c>
      <c r="BK98" s="9" t="str">
        <f aca="false">IF($AS98="","",IF($A98&gt;=Fits!$B$86,"",$A98))</f>
        <v/>
      </c>
      <c r="BL98" s="9" t="str">
        <f aca="false">IF($BK98="","",$X98)</f>
        <v/>
      </c>
      <c r="BM98" s="9" t="str">
        <f aca="false">IF($AS98="","",IF($A98&lt;Fits!$B$86,"",$A98))</f>
        <v/>
      </c>
      <c r="BN98" s="9" t="str">
        <f aca="false">IF($BM98="","",$X98)</f>
        <v/>
      </c>
      <c r="BO98" s="9" t="str">
        <f aca="false">IF(AND($D98="Drift",$BX98&lt;&gt;1),IF($O98="","",$O98),"")</f>
        <v/>
      </c>
      <c r="BP98" s="9" t="str">
        <f aca="false">IF(AND($D98="Drift",$BX98&lt;&gt;1),IF($W98="","",$W98),"")</f>
        <v/>
      </c>
      <c r="BQ98" s="9" t="str">
        <f aca="false">IF(AND($D98="Drift",$BX98&lt;&gt;1),IF($X98="","",$X98),"")</f>
        <v/>
      </c>
      <c r="BR98" s="9" t="str">
        <f aca="false">IF(AND($D98="Drift",$BX98&lt;&gt;1),IF($Z98="","",$Z98),"")</f>
        <v/>
      </c>
      <c r="BS98" s="9" t="str">
        <f aca="false">IF(OR($B98="",$H98=""),"",SUMPRODUCT(MIN((Raw!$A$2:$A$1001=$A98)*(Raw!$R$2:$R$1001="N")*(Raw!$I$2:$I$1001=0)*(Raw!$D$2:$D$1001&lt;$H98)*Raw!$D$2:$D$1001+(1-(Raw!$A$2:$A$1001=$A98)*(Raw!$R$2:$R$1001="N")*(Raw!$I$2:$I$1001=0)*(Raw!$D$2:$D$1001&lt;$H98))*9999)))</f>
        <v/>
      </c>
      <c r="BT98" s="16" t="str">
        <f aca="false">IF(OR($BS98="",$BS98=9999,$BS98=0),"",IFERROR(INDEX(Raw!$N$2:$N$1001,MATCH($A98&amp;"|N|"&amp;$BS98,Raw!$S$2:$S$1001,0)),""))</f>
        <v/>
      </c>
      <c r="BU98" s="9" t="str">
        <f aca="false">IF($B98="","",SUMPRODUCT(MIN((Raw!$A$2:$A$1001=$A98)*(Raw!$R$2:$R$1001="C")*(Raw!$I$2:$I$1001=1)*Raw!$D$2:$D$1001+(1-(Raw!$A$2:$A$1001=$A98)*(Raw!$R$2:$R$1001="C")*(Raw!$I$2:$I$1001=1))*9999)))</f>
        <v/>
      </c>
      <c r="BV98" s="9" t="str">
        <f aca="false">IF(OR($BU98="",$BU98=9999),"",SUMPRODUCT(MIN((Raw!$A$2:$A$1001=$A98)*(Raw!$R$2:$R$1001="C")*(Raw!$I$2:$I$1001=0)*(Raw!$D$2:$D$1001&gt;$BU98)*Raw!$D$2:$D$1001+(1-(Raw!$A$2:$A$1001=$A98)*(Raw!$R$2:$R$1001="C")*(Raw!$I$2:$I$1001=0)*(Raw!$D$2:$D$1001&gt;$BU98))*9999)))</f>
        <v/>
      </c>
      <c r="BW98" s="16" t="str">
        <f aca="false">IF(OR($BV98="",$BV98=9999,$BV98=0),"",IFERROR(INDEX(Raw!$O$2:$O$1001,MATCH($A98&amp;"|C|"&amp;$BV98,Raw!$S$2:$S$1001,0)),""))</f>
        <v/>
      </c>
      <c r="BX98" s="9" t="str">
        <f aca="false">IF($B98="","",IF(ISNUMBER(SEARCH(","&amp;$A98&amp;",",","&amp;SUBSTITUTE(Setup!$B$16," ","")&amp;",")),1,0))</f>
        <v/>
      </c>
      <c r="BY98" s="9" t="str">
        <f aca="false">IF($B98="","",IF(ISNUMBER(SEARCH(","&amp;$A98&amp;",",","&amp;SUBSTITUTE(Setup!$B$17," ","")&amp;",")),1,0))</f>
        <v/>
      </c>
      <c r="BZ98" s="22" t="str">
        <f aca="false">IF($AS98="","",IF(Fits!$B$38="Row",$AQ98,IF($AR98="","",$AR98)))</f>
        <v/>
      </c>
      <c r="CA98" s="22" t="str">
        <f aca="false">IF($AT98="","",IF(Fits!$B$50="Row",$AQ98,IF($AR98="","",$AR98)))</f>
        <v/>
      </c>
      <c r="CB98" s="20" t="str">
        <f aca="false">IF(OR($D98&lt;&gt;"Drift",$X98="",$A98&lt;IF(Setup!$B$14="",0,Setup!$B$14),Fits!$B$107&lt;3,Fits!$B$110="",Fits!$B$109=0,IF(Fits!$B$38="Row",$AQ98,$AR98)=""),"",IF($BX98=1,IF(OR(Fits!$B$111="",Fits!$B$111=0),"",($X98-(IF(Fits!$B$38="Row",Fits!$B$32,Fits!$B$35)*IF(Fits!$B$38="Row",$AQ98,$AR98)+Fits!$B$110))/(Fits!$B$111*SQRT(1+(1/Fits!$B$107+(IF(Fits!$B$38="Row",$AQ98,$AR98)-Fits!$B$108)^2/Fits!$B$109)))),IF(OR(Fits!$B$107&lt;4,(1/Fits!$B$107+(IF(Fits!$B$38="Row",$AQ98,$AR98)-Fits!$B$108)^2/Fits!$B$109)&gt;=1),"",IF((Fits!$B$116-($X98-(IF(Fits!$B$38="Row",Fits!$B$32,Fits!$B$35)*IF(Fits!$B$38="Row",$AQ98,$AR98)+Fits!$B$110))^2/(1-(1/Fits!$B$107+(IF(Fits!$B$38="Row",$AQ98,$AR98)-Fits!$B$108)^2/Fits!$B$109)))&lt;=0,"",($X98-(IF(Fits!$B$38="Row",Fits!$B$32,Fits!$B$35)*IF(Fits!$B$38="Row",$AQ98,$AR98)+Fits!$B$110))/(SQRT((Fits!$B$116-($X98-(IF(Fits!$B$38="Row",Fits!$B$32,Fits!$B$35)*IF(Fits!$B$38="Row",$AQ98,$AR98)+Fits!$B$110))^2/(1-(1/Fits!$B$107+(IF(Fits!$B$38="Row",$AQ98,$AR98)-Fits!$B$108)^2/Fits!$B$109)))/(Fits!$B$107-3))*SQRT(1-(1/Fits!$B$107+(IF(Fits!$B$38="Row",$AQ98,$AR98)-Fits!$B$108)^2/Fits!$B$109)))))))</f>
        <v/>
      </c>
      <c r="CC98" s="20" t="str">
        <f aca="false">IF(OR($D98&lt;&gt;"Drift",$AC98="",$A98&lt;IF(Setup!$B$14="",0,Setup!$B$14),Fits!$B$120&lt;3,Fits!$B$123="",Fits!$B$122=0,IF(Fits!$B$50="Row",$AQ98,$AR98)=""),"",IF($BY98=1,IF(OR(Fits!$B$124="",Fits!$B$124=0),"",($AC98-(IF(Fits!$B$50="Row",Fits!$B$44,Fits!$B$47)*IF(Fits!$B$50="Row",$AQ98,$AR98)+Fits!$B$123))/(Fits!$B$124*SQRT(1+(1/Fits!$B$120+(IF(Fits!$B$50="Row",$AQ98,$AR98)-Fits!$B$121)^2/Fits!$B$122)))),IF(OR(Fits!$B$120&lt;4,(1/Fits!$B$120+(IF(Fits!$B$50="Row",$AQ98,$AR98)-Fits!$B$121)^2/Fits!$B$122)&gt;=1),"",IF((Fits!$B$129-($AC98-(IF(Fits!$B$50="Row",Fits!$B$44,Fits!$B$47)*IF(Fits!$B$50="Row",$AQ98,$AR98)+Fits!$B$123))^2/(1-(1/Fits!$B$120+(IF(Fits!$B$50="Row",$AQ98,$AR98)-Fits!$B$121)^2/Fits!$B$122)))&lt;=0,"",($AC98-(IF(Fits!$B$50="Row",Fits!$B$44,Fits!$B$47)*IF(Fits!$B$50="Row",$AQ98,$AR98)+Fits!$B$123))/(SQRT((Fits!$B$129-($AC98-(IF(Fits!$B$50="Row",Fits!$B$44,Fits!$B$47)*IF(Fits!$B$50="Row",$AQ98,$AR98)+Fits!$B$123))^2/(1-(1/Fits!$B$120+(IF(Fits!$B$50="Row",$AQ98,$AR98)-Fits!$B$121)^2/Fits!$B$122)))/(Fits!$B$120-3))*SQRT(1-(1/Fits!$B$120+(IF(Fits!$B$50="Row",$AQ98,$AR98)-Fits!$B$121)^2/Fits!$B$122)))))))</f>
        <v/>
      </c>
      <c r="CD98" s="9" t="str">
        <f aca="false">IF($AU98="","",1)</f>
        <v/>
      </c>
      <c r="CE98" s="24" t="str">
        <f aca="false">IF($AU98="","",$AU98-Fits!$B$133)</f>
        <v/>
      </c>
      <c r="CF98" s="24" t="str">
        <f aca="false">IF($AU98="","",($AV98-(Fits!$B$56*$AU98+Fits!$B$57))-Fits!$B$56*($AU98-Fits!$B$133))</f>
        <v/>
      </c>
      <c r="CG98" s="25" t="str">
        <f aca="false">IF($AU98="","",$AU98^2)</f>
        <v/>
      </c>
      <c r="CH98" s="9" t="str">
        <f aca="false">IF($AW98="","",1)</f>
        <v/>
      </c>
      <c r="CI98" s="24" t="str">
        <f aca="false">IF($AW98="","",$AW98-Fits!$B$153)</f>
        <v/>
      </c>
      <c r="CJ98" s="24" t="str">
        <f aca="false">IF($AW98="","",($AX98-(Fits!$B$63*$AW98+Fits!$B$64))-Fits!$B$63*($AW98-Fits!$B$153))</f>
        <v/>
      </c>
      <c r="CK98" s="25" t="str">
        <f aca="false">IF($AW98="","",$AW98^2)</f>
        <v/>
      </c>
      <c r="CL98" s="26" t="str">
        <f aca="false">IF(OR($Z98="",Fits!$B$55&lt;3,Fits!$B$133="",Fits!$B$134="",Fits!$B$134=0,Fits!$B$136=""),"",SQRT((Fits!$B$136*Fits!$B$56)^2+SUMPRODUCT((Fits!$J$163:$J$175*(Fits!$B$163:$B$175/Fits!$B$55+Fits!$H$163:$H$175*($Z98-Fits!$B$133)/Fits!$B$134))^2)+SUMPRODUCT((Fits!$G$163:$G$175*(($Z98-Fits!$B$133)*Fits!$I$163:$I$175/Fits!$B$134-Fits!$B$163:$B$175*Fits!$B$56/Fits!$B$55))^2)))</f>
        <v/>
      </c>
      <c r="CM98" s="26" t="str">
        <f aca="false">IF($CL98="","",Setup!$B$32*$CL98)</f>
        <v/>
      </c>
      <c r="CN98" s="26" t="str">
        <f aca="false">IF(OR($AE98="",Fits!$B$62&lt;3,Fits!$B$153="",Fits!$B$154="",Fits!$B$154=0,Fits!$B$156=""),"",SQRT((Fits!$B$156*Fits!$B$63)^2+SUMPRODUCT((Fits!$J$183:$J$195*(Fits!$B$183:$B$195/Fits!$B$62+Fits!$H$183:$H$195*($AE98-Fits!$B$153)/Fits!$B$154))^2)+SUMPRODUCT((Fits!$G$183:$G$195*(($AE98-Fits!$B$153)*Fits!$I$183:$I$195/Fits!$B$154-Fits!$B$183:$B$195*Fits!$B$63/Fits!$B$62))^2)))</f>
        <v/>
      </c>
      <c r="CO98" s="26" t="str">
        <f aca="false">IF($CN98="","",Setup!$B$32*$CN98)</f>
        <v/>
      </c>
      <c r="CP98" s="9" t="n">
        <f aca="false">IF(OR(NOT(ISNUMBER($BJ98)),$EK98=1),$CP97,IF($BJ98&lt;=Setup!$B$26,$CP97+1,0))</f>
        <v>26</v>
      </c>
      <c r="CQ98" s="9" t="str">
        <f aca="false">IF($BT98="","",$A98)</f>
        <v/>
      </c>
      <c r="CR98" s="9" t="str">
        <f aca="false">IF($BW98="","",$A98)</f>
        <v/>
      </c>
      <c r="CS98" s="9" t="str">
        <f aca="false">IF($B98="","",IF(Setup!$A$37="",0,IF(ISNUMBER(SEARCH(Setup!$A$37,$B98)),37,0)))</f>
        <v/>
      </c>
      <c r="CT98" s="9" t="str">
        <f aca="false">IF($B98="","",IF(Setup!$A$38="",0,IF(ISNUMBER(SEARCH(Setup!$A$38,$B98)),38,0)))</f>
        <v/>
      </c>
      <c r="CU98" s="9" t="str">
        <f aca="false">IF($B98="","",IF(Setup!$A$39="",0,IF(ISNUMBER(SEARCH(Setup!$A$39,$B98)),39,0)))</f>
        <v/>
      </c>
      <c r="CV98" s="9" t="str">
        <f aca="false">IF($B98="","",IF(Setup!$A$40="",0,IF(ISNUMBER(SEARCH(Setup!$A$40,$B98)),40,0)))</f>
        <v/>
      </c>
      <c r="CW98" s="9" t="str">
        <f aca="false">IF($B98="","",IF(Setup!$A$41="",0,IF(ISNUMBER(SEARCH(Setup!$A$41,$B98)),41,0)))</f>
        <v/>
      </c>
      <c r="CX98" s="9" t="str">
        <f aca="false">IF($B98="","",IF(Setup!$A$42="",0,IF(ISNUMBER(SEARCH(Setup!$A$42,$B98)),42,0)))</f>
        <v/>
      </c>
      <c r="CY98" s="9" t="str">
        <f aca="false">IF($B98="","",IF(Setup!$A$43="",0,IF(ISNUMBER(SEARCH(Setup!$A$43,$B98)),43,0)))</f>
        <v/>
      </c>
      <c r="CZ98" s="9" t="str">
        <f aca="false">IF($B98="","",IF(Setup!$A$44="",0,IF(ISNUMBER(SEARCH(Setup!$A$44,$B98)),44,0)))</f>
        <v/>
      </c>
      <c r="DA98" s="9" t="str">
        <f aca="false">IF($B98="","",IF(Setup!$A$45="",0,IF(ISNUMBER(SEARCH(Setup!$A$45,$B98)),45,0)))</f>
        <v/>
      </c>
      <c r="DB98" s="9" t="str">
        <f aca="false">IF($B98="","",IF(Setup!$A$46="",0,IF(ISNUMBER(SEARCH(Setup!$A$46,$B98)),46,0)))</f>
        <v/>
      </c>
      <c r="DC98" s="9" t="str">
        <f aca="false">IF($B98="","",IF(Setup!$A$47="",0,IF(ISNUMBER(SEARCH(Setup!$A$47,$B98)),47,0)))</f>
        <v/>
      </c>
      <c r="DD98" s="9" t="str">
        <f aca="false">IF($B98="","",IF(Setup!$A$48="",0,IF(ISNUMBER(SEARCH(Setup!$A$48,$B98)),48,0)))</f>
        <v/>
      </c>
      <c r="DE98" s="9" t="str">
        <f aca="false">IF($B98="","",IF(Setup!$A$49="",0,IF(ISNUMBER(SEARCH(Setup!$A$49,$B98)),49,0)))</f>
        <v/>
      </c>
      <c r="DF98" s="9" t="e">
        <f aca="false">IF($B98="",NA(),$A98)</f>
        <v>#N/A</v>
      </c>
      <c r="DG98" s="9" t="e">
        <f aca="false">IF($BI98="",NA(),$BI98)</f>
        <v>#N/A</v>
      </c>
      <c r="DH98" s="9" t="e">
        <f aca="false">IF($N98="",NA(),$N98)</f>
        <v>#N/A</v>
      </c>
      <c r="DI98" s="9" t="e">
        <f aca="false">IF(AND($D98="Drift",$N98&lt;&gt;""),$N98,NA())</f>
        <v>#N/A</v>
      </c>
      <c r="DJ98" s="9" t="str">
        <f aca="false">IF(AND($D98="Drift",$N98&lt;&gt;""),$N98,"")</f>
        <v/>
      </c>
      <c r="DK98" s="9" t="str">
        <f aca="false">IF($DJ98="","",$A98)</f>
        <v/>
      </c>
      <c r="DL98" s="9" t="e">
        <f aca="false">IF($AN98="",NA(),$AM98)</f>
        <v>#N/A</v>
      </c>
      <c r="DM98" s="9" t="e">
        <f aca="false">IF($AN98="",NA(),$AN98)</f>
        <v>#N/A</v>
      </c>
      <c r="DN98" s="9" t="e">
        <f aca="false">IF(AND($D98="Sample",$L98&lt;&gt;""),$L98,NA())</f>
        <v>#N/A</v>
      </c>
      <c r="DO98" s="9" t="e">
        <f aca="false">IF(AND($D98="Sample",$L98&lt;&gt;"",Fits!$B$98&lt;&gt;""),Fits!$B$98,NA())</f>
        <v>#N/A</v>
      </c>
      <c r="DP98" s="9" t="e">
        <f aca="false">IF($AS98="",NA(),$AS98)</f>
        <v>#N/A</v>
      </c>
      <c r="DQ98" s="9" t="e">
        <f aca="false">IF(AND($D98="Drift",$AS98="",$X98&lt;&gt;""),$X98,NA())</f>
        <v>#N/A</v>
      </c>
      <c r="DR98" s="9" t="e">
        <f aca="false">IF(AND($D98="Drift",$Z98&lt;&gt;""),$Z98,NA())</f>
        <v>#N/A</v>
      </c>
      <c r="DS98" s="9" t="e">
        <f aca="false">IF(AND(OR($D98="Sample",$D98="Check"),$AA98&lt;&gt;""),$AA98,NA())</f>
        <v>#N/A</v>
      </c>
      <c r="DT98" s="9" t="e">
        <f aca="false">IF(OR($B98="",Fits!$B$138=""),NA(),Fits!$B$138)</f>
        <v>#N/A</v>
      </c>
      <c r="DU98" s="9" t="e">
        <f aca="false">IF(OR($B98="",Fits!$B$139=""),NA(),Fits!$B$139)</f>
        <v>#N/A</v>
      </c>
      <c r="DV98" s="9" t="e">
        <f aca="false">IF($BT98="",NA(),$BT98)</f>
        <v>#N/A</v>
      </c>
      <c r="DW98" s="9" t="e">
        <f aca="false">IF($AP98="",NA(),$AO98)</f>
        <v>#N/A</v>
      </c>
      <c r="DX98" s="9" t="e">
        <f aca="false">IF($AP98="",NA(),$AP98)</f>
        <v>#N/A</v>
      </c>
      <c r="DY98" s="9" t="e">
        <f aca="false">IF(AND($D98="Sample",$P98&lt;&gt;""),$P98,NA())</f>
        <v>#N/A</v>
      </c>
      <c r="DZ98" s="9" t="e">
        <f aca="false">IF(AND($D98="Sample",$P98&lt;&gt;"",Fits!$B$105&lt;&gt;""),Fits!$B$105,NA())</f>
        <v>#N/A</v>
      </c>
      <c r="EA98" s="9" t="e">
        <f aca="false">IF($AT98="",NA(),$AT98)</f>
        <v>#N/A</v>
      </c>
      <c r="EB98" s="9" t="e">
        <f aca="false">IF(AND($D98="Drift",$AT98="",$AC98&lt;&gt;""),$AC98,NA())</f>
        <v>#N/A</v>
      </c>
      <c r="EC98" s="9" t="e">
        <f aca="false">IF(AND($D98="Drift",$AE98&lt;&gt;""),$AE98,NA())</f>
        <v>#N/A</v>
      </c>
      <c r="ED98" s="9" t="e">
        <f aca="false">IF(AND(OR($D98="Sample",$D98="Check"),$AF98&lt;&gt;""),$AF98,NA())</f>
        <v>#N/A</v>
      </c>
      <c r="EE98" s="9" t="e">
        <f aca="false">IF(OR($B98="",Fits!$B$158=""),NA(),Fits!$B$158)</f>
        <v>#N/A</v>
      </c>
      <c r="EF98" s="9" t="e">
        <f aca="false">IF(OR($B98="",Fits!$B$159=""),NA(),Fits!$B$159)</f>
        <v>#N/A</v>
      </c>
      <c r="EG98" s="9" t="e">
        <f aca="false">IF($BW98="",NA(),$BW98)</f>
        <v>#N/A</v>
      </c>
      <c r="EH98" s="9" t="e">
        <f aca="false">IF(AND($EN98=1,ISNUMBER($N98)),$N98,NA())</f>
        <v>#N/A</v>
      </c>
      <c r="EI98" s="9" t="str">
        <f aca="false">IF($B98="","",$A98)</f>
        <v/>
      </c>
      <c r="EJ98" s="9" t="n">
        <f aca="false">IF(OR(AND(ISNUMBER($L98),Fits!$B$97&gt;0,$L98&gt;Fits!$B$97),AND(ISNUMBER($P98),Fits!$B$104&gt;0,$P98&gt;Fits!$B$104)),1,0)</f>
        <v>0</v>
      </c>
      <c r="EK98" s="9" t="n">
        <f aca="false">IF(OR($EJ97=1,$EJ96=1),1,0)</f>
        <v>0</v>
      </c>
      <c r="EL98" s="22" t="n">
        <f aca="false">IF(AND($EK98=0,ISNUMBER($N98)),$N98,$EL97)</f>
        <v>25.7</v>
      </c>
      <c r="EM98" s="9" t="str">
        <f aca="false">IF(AND($EK98=1,ISNUMBER($N98),ISNUMBER($EL98)),$N98-$EL98,"")</f>
        <v/>
      </c>
      <c r="EN98" s="9" t="n">
        <f aca="false">IF(Setup!$B$28="",0,IF(ISNUMBER($EM98),IF($EM98&gt;Setup!$B$28,1,0),0))</f>
        <v>0</v>
      </c>
      <c r="EO98" s="9" t="str">
        <f aca="false">IF($EN98=1,COUNTIF($EN$6:$EN98,1),"")</f>
        <v/>
      </c>
      <c r="EP98" s="9" t="n">
        <f aca="false">IF(AND($EJ97=1,OR($D98="Sample",$D98="Check")),1,0)</f>
        <v>0</v>
      </c>
      <c r="EQ98" s="9" t="str">
        <f aca="false">IF(ISNUMBER($BI98),IF(COUNT($BI$6:$BI98)&lt;=5,$BI98,""),"")</f>
        <v/>
      </c>
      <c r="ER98" s="9" t="n">
        <f aca="false">IF(OR(NOT(ISNUMBER($BJ98)),$EK98=1),$ER97,IF($BJ98&lt;=Setup!$B$26,IF($CP97=0,$A98,$ER97),""))</f>
        <v>27</v>
      </c>
    </row>
    <row r="99" customFormat="false" ht="15" hidden="false" customHeight="false" outlineLevel="0" collapsed="false">
      <c r="A99" s="8" t="n">
        <v>94</v>
      </c>
      <c r="B99" s="8" t="str">
        <f aca="false">IFERROR(INDEX(Raw!$B$2:$B$1001,MATCH($A99,Raw!$A$2:$A$1001,0)),"")</f>
        <v/>
      </c>
      <c r="C99" s="9" t="str">
        <f aca="false">IF($B99="","",MAX($CS99:$DE99))</f>
        <v/>
      </c>
      <c r="D99" s="8" t="str">
        <f aca="false">IF($B99="","",IF($C99=0,"Sample",INDEX(Setup!$B$37:$B$49,$C99-36)))</f>
        <v/>
      </c>
      <c r="E99" s="16" t="str">
        <f aca="false">IF($B99="","",IFERROR(IF(INDEX(Raw!$E$2:$E$1001,MATCH($A99,Raw!$A$2:$A$1001,0))=0,"",INDEX(Raw!$E$2:$E$1001,MATCH($A99,Raw!$A$2:$A$1001,0))),""))</f>
        <v/>
      </c>
      <c r="F99" s="18"/>
      <c r="G99" s="16" t="str">
        <f aca="false">IF($B99="","",IF($F99&lt;&gt;"",$F99,IF($E99="","",$E99)))</f>
        <v/>
      </c>
      <c r="H99" s="9" t="str">
        <f aca="false">IF($B99="","",SUMPRODUCT(MAX((Raw!$A$2:$A$1001=$A99)*(Raw!$R$2:$R$1001="N")*Raw!$D$2:$D$1001)))</f>
        <v/>
      </c>
      <c r="I99" s="9" t="str">
        <f aca="false">IF(OR($H99="",$H99=0),"",$A99&amp;"|N|"&amp;$H99)</f>
        <v/>
      </c>
      <c r="J99" s="9" t="str">
        <f aca="false">IF($B99="","",SUMPRODUCT(MIN((Raw!$A$2:$A$1001=$A99)*(Raw!$R$2:$R$1001="C")*Raw!$D$2:$D$1001+(1-(Raw!$A$2:$A$1001=$A99)*(Raw!$R$2:$R$1001="C"))*9999)))</f>
        <v/>
      </c>
      <c r="K99" s="9" t="str">
        <f aca="false">IF(OR($J99="",$J99=0,$J99=9999),"",$A99&amp;"|C|"&amp;$J99)</f>
        <v/>
      </c>
      <c r="L99" s="16" t="str">
        <f aca="false">IF($I99="","",IF(INDEX(Raw!$I$2:$I$1001,MATCH($I99,Raw!$S$2:$S$1001,0))&lt;&gt;0,"",INDEX(Raw!$H$2:$H$1001,MATCH($I99,Raw!$S$2:$S$1001,0))))</f>
        <v/>
      </c>
      <c r="M99" s="19" t="str">
        <f aca="false">IF($I99="","",IF(INDEX(Raw!$I$2:$I$1001,MATCH($I99,Raw!$S$2:$S$1001,0))&lt;&gt;0,"",INDEX(Raw!$F$2:$F$1001,MATCH($I99,Raw!$S$2:$S$1001,0))))</f>
        <v/>
      </c>
      <c r="N99" s="20" t="str">
        <f aca="false">IF($I99="","",IF(INDEX(Raw!$I$2:$I$1001,MATCH($I99,Raw!$S$2:$S$1001,0))&lt;&gt;0,"",INDEX(Raw!$G$2:$G$1001,MATCH($I99,Raw!$S$2:$S$1001,0))))</f>
        <v/>
      </c>
      <c r="O99" s="16" t="str">
        <f aca="false">IF($I99="","",IF(INDEX(Raw!$I$2:$I$1001,MATCH($I99,Raw!$S$2:$S$1001,0))&lt;&gt;0,"",INDEX(Raw!$N$2:$N$1001,MATCH($I99,Raw!$S$2:$S$1001,0))))</f>
        <v/>
      </c>
      <c r="P99" s="16" t="str">
        <f aca="false">IF($K99="","",IF(INDEX(Raw!$I$2:$I$1001,MATCH($K99,Raw!$S$2:$S$1001,0))&lt;&gt;0,"",INDEX(Raw!$K$2:$K$1001,MATCH($K99,Raw!$S$2:$S$1001,0))))</f>
        <v/>
      </c>
      <c r="Q99" s="19" t="str">
        <f aca="false">IF($K99="","",IF(INDEX(Raw!$I$2:$I$1001,MATCH($K99,Raw!$S$2:$S$1001,0))&lt;&gt;0,"",INDEX(Raw!$J$2:$J$1001,MATCH($K99,Raw!$S$2:$S$1001,0))))</f>
        <v/>
      </c>
      <c r="R99" s="16" t="str">
        <f aca="false">IF($K99="","",IF(INDEX(Raw!$I$2:$I$1001,MATCH($K99,Raw!$S$2:$S$1001,0))&lt;&gt;0,"",INDEX(Raw!$O$2:$O$1001,MATCH($K99,Raw!$S$2:$S$1001,0))))</f>
        <v/>
      </c>
      <c r="S99" s="21" t="str">
        <f aca="false">IF($B99="","",IF($C99=0,"",IF(INDEX(Setup!$D$37:$D$49,$C99-36)="","",INDEX(Setup!$D$37:$D$49,$C99-36))))</f>
        <v/>
      </c>
      <c r="T99" s="21" t="str">
        <f aca="false">IF($B99="","",IF($C99=0,"",IF(INDEX(Setup!$C$37:$C$49,$C99-36)="","",INDEX(Setup!$C$37:$C$49,$C99-36))))</f>
        <v/>
      </c>
      <c r="U99" s="21" t="str">
        <f aca="false">IF($B99="","",IF($C99=0,"",IF(INDEX(Setup!$F$37:$F$49,$C99-36)="","",INDEX(Setup!$F$37:$F$49,$C99-36))))</f>
        <v/>
      </c>
      <c r="V99" s="21" t="str">
        <f aca="false">IF($B99="","",IF($C99=0,"",IF(INDEX(Setup!$E$37:$E$49,$C99-36)="","",INDEX(Setup!$E$37:$E$49,$C99-36))))</f>
        <v/>
      </c>
      <c r="W99" s="16" t="str">
        <f aca="false">IF($O99="","",IF(OR(Fits!$C$5&lt;&gt;"Yes",$D99="Blank",$L99&lt;=Fits!$B$6),$O99,($L99*$O99-Fits!$B$6*Fits!$B$7)/($L99-Fits!$B$6)))</f>
        <v/>
      </c>
      <c r="X99" s="16" t="str">
        <f aca="false">IF($W99="","",$W99-Fits!$B$20*($L99-Fits!$B$16))</f>
        <v/>
      </c>
      <c r="Y99" s="22" t="str">
        <f aca="false">IF($W99="","",IF(OR(Fits!$B$38="Row",$BI99=""),$A99,$BI99))</f>
        <v/>
      </c>
      <c r="Z99" s="16" t="str">
        <f aca="false">IF($X99="","",$X99-Fits!$B$39*($Y99-Fits!$B$40))</f>
        <v/>
      </c>
      <c r="AA99" s="23" t="str">
        <f aca="false">IF(OR($Z99="",Fits!$B$55&lt;2),"",Fits!$B$56*$Z99+Fits!$B$57)</f>
        <v/>
      </c>
      <c r="AB99" s="16" t="str">
        <f aca="false">IF($R99="","",IF(OR(Fits!$C$9&lt;&gt;"Yes",$D99="Blank",$P99&lt;=Fits!$B$10),$R99,($P99*$R99-Fits!$B$10*Fits!$B$11)/($P99-Fits!$B$10)))</f>
        <v/>
      </c>
      <c r="AC99" s="16" t="str">
        <f aca="false">IF($AB99="","",$AB99-Fits!$B$28*($P99-Fits!$B$24))</f>
        <v/>
      </c>
      <c r="AD99" s="22" t="str">
        <f aca="false">IF($AB99="","",IF(OR(Fits!$B$50="Row",$BI99=""),$A99,$BI99))</f>
        <v/>
      </c>
      <c r="AE99" s="16" t="str">
        <f aca="false">IF($AC99="","",$AC99-Fits!$B$51*($AD99-Fits!$B$52))</f>
        <v/>
      </c>
      <c r="AF99" s="23" t="str">
        <f aca="false">IF(OR($AE99="",Fits!$B$62&lt;2),"",Fits!$B$63*$AE99+Fits!$B$64)</f>
        <v/>
      </c>
      <c r="AG99" s="21" t="str">
        <f aca="false">IF(OR($L99="",Fits!$B$69&lt;3),"",($L99-Fits!$B$71)/Fits!$B$70)</f>
        <v/>
      </c>
      <c r="AH99" s="21" t="str">
        <f aca="false">IF(OR($P99="",Fits!$B$75&lt;3),"",($P99-Fits!$B$77)/Fits!$B$76)</f>
        <v/>
      </c>
      <c r="AI99" s="23" t="str">
        <f aca="false">IF(OR($AG99="",$G99="",$G99=0),"",$AG99/($G99*1000)*100)</f>
        <v/>
      </c>
      <c r="AJ99" s="23" t="str">
        <f aca="false">IF(OR($AH99="",$G99="",$G99=0),"",$AH99/($G99*1000)*100)</f>
        <v/>
      </c>
      <c r="AK99" s="23" t="str">
        <f aca="false">IF(OR($AG99="",$AH99="",$AG99&lt;=0),"",($AH99/Setup!$B$52)/($AG99/Setup!$B$53))</f>
        <v/>
      </c>
      <c r="AL99" s="23" t="str">
        <f aca="false">IF(OR($AG99="",$AH99="",$AG99&lt;=0),"",$AH99/$AG99)</f>
        <v/>
      </c>
      <c r="AM99" s="9" t="str">
        <f aca="false">IF($D99="Linearity",IF($L99="","",$L99),"")</f>
        <v/>
      </c>
      <c r="AN99" s="9" t="str">
        <f aca="false">IF($D99="Linearity",IF($W99="","",$W99),"")</f>
        <v/>
      </c>
      <c r="AO99" s="9" t="str">
        <f aca="false">IF($D99="Linearity",IF($P99="","",$P99),"")</f>
        <v/>
      </c>
      <c r="AP99" s="9" t="str">
        <f aca="false">IF($D99="Linearity",IF($AB99="","",$AB99),"")</f>
        <v/>
      </c>
      <c r="AQ99" s="9" t="str">
        <f aca="false">IF($D99="Drift",IF($A99&lt;IF(Setup!$B$14="",0,Setup!$B$14),"",$A99),"")</f>
        <v/>
      </c>
      <c r="AR99" s="9" t="str">
        <f aca="false">IF($D99="Drift",IF($A99&lt;IF(Setup!$B$14="",0,Setup!$B$14),"",IF($BI99="","",$BI99)),"")</f>
        <v/>
      </c>
      <c r="AS99" s="9" t="str">
        <f aca="false">IF($D99="Drift",IF($A99&lt;IF(Setup!$B$14="",0,Setup!$B$14),"",IF(OR($X99="",$BX99=1),"",$X99)),"")</f>
        <v/>
      </c>
      <c r="AT99" s="9" t="str">
        <f aca="false">IF($D99="Drift",IF($A99&lt;IF(Setup!$B$14="",0,Setup!$B$14),"",IF(OR($AC99="",$BY99=1),"",$AC99)),"")</f>
        <v/>
      </c>
      <c r="AU99" s="9" t="str">
        <f aca="false">IF($D99="Anchor",IF(OR($Z99="",$S99=""),"",$Z99),"")</f>
        <v/>
      </c>
      <c r="AV99" s="9" t="str">
        <f aca="false">IF($D99="Anchor",IF(OR($Z99="",$S99=""),"",$S99),"")</f>
        <v/>
      </c>
      <c r="AW99" s="9" t="str">
        <f aca="false">IF($D99="Anchor",IF(OR($AE99="",$T99=""),"",$AE99),"")</f>
        <v/>
      </c>
      <c r="AX99" s="9" t="str">
        <f aca="false">IF($D99="Anchor",IF(OR($AE99="",$T99=""),"",$T99),"")</f>
        <v/>
      </c>
      <c r="AY99" s="9" t="str">
        <f aca="false">IF(OR($D99="Blank",$D99="Exclude",$D99="Sample",$D99="",$G99="",$U99="",$L99=""),"",$G99*1000*$U99/100)</f>
        <v/>
      </c>
      <c r="AZ99" s="9" t="str">
        <f aca="false">IF($AY99="","",$L99)</f>
        <v/>
      </c>
      <c r="BA99" s="9" t="str">
        <f aca="false">IF(OR($D99="Blank",$D99="Exclude",$D99="Sample",$D99="",$G99="",$V99="",$P99=""),"",$G99*1000*$V99/100)</f>
        <v/>
      </c>
      <c r="BB99" s="9" t="str">
        <f aca="false">IF($BA99="","",$P99)</f>
        <v/>
      </c>
      <c r="BC99" s="9" t="str">
        <f aca="false">IF(AND($D99="Blank",$L99&lt;&gt;""),$O99,"")</f>
        <v/>
      </c>
      <c r="BD99" s="9" t="str">
        <f aca="false">IF($BC99="","",$L99)</f>
        <v/>
      </c>
      <c r="BE99" s="9" t="str">
        <f aca="false">IF(AND($D99="Blank",$P99&lt;&gt;""),$R99,"")</f>
        <v/>
      </c>
      <c r="BF99" s="9" t="str">
        <f aca="false">IF($BE99="","",$P99)</f>
        <v/>
      </c>
      <c r="BG99" s="9" t="str">
        <f aca="false">IF(AND($D99="Drift",$BX99&lt;&gt;1),IF($AA99="","",$AA99),"")</f>
        <v/>
      </c>
      <c r="BH99" s="9" t="str">
        <f aca="false">IF(AND($D99="Drift",$BY99&lt;&gt;1),IF($AF99="","",$AF99),"")</f>
        <v/>
      </c>
      <c r="BI99" s="20" t="str">
        <f aca="false">IF($B99="","",IFERROR(INDEX(Raw!$G$2:$G$1001,MATCH($A99&amp;"|N|"&amp;SUMPRODUCT(MAX((Raw!$A$2:$A$1001=$A99)*(Raw!$R$2:$R$1001="N")*(Raw!$I$2:$I$1001=1)*Raw!$D$2:$D$1001)),Raw!$S$2:$S$1001,0)),""))</f>
        <v/>
      </c>
      <c r="BJ99" s="21" t="str">
        <f aca="false">IF(OR($BI99="",Fits!$B$85&lt;=0),"",($BI99-Fits!$B$83)/Fits!$B$85)</f>
        <v/>
      </c>
      <c r="BK99" s="9" t="str">
        <f aca="false">IF($AS99="","",IF($A99&gt;=Fits!$B$86,"",$A99))</f>
        <v/>
      </c>
      <c r="BL99" s="9" t="str">
        <f aca="false">IF($BK99="","",$X99)</f>
        <v/>
      </c>
      <c r="BM99" s="9" t="str">
        <f aca="false">IF($AS99="","",IF($A99&lt;Fits!$B$86,"",$A99))</f>
        <v/>
      </c>
      <c r="BN99" s="9" t="str">
        <f aca="false">IF($BM99="","",$X99)</f>
        <v/>
      </c>
      <c r="BO99" s="9" t="str">
        <f aca="false">IF(AND($D99="Drift",$BX99&lt;&gt;1),IF($O99="","",$O99),"")</f>
        <v/>
      </c>
      <c r="BP99" s="9" t="str">
        <f aca="false">IF(AND($D99="Drift",$BX99&lt;&gt;1),IF($W99="","",$W99),"")</f>
        <v/>
      </c>
      <c r="BQ99" s="9" t="str">
        <f aca="false">IF(AND($D99="Drift",$BX99&lt;&gt;1),IF($X99="","",$X99),"")</f>
        <v/>
      </c>
      <c r="BR99" s="9" t="str">
        <f aca="false">IF(AND($D99="Drift",$BX99&lt;&gt;1),IF($Z99="","",$Z99),"")</f>
        <v/>
      </c>
      <c r="BS99" s="9" t="str">
        <f aca="false">IF(OR($B99="",$H99=""),"",SUMPRODUCT(MIN((Raw!$A$2:$A$1001=$A99)*(Raw!$R$2:$R$1001="N")*(Raw!$I$2:$I$1001=0)*(Raw!$D$2:$D$1001&lt;$H99)*Raw!$D$2:$D$1001+(1-(Raw!$A$2:$A$1001=$A99)*(Raw!$R$2:$R$1001="N")*(Raw!$I$2:$I$1001=0)*(Raw!$D$2:$D$1001&lt;$H99))*9999)))</f>
        <v/>
      </c>
      <c r="BT99" s="16" t="str">
        <f aca="false">IF(OR($BS99="",$BS99=9999,$BS99=0),"",IFERROR(INDEX(Raw!$N$2:$N$1001,MATCH($A99&amp;"|N|"&amp;$BS99,Raw!$S$2:$S$1001,0)),""))</f>
        <v/>
      </c>
      <c r="BU99" s="9" t="str">
        <f aca="false">IF($B99="","",SUMPRODUCT(MIN((Raw!$A$2:$A$1001=$A99)*(Raw!$R$2:$R$1001="C")*(Raw!$I$2:$I$1001=1)*Raw!$D$2:$D$1001+(1-(Raw!$A$2:$A$1001=$A99)*(Raw!$R$2:$R$1001="C")*(Raw!$I$2:$I$1001=1))*9999)))</f>
        <v/>
      </c>
      <c r="BV99" s="9" t="str">
        <f aca="false">IF(OR($BU99="",$BU99=9999),"",SUMPRODUCT(MIN((Raw!$A$2:$A$1001=$A99)*(Raw!$R$2:$R$1001="C")*(Raw!$I$2:$I$1001=0)*(Raw!$D$2:$D$1001&gt;$BU99)*Raw!$D$2:$D$1001+(1-(Raw!$A$2:$A$1001=$A99)*(Raw!$R$2:$R$1001="C")*(Raw!$I$2:$I$1001=0)*(Raw!$D$2:$D$1001&gt;$BU99))*9999)))</f>
        <v/>
      </c>
      <c r="BW99" s="16" t="str">
        <f aca="false">IF(OR($BV99="",$BV99=9999,$BV99=0),"",IFERROR(INDEX(Raw!$O$2:$O$1001,MATCH($A99&amp;"|C|"&amp;$BV99,Raw!$S$2:$S$1001,0)),""))</f>
        <v/>
      </c>
      <c r="BX99" s="9" t="str">
        <f aca="false">IF($B99="","",IF(ISNUMBER(SEARCH(","&amp;$A99&amp;",",","&amp;SUBSTITUTE(Setup!$B$16," ","")&amp;",")),1,0))</f>
        <v/>
      </c>
      <c r="BY99" s="9" t="str">
        <f aca="false">IF($B99="","",IF(ISNUMBER(SEARCH(","&amp;$A99&amp;",",","&amp;SUBSTITUTE(Setup!$B$17," ","")&amp;",")),1,0))</f>
        <v/>
      </c>
      <c r="BZ99" s="22" t="str">
        <f aca="false">IF($AS99="","",IF(Fits!$B$38="Row",$AQ99,IF($AR99="","",$AR99)))</f>
        <v/>
      </c>
      <c r="CA99" s="22" t="str">
        <f aca="false">IF($AT99="","",IF(Fits!$B$50="Row",$AQ99,IF($AR99="","",$AR99)))</f>
        <v/>
      </c>
      <c r="CB99" s="20" t="str">
        <f aca="false">IF(OR($D99&lt;&gt;"Drift",$X99="",$A99&lt;IF(Setup!$B$14="",0,Setup!$B$14),Fits!$B$107&lt;3,Fits!$B$110="",Fits!$B$109=0,IF(Fits!$B$38="Row",$AQ99,$AR99)=""),"",IF($BX99=1,IF(OR(Fits!$B$111="",Fits!$B$111=0),"",($X99-(IF(Fits!$B$38="Row",Fits!$B$32,Fits!$B$35)*IF(Fits!$B$38="Row",$AQ99,$AR99)+Fits!$B$110))/(Fits!$B$111*SQRT(1+(1/Fits!$B$107+(IF(Fits!$B$38="Row",$AQ99,$AR99)-Fits!$B$108)^2/Fits!$B$109)))),IF(OR(Fits!$B$107&lt;4,(1/Fits!$B$107+(IF(Fits!$B$38="Row",$AQ99,$AR99)-Fits!$B$108)^2/Fits!$B$109)&gt;=1),"",IF((Fits!$B$116-($X99-(IF(Fits!$B$38="Row",Fits!$B$32,Fits!$B$35)*IF(Fits!$B$38="Row",$AQ99,$AR99)+Fits!$B$110))^2/(1-(1/Fits!$B$107+(IF(Fits!$B$38="Row",$AQ99,$AR99)-Fits!$B$108)^2/Fits!$B$109)))&lt;=0,"",($X99-(IF(Fits!$B$38="Row",Fits!$B$32,Fits!$B$35)*IF(Fits!$B$38="Row",$AQ99,$AR99)+Fits!$B$110))/(SQRT((Fits!$B$116-($X99-(IF(Fits!$B$38="Row",Fits!$B$32,Fits!$B$35)*IF(Fits!$B$38="Row",$AQ99,$AR99)+Fits!$B$110))^2/(1-(1/Fits!$B$107+(IF(Fits!$B$38="Row",$AQ99,$AR99)-Fits!$B$108)^2/Fits!$B$109)))/(Fits!$B$107-3))*SQRT(1-(1/Fits!$B$107+(IF(Fits!$B$38="Row",$AQ99,$AR99)-Fits!$B$108)^2/Fits!$B$109)))))))</f>
        <v/>
      </c>
      <c r="CC99" s="20" t="str">
        <f aca="false">IF(OR($D99&lt;&gt;"Drift",$AC99="",$A99&lt;IF(Setup!$B$14="",0,Setup!$B$14),Fits!$B$120&lt;3,Fits!$B$123="",Fits!$B$122=0,IF(Fits!$B$50="Row",$AQ99,$AR99)=""),"",IF($BY99=1,IF(OR(Fits!$B$124="",Fits!$B$124=0),"",($AC99-(IF(Fits!$B$50="Row",Fits!$B$44,Fits!$B$47)*IF(Fits!$B$50="Row",$AQ99,$AR99)+Fits!$B$123))/(Fits!$B$124*SQRT(1+(1/Fits!$B$120+(IF(Fits!$B$50="Row",$AQ99,$AR99)-Fits!$B$121)^2/Fits!$B$122)))),IF(OR(Fits!$B$120&lt;4,(1/Fits!$B$120+(IF(Fits!$B$50="Row",$AQ99,$AR99)-Fits!$B$121)^2/Fits!$B$122)&gt;=1),"",IF((Fits!$B$129-($AC99-(IF(Fits!$B$50="Row",Fits!$B$44,Fits!$B$47)*IF(Fits!$B$50="Row",$AQ99,$AR99)+Fits!$B$123))^2/(1-(1/Fits!$B$120+(IF(Fits!$B$50="Row",$AQ99,$AR99)-Fits!$B$121)^2/Fits!$B$122)))&lt;=0,"",($AC99-(IF(Fits!$B$50="Row",Fits!$B$44,Fits!$B$47)*IF(Fits!$B$50="Row",$AQ99,$AR99)+Fits!$B$123))/(SQRT((Fits!$B$129-($AC99-(IF(Fits!$B$50="Row",Fits!$B$44,Fits!$B$47)*IF(Fits!$B$50="Row",$AQ99,$AR99)+Fits!$B$123))^2/(1-(1/Fits!$B$120+(IF(Fits!$B$50="Row",$AQ99,$AR99)-Fits!$B$121)^2/Fits!$B$122)))/(Fits!$B$120-3))*SQRT(1-(1/Fits!$B$120+(IF(Fits!$B$50="Row",$AQ99,$AR99)-Fits!$B$121)^2/Fits!$B$122)))))))</f>
        <v/>
      </c>
      <c r="CD99" s="9" t="str">
        <f aca="false">IF($AU99="","",1)</f>
        <v/>
      </c>
      <c r="CE99" s="24" t="str">
        <f aca="false">IF($AU99="","",$AU99-Fits!$B$133)</f>
        <v/>
      </c>
      <c r="CF99" s="24" t="str">
        <f aca="false">IF($AU99="","",($AV99-(Fits!$B$56*$AU99+Fits!$B$57))-Fits!$B$56*($AU99-Fits!$B$133))</f>
        <v/>
      </c>
      <c r="CG99" s="25" t="str">
        <f aca="false">IF($AU99="","",$AU99^2)</f>
        <v/>
      </c>
      <c r="CH99" s="9" t="str">
        <f aca="false">IF($AW99="","",1)</f>
        <v/>
      </c>
      <c r="CI99" s="24" t="str">
        <f aca="false">IF($AW99="","",$AW99-Fits!$B$153)</f>
        <v/>
      </c>
      <c r="CJ99" s="24" t="str">
        <f aca="false">IF($AW99="","",($AX99-(Fits!$B$63*$AW99+Fits!$B$64))-Fits!$B$63*($AW99-Fits!$B$153))</f>
        <v/>
      </c>
      <c r="CK99" s="25" t="str">
        <f aca="false">IF($AW99="","",$AW99^2)</f>
        <v/>
      </c>
      <c r="CL99" s="26" t="str">
        <f aca="false">IF(OR($Z99="",Fits!$B$55&lt;3,Fits!$B$133="",Fits!$B$134="",Fits!$B$134=0,Fits!$B$136=""),"",SQRT((Fits!$B$136*Fits!$B$56)^2+SUMPRODUCT((Fits!$J$163:$J$175*(Fits!$B$163:$B$175/Fits!$B$55+Fits!$H$163:$H$175*($Z99-Fits!$B$133)/Fits!$B$134))^2)+SUMPRODUCT((Fits!$G$163:$G$175*(($Z99-Fits!$B$133)*Fits!$I$163:$I$175/Fits!$B$134-Fits!$B$163:$B$175*Fits!$B$56/Fits!$B$55))^2)))</f>
        <v/>
      </c>
      <c r="CM99" s="26" t="str">
        <f aca="false">IF($CL99="","",Setup!$B$32*$CL99)</f>
        <v/>
      </c>
      <c r="CN99" s="26" t="str">
        <f aca="false">IF(OR($AE99="",Fits!$B$62&lt;3,Fits!$B$153="",Fits!$B$154="",Fits!$B$154=0,Fits!$B$156=""),"",SQRT((Fits!$B$156*Fits!$B$63)^2+SUMPRODUCT((Fits!$J$183:$J$195*(Fits!$B$183:$B$195/Fits!$B$62+Fits!$H$183:$H$195*($AE99-Fits!$B$153)/Fits!$B$154))^2)+SUMPRODUCT((Fits!$G$183:$G$195*(($AE99-Fits!$B$153)*Fits!$I$183:$I$195/Fits!$B$154-Fits!$B$183:$B$195*Fits!$B$63/Fits!$B$62))^2)))</f>
        <v/>
      </c>
      <c r="CO99" s="26" t="str">
        <f aca="false">IF($CN99="","",Setup!$B$32*$CN99)</f>
        <v/>
      </c>
      <c r="CP99" s="9" t="n">
        <f aca="false">IF(OR(NOT(ISNUMBER($BJ99)),$EK99=1),$CP98,IF($BJ99&lt;=Setup!$B$26,$CP98+1,0))</f>
        <v>26</v>
      </c>
      <c r="CQ99" s="9" t="str">
        <f aca="false">IF($BT99="","",$A99)</f>
        <v/>
      </c>
      <c r="CR99" s="9" t="str">
        <f aca="false">IF($BW99="","",$A99)</f>
        <v/>
      </c>
      <c r="CS99" s="9" t="str">
        <f aca="false">IF($B99="","",IF(Setup!$A$37="",0,IF(ISNUMBER(SEARCH(Setup!$A$37,$B99)),37,0)))</f>
        <v/>
      </c>
      <c r="CT99" s="9" t="str">
        <f aca="false">IF($B99="","",IF(Setup!$A$38="",0,IF(ISNUMBER(SEARCH(Setup!$A$38,$B99)),38,0)))</f>
        <v/>
      </c>
      <c r="CU99" s="9" t="str">
        <f aca="false">IF($B99="","",IF(Setup!$A$39="",0,IF(ISNUMBER(SEARCH(Setup!$A$39,$B99)),39,0)))</f>
        <v/>
      </c>
      <c r="CV99" s="9" t="str">
        <f aca="false">IF($B99="","",IF(Setup!$A$40="",0,IF(ISNUMBER(SEARCH(Setup!$A$40,$B99)),40,0)))</f>
        <v/>
      </c>
      <c r="CW99" s="9" t="str">
        <f aca="false">IF($B99="","",IF(Setup!$A$41="",0,IF(ISNUMBER(SEARCH(Setup!$A$41,$B99)),41,0)))</f>
        <v/>
      </c>
      <c r="CX99" s="9" t="str">
        <f aca="false">IF($B99="","",IF(Setup!$A$42="",0,IF(ISNUMBER(SEARCH(Setup!$A$42,$B99)),42,0)))</f>
        <v/>
      </c>
      <c r="CY99" s="9" t="str">
        <f aca="false">IF($B99="","",IF(Setup!$A$43="",0,IF(ISNUMBER(SEARCH(Setup!$A$43,$B99)),43,0)))</f>
        <v/>
      </c>
      <c r="CZ99" s="9" t="str">
        <f aca="false">IF($B99="","",IF(Setup!$A$44="",0,IF(ISNUMBER(SEARCH(Setup!$A$44,$B99)),44,0)))</f>
        <v/>
      </c>
      <c r="DA99" s="9" t="str">
        <f aca="false">IF($B99="","",IF(Setup!$A$45="",0,IF(ISNUMBER(SEARCH(Setup!$A$45,$B99)),45,0)))</f>
        <v/>
      </c>
      <c r="DB99" s="9" t="str">
        <f aca="false">IF($B99="","",IF(Setup!$A$46="",0,IF(ISNUMBER(SEARCH(Setup!$A$46,$B99)),46,0)))</f>
        <v/>
      </c>
      <c r="DC99" s="9" t="str">
        <f aca="false">IF($B99="","",IF(Setup!$A$47="",0,IF(ISNUMBER(SEARCH(Setup!$A$47,$B99)),47,0)))</f>
        <v/>
      </c>
      <c r="DD99" s="9" t="str">
        <f aca="false">IF($B99="","",IF(Setup!$A$48="",0,IF(ISNUMBER(SEARCH(Setup!$A$48,$B99)),48,0)))</f>
        <v/>
      </c>
      <c r="DE99" s="9" t="str">
        <f aca="false">IF($B99="","",IF(Setup!$A$49="",0,IF(ISNUMBER(SEARCH(Setup!$A$49,$B99)),49,0)))</f>
        <v/>
      </c>
      <c r="DF99" s="9" t="e">
        <f aca="false">IF($B99="",NA(),$A99)</f>
        <v>#N/A</v>
      </c>
      <c r="DG99" s="9" t="e">
        <f aca="false">IF($BI99="",NA(),$BI99)</f>
        <v>#N/A</v>
      </c>
      <c r="DH99" s="9" t="e">
        <f aca="false">IF($N99="",NA(),$N99)</f>
        <v>#N/A</v>
      </c>
      <c r="DI99" s="9" t="e">
        <f aca="false">IF(AND($D99="Drift",$N99&lt;&gt;""),$N99,NA())</f>
        <v>#N/A</v>
      </c>
      <c r="DJ99" s="9" t="str">
        <f aca="false">IF(AND($D99="Drift",$N99&lt;&gt;""),$N99,"")</f>
        <v/>
      </c>
      <c r="DK99" s="9" t="str">
        <f aca="false">IF($DJ99="","",$A99)</f>
        <v/>
      </c>
      <c r="DL99" s="9" t="e">
        <f aca="false">IF($AN99="",NA(),$AM99)</f>
        <v>#N/A</v>
      </c>
      <c r="DM99" s="9" t="e">
        <f aca="false">IF($AN99="",NA(),$AN99)</f>
        <v>#N/A</v>
      </c>
      <c r="DN99" s="9" t="e">
        <f aca="false">IF(AND($D99="Sample",$L99&lt;&gt;""),$L99,NA())</f>
        <v>#N/A</v>
      </c>
      <c r="DO99" s="9" t="e">
        <f aca="false">IF(AND($D99="Sample",$L99&lt;&gt;"",Fits!$B$98&lt;&gt;""),Fits!$B$98,NA())</f>
        <v>#N/A</v>
      </c>
      <c r="DP99" s="9" t="e">
        <f aca="false">IF($AS99="",NA(),$AS99)</f>
        <v>#N/A</v>
      </c>
      <c r="DQ99" s="9" t="e">
        <f aca="false">IF(AND($D99="Drift",$AS99="",$X99&lt;&gt;""),$X99,NA())</f>
        <v>#N/A</v>
      </c>
      <c r="DR99" s="9" t="e">
        <f aca="false">IF(AND($D99="Drift",$Z99&lt;&gt;""),$Z99,NA())</f>
        <v>#N/A</v>
      </c>
      <c r="DS99" s="9" t="e">
        <f aca="false">IF(AND(OR($D99="Sample",$D99="Check"),$AA99&lt;&gt;""),$AA99,NA())</f>
        <v>#N/A</v>
      </c>
      <c r="DT99" s="9" t="e">
        <f aca="false">IF(OR($B99="",Fits!$B$138=""),NA(),Fits!$B$138)</f>
        <v>#N/A</v>
      </c>
      <c r="DU99" s="9" t="e">
        <f aca="false">IF(OR($B99="",Fits!$B$139=""),NA(),Fits!$B$139)</f>
        <v>#N/A</v>
      </c>
      <c r="DV99" s="9" t="e">
        <f aca="false">IF($BT99="",NA(),$BT99)</f>
        <v>#N/A</v>
      </c>
      <c r="DW99" s="9" t="e">
        <f aca="false">IF($AP99="",NA(),$AO99)</f>
        <v>#N/A</v>
      </c>
      <c r="DX99" s="9" t="e">
        <f aca="false">IF($AP99="",NA(),$AP99)</f>
        <v>#N/A</v>
      </c>
      <c r="DY99" s="9" t="e">
        <f aca="false">IF(AND($D99="Sample",$P99&lt;&gt;""),$P99,NA())</f>
        <v>#N/A</v>
      </c>
      <c r="DZ99" s="9" t="e">
        <f aca="false">IF(AND($D99="Sample",$P99&lt;&gt;"",Fits!$B$105&lt;&gt;""),Fits!$B$105,NA())</f>
        <v>#N/A</v>
      </c>
      <c r="EA99" s="9" t="e">
        <f aca="false">IF($AT99="",NA(),$AT99)</f>
        <v>#N/A</v>
      </c>
      <c r="EB99" s="9" t="e">
        <f aca="false">IF(AND($D99="Drift",$AT99="",$AC99&lt;&gt;""),$AC99,NA())</f>
        <v>#N/A</v>
      </c>
      <c r="EC99" s="9" t="e">
        <f aca="false">IF(AND($D99="Drift",$AE99&lt;&gt;""),$AE99,NA())</f>
        <v>#N/A</v>
      </c>
      <c r="ED99" s="9" t="e">
        <f aca="false">IF(AND(OR($D99="Sample",$D99="Check"),$AF99&lt;&gt;""),$AF99,NA())</f>
        <v>#N/A</v>
      </c>
      <c r="EE99" s="9" t="e">
        <f aca="false">IF(OR($B99="",Fits!$B$158=""),NA(),Fits!$B$158)</f>
        <v>#N/A</v>
      </c>
      <c r="EF99" s="9" t="e">
        <f aca="false">IF(OR($B99="",Fits!$B$159=""),NA(),Fits!$B$159)</f>
        <v>#N/A</v>
      </c>
      <c r="EG99" s="9" t="e">
        <f aca="false">IF($BW99="",NA(),$BW99)</f>
        <v>#N/A</v>
      </c>
      <c r="EH99" s="9" t="e">
        <f aca="false">IF(AND($EN99=1,ISNUMBER($N99)),$N99,NA())</f>
        <v>#N/A</v>
      </c>
      <c r="EI99" s="9" t="str">
        <f aca="false">IF($B99="","",$A99)</f>
        <v/>
      </c>
      <c r="EJ99" s="9" t="n">
        <f aca="false">IF(OR(AND(ISNUMBER($L99),Fits!$B$97&gt;0,$L99&gt;Fits!$B$97),AND(ISNUMBER($P99),Fits!$B$104&gt;0,$P99&gt;Fits!$B$104)),1,0)</f>
        <v>0</v>
      </c>
      <c r="EK99" s="9" t="n">
        <f aca="false">IF(OR($EJ98=1,$EJ97=1),1,0)</f>
        <v>0</v>
      </c>
      <c r="EL99" s="22" t="n">
        <f aca="false">IF(AND($EK99=0,ISNUMBER($N99)),$N99,$EL98)</f>
        <v>25.7</v>
      </c>
      <c r="EM99" s="9" t="str">
        <f aca="false">IF(AND($EK99=1,ISNUMBER($N99),ISNUMBER($EL99)),$N99-$EL99,"")</f>
        <v/>
      </c>
      <c r="EN99" s="9" t="n">
        <f aca="false">IF(Setup!$B$28="",0,IF(ISNUMBER($EM99),IF($EM99&gt;Setup!$B$28,1,0),0))</f>
        <v>0</v>
      </c>
      <c r="EO99" s="9" t="str">
        <f aca="false">IF($EN99=1,COUNTIF($EN$6:$EN99,1),"")</f>
        <v/>
      </c>
      <c r="EP99" s="9" t="n">
        <f aca="false">IF(AND($EJ98=1,OR($D99="Sample",$D99="Check")),1,0)</f>
        <v>0</v>
      </c>
      <c r="EQ99" s="9" t="str">
        <f aca="false">IF(ISNUMBER($BI99),IF(COUNT($BI$6:$BI99)&lt;=5,$BI99,""),"")</f>
        <v/>
      </c>
      <c r="ER99" s="9" t="n">
        <f aca="false">IF(OR(NOT(ISNUMBER($BJ99)),$EK99=1),$ER98,IF($BJ99&lt;=Setup!$B$26,IF($CP98=0,$A99,$ER98),""))</f>
        <v>27</v>
      </c>
    </row>
    <row r="100" customFormat="false" ht="15" hidden="false" customHeight="false" outlineLevel="0" collapsed="false">
      <c r="A100" s="8" t="n">
        <v>95</v>
      </c>
      <c r="B100" s="8" t="str">
        <f aca="false">IFERROR(INDEX(Raw!$B$2:$B$1001,MATCH($A100,Raw!$A$2:$A$1001,0)),"")</f>
        <v/>
      </c>
      <c r="C100" s="9" t="str">
        <f aca="false">IF($B100="","",MAX($CS100:$DE100))</f>
        <v/>
      </c>
      <c r="D100" s="8" t="str">
        <f aca="false">IF($B100="","",IF($C100=0,"Sample",INDEX(Setup!$B$37:$B$49,$C100-36)))</f>
        <v/>
      </c>
      <c r="E100" s="16" t="str">
        <f aca="false">IF($B100="","",IFERROR(IF(INDEX(Raw!$E$2:$E$1001,MATCH($A100,Raw!$A$2:$A$1001,0))=0,"",INDEX(Raw!$E$2:$E$1001,MATCH($A100,Raw!$A$2:$A$1001,0))),""))</f>
        <v/>
      </c>
      <c r="F100" s="18"/>
      <c r="G100" s="16" t="str">
        <f aca="false">IF($B100="","",IF($F100&lt;&gt;"",$F100,IF($E100="","",$E100)))</f>
        <v/>
      </c>
      <c r="H100" s="9" t="str">
        <f aca="false">IF($B100="","",SUMPRODUCT(MAX((Raw!$A$2:$A$1001=$A100)*(Raw!$R$2:$R$1001="N")*Raw!$D$2:$D$1001)))</f>
        <v/>
      </c>
      <c r="I100" s="9" t="str">
        <f aca="false">IF(OR($H100="",$H100=0),"",$A100&amp;"|N|"&amp;$H100)</f>
        <v/>
      </c>
      <c r="J100" s="9" t="str">
        <f aca="false">IF($B100="","",SUMPRODUCT(MIN((Raw!$A$2:$A$1001=$A100)*(Raw!$R$2:$R$1001="C")*Raw!$D$2:$D$1001+(1-(Raw!$A$2:$A$1001=$A100)*(Raw!$R$2:$R$1001="C"))*9999)))</f>
        <v/>
      </c>
      <c r="K100" s="9" t="str">
        <f aca="false">IF(OR($J100="",$J100=0,$J100=9999),"",$A100&amp;"|C|"&amp;$J100)</f>
        <v/>
      </c>
      <c r="L100" s="16" t="str">
        <f aca="false">IF($I100="","",IF(INDEX(Raw!$I$2:$I$1001,MATCH($I100,Raw!$S$2:$S$1001,0))&lt;&gt;0,"",INDEX(Raw!$H$2:$H$1001,MATCH($I100,Raw!$S$2:$S$1001,0))))</f>
        <v/>
      </c>
      <c r="M100" s="19" t="str">
        <f aca="false">IF($I100="","",IF(INDEX(Raw!$I$2:$I$1001,MATCH($I100,Raw!$S$2:$S$1001,0))&lt;&gt;0,"",INDEX(Raw!$F$2:$F$1001,MATCH($I100,Raw!$S$2:$S$1001,0))))</f>
        <v/>
      </c>
      <c r="N100" s="20" t="str">
        <f aca="false">IF($I100="","",IF(INDEX(Raw!$I$2:$I$1001,MATCH($I100,Raw!$S$2:$S$1001,0))&lt;&gt;0,"",INDEX(Raw!$G$2:$G$1001,MATCH($I100,Raw!$S$2:$S$1001,0))))</f>
        <v/>
      </c>
      <c r="O100" s="16" t="str">
        <f aca="false">IF($I100="","",IF(INDEX(Raw!$I$2:$I$1001,MATCH($I100,Raw!$S$2:$S$1001,0))&lt;&gt;0,"",INDEX(Raw!$N$2:$N$1001,MATCH($I100,Raw!$S$2:$S$1001,0))))</f>
        <v/>
      </c>
      <c r="P100" s="16" t="str">
        <f aca="false">IF($K100="","",IF(INDEX(Raw!$I$2:$I$1001,MATCH($K100,Raw!$S$2:$S$1001,0))&lt;&gt;0,"",INDEX(Raw!$K$2:$K$1001,MATCH($K100,Raw!$S$2:$S$1001,0))))</f>
        <v/>
      </c>
      <c r="Q100" s="19" t="str">
        <f aca="false">IF($K100="","",IF(INDEX(Raw!$I$2:$I$1001,MATCH($K100,Raw!$S$2:$S$1001,0))&lt;&gt;0,"",INDEX(Raw!$J$2:$J$1001,MATCH($K100,Raw!$S$2:$S$1001,0))))</f>
        <v/>
      </c>
      <c r="R100" s="16" t="str">
        <f aca="false">IF($K100="","",IF(INDEX(Raw!$I$2:$I$1001,MATCH($K100,Raw!$S$2:$S$1001,0))&lt;&gt;0,"",INDEX(Raw!$O$2:$O$1001,MATCH($K100,Raw!$S$2:$S$1001,0))))</f>
        <v/>
      </c>
      <c r="S100" s="21" t="str">
        <f aca="false">IF($B100="","",IF($C100=0,"",IF(INDEX(Setup!$D$37:$D$49,$C100-36)="","",INDEX(Setup!$D$37:$D$49,$C100-36))))</f>
        <v/>
      </c>
      <c r="T100" s="21" t="str">
        <f aca="false">IF($B100="","",IF($C100=0,"",IF(INDEX(Setup!$C$37:$C$49,$C100-36)="","",INDEX(Setup!$C$37:$C$49,$C100-36))))</f>
        <v/>
      </c>
      <c r="U100" s="21" t="str">
        <f aca="false">IF($B100="","",IF($C100=0,"",IF(INDEX(Setup!$F$37:$F$49,$C100-36)="","",INDEX(Setup!$F$37:$F$49,$C100-36))))</f>
        <v/>
      </c>
      <c r="V100" s="21" t="str">
        <f aca="false">IF($B100="","",IF($C100=0,"",IF(INDEX(Setup!$E$37:$E$49,$C100-36)="","",INDEX(Setup!$E$37:$E$49,$C100-36))))</f>
        <v/>
      </c>
      <c r="W100" s="16" t="str">
        <f aca="false">IF($O100="","",IF(OR(Fits!$C$5&lt;&gt;"Yes",$D100="Blank",$L100&lt;=Fits!$B$6),$O100,($L100*$O100-Fits!$B$6*Fits!$B$7)/($L100-Fits!$B$6)))</f>
        <v/>
      </c>
      <c r="X100" s="16" t="str">
        <f aca="false">IF($W100="","",$W100-Fits!$B$20*($L100-Fits!$B$16))</f>
        <v/>
      </c>
      <c r="Y100" s="22" t="str">
        <f aca="false">IF($W100="","",IF(OR(Fits!$B$38="Row",$BI100=""),$A100,$BI100))</f>
        <v/>
      </c>
      <c r="Z100" s="16" t="str">
        <f aca="false">IF($X100="","",$X100-Fits!$B$39*($Y100-Fits!$B$40))</f>
        <v/>
      </c>
      <c r="AA100" s="23" t="str">
        <f aca="false">IF(OR($Z100="",Fits!$B$55&lt;2),"",Fits!$B$56*$Z100+Fits!$B$57)</f>
        <v/>
      </c>
      <c r="AB100" s="16" t="str">
        <f aca="false">IF($R100="","",IF(OR(Fits!$C$9&lt;&gt;"Yes",$D100="Blank",$P100&lt;=Fits!$B$10),$R100,($P100*$R100-Fits!$B$10*Fits!$B$11)/($P100-Fits!$B$10)))</f>
        <v/>
      </c>
      <c r="AC100" s="16" t="str">
        <f aca="false">IF($AB100="","",$AB100-Fits!$B$28*($P100-Fits!$B$24))</f>
        <v/>
      </c>
      <c r="AD100" s="22" t="str">
        <f aca="false">IF($AB100="","",IF(OR(Fits!$B$50="Row",$BI100=""),$A100,$BI100))</f>
        <v/>
      </c>
      <c r="AE100" s="16" t="str">
        <f aca="false">IF($AC100="","",$AC100-Fits!$B$51*($AD100-Fits!$B$52))</f>
        <v/>
      </c>
      <c r="AF100" s="23" t="str">
        <f aca="false">IF(OR($AE100="",Fits!$B$62&lt;2),"",Fits!$B$63*$AE100+Fits!$B$64)</f>
        <v/>
      </c>
      <c r="AG100" s="21" t="str">
        <f aca="false">IF(OR($L100="",Fits!$B$69&lt;3),"",($L100-Fits!$B$71)/Fits!$B$70)</f>
        <v/>
      </c>
      <c r="AH100" s="21" t="str">
        <f aca="false">IF(OR($P100="",Fits!$B$75&lt;3),"",($P100-Fits!$B$77)/Fits!$B$76)</f>
        <v/>
      </c>
      <c r="AI100" s="23" t="str">
        <f aca="false">IF(OR($AG100="",$G100="",$G100=0),"",$AG100/($G100*1000)*100)</f>
        <v/>
      </c>
      <c r="AJ100" s="23" t="str">
        <f aca="false">IF(OR($AH100="",$G100="",$G100=0),"",$AH100/($G100*1000)*100)</f>
        <v/>
      </c>
      <c r="AK100" s="23" t="str">
        <f aca="false">IF(OR($AG100="",$AH100="",$AG100&lt;=0),"",($AH100/Setup!$B$52)/($AG100/Setup!$B$53))</f>
        <v/>
      </c>
      <c r="AL100" s="23" t="str">
        <f aca="false">IF(OR($AG100="",$AH100="",$AG100&lt;=0),"",$AH100/$AG100)</f>
        <v/>
      </c>
      <c r="AM100" s="9" t="str">
        <f aca="false">IF($D100="Linearity",IF($L100="","",$L100),"")</f>
        <v/>
      </c>
      <c r="AN100" s="9" t="str">
        <f aca="false">IF($D100="Linearity",IF($W100="","",$W100),"")</f>
        <v/>
      </c>
      <c r="AO100" s="9" t="str">
        <f aca="false">IF($D100="Linearity",IF($P100="","",$P100),"")</f>
        <v/>
      </c>
      <c r="AP100" s="9" t="str">
        <f aca="false">IF($D100="Linearity",IF($AB100="","",$AB100),"")</f>
        <v/>
      </c>
      <c r="AQ100" s="9" t="str">
        <f aca="false">IF($D100="Drift",IF($A100&lt;IF(Setup!$B$14="",0,Setup!$B$14),"",$A100),"")</f>
        <v/>
      </c>
      <c r="AR100" s="9" t="str">
        <f aca="false">IF($D100="Drift",IF($A100&lt;IF(Setup!$B$14="",0,Setup!$B$14),"",IF($BI100="","",$BI100)),"")</f>
        <v/>
      </c>
      <c r="AS100" s="9" t="str">
        <f aca="false">IF($D100="Drift",IF($A100&lt;IF(Setup!$B$14="",0,Setup!$B$14),"",IF(OR($X100="",$BX100=1),"",$X100)),"")</f>
        <v/>
      </c>
      <c r="AT100" s="9" t="str">
        <f aca="false">IF($D100="Drift",IF($A100&lt;IF(Setup!$B$14="",0,Setup!$B$14),"",IF(OR($AC100="",$BY100=1),"",$AC100)),"")</f>
        <v/>
      </c>
      <c r="AU100" s="9" t="str">
        <f aca="false">IF($D100="Anchor",IF(OR($Z100="",$S100=""),"",$Z100),"")</f>
        <v/>
      </c>
      <c r="AV100" s="9" t="str">
        <f aca="false">IF($D100="Anchor",IF(OR($Z100="",$S100=""),"",$S100),"")</f>
        <v/>
      </c>
      <c r="AW100" s="9" t="str">
        <f aca="false">IF($D100="Anchor",IF(OR($AE100="",$T100=""),"",$AE100),"")</f>
        <v/>
      </c>
      <c r="AX100" s="9" t="str">
        <f aca="false">IF($D100="Anchor",IF(OR($AE100="",$T100=""),"",$T100),"")</f>
        <v/>
      </c>
      <c r="AY100" s="9" t="str">
        <f aca="false">IF(OR($D100="Blank",$D100="Exclude",$D100="Sample",$D100="",$G100="",$U100="",$L100=""),"",$G100*1000*$U100/100)</f>
        <v/>
      </c>
      <c r="AZ100" s="9" t="str">
        <f aca="false">IF($AY100="","",$L100)</f>
        <v/>
      </c>
      <c r="BA100" s="9" t="str">
        <f aca="false">IF(OR($D100="Blank",$D100="Exclude",$D100="Sample",$D100="",$G100="",$V100="",$P100=""),"",$G100*1000*$V100/100)</f>
        <v/>
      </c>
      <c r="BB100" s="9" t="str">
        <f aca="false">IF($BA100="","",$P100)</f>
        <v/>
      </c>
      <c r="BC100" s="9" t="str">
        <f aca="false">IF(AND($D100="Blank",$L100&lt;&gt;""),$O100,"")</f>
        <v/>
      </c>
      <c r="BD100" s="9" t="str">
        <f aca="false">IF($BC100="","",$L100)</f>
        <v/>
      </c>
      <c r="BE100" s="9" t="str">
        <f aca="false">IF(AND($D100="Blank",$P100&lt;&gt;""),$R100,"")</f>
        <v/>
      </c>
      <c r="BF100" s="9" t="str">
        <f aca="false">IF($BE100="","",$P100)</f>
        <v/>
      </c>
      <c r="BG100" s="9" t="str">
        <f aca="false">IF(AND($D100="Drift",$BX100&lt;&gt;1),IF($AA100="","",$AA100),"")</f>
        <v/>
      </c>
      <c r="BH100" s="9" t="str">
        <f aca="false">IF(AND($D100="Drift",$BY100&lt;&gt;1),IF($AF100="","",$AF100),"")</f>
        <v/>
      </c>
      <c r="BI100" s="20" t="str">
        <f aca="false">IF($B100="","",IFERROR(INDEX(Raw!$G$2:$G$1001,MATCH($A100&amp;"|N|"&amp;SUMPRODUCT(MAX((Raw!$A$2:$A$1001=$A100)*(Raw!$R$2:$R$1001="N")*(Raw!$I$2:$I$1001=1)*Raw!$D$2:$D$1001)),Raw!$S$2:$S$1001,0)),""))</f>
        <v/>
      </c>
      <c r="BJ100" s="21" t="str">
        <f aca="false">IF(OR($BI100="",Fits!$B$85&lt;=0),"",($BI100-Fits!$B$83)/Fits!$B$85)</f>
        <v/>
      </c>
      <c r="BK100" s="9" t="str">
        <f aca="false">IF($AS100="","",IF($A100&gt;=Fits!$B$86,"",$A100))</f>
        <v/>
      </c>
      <c r="BL100" s="9" t="str">
        <f aca="false">IF($BK100="","",$X100)</f>
        <v/>
      </c>
      <c r="BM100" s="9" t="str">
        <f aca="false">IF($AS100="","",IF($A100&lt;Fits!$B$86,"",$A100))</f>
        <v/>
      </c>
      <c r="BN100" s="9" t="str">
        <f aca="false">IF($BM100="","",$X100)</f>
        <v/>
      </c>
      <c r="BO100" s="9" t="str">
        <f aca="false">IF(AND($D100="Drift",$BX100&lt;&gt;1),IF($O100="","",$O100),"")</f>
        <v/>
      </c>
      <c r="BP100" s="9" t="str">
        <f aca="false">IF(AND($D100="Drift",$BX100&lt;&gt;1),IF($W100="","",$W100),"")</f>
        <v/>
      </c>
      <c r="BQ100" s="9" t="str">
        <f aca="false">IF(AND($D100="Drift",$BX100&lt;&gt;1),IF($X100="","",$X100),"")</f>
        <v/>
      </c>
      <c r="BR100" s="9" t="str">
        <f aca="false">IF(AND($D100="Drift",$BX100&lt;&gt;1),IF($Z100="","",$Z100),"")</f>
        <v/>
      </c>
      <c r="BS100" s="9" t="str">
        <f aca="false">IF(OR($B100="",$H100=""),"",SUMPRODUCT(MIN((Raw!$A$2:$A$1001=$A100)*(Raw!$R$2:$R$1001="N")*(Raw!$I$2:$I$1001=0)*(Raw!$D$2:$D$1001&lt;$H100)*Raw!$D$2:$D$1001+(1-(Raw!$A$2:$A$1001=$A100)*(Raw!$R$2:$R$1001="N")*(Raw!$I$2:$I$1001=0)*(Raw!$D$2:$D$1001&lt;$H100))*9999)))</f>
        <v/>
      </c>
      <c r="BT100" s="16" t="str">
        <f aca="false">IF(OR($BS100="",$BS100=9999,$BS100=0),"",IFERROR(INDEX(Raw!$N$2:$N$1001,MATCH($A100&amp;"|N|"&amp;$BS100,Raw!$S$2:$S$1001,0)),""))</f>
        <v/>
      </c>
      <c r="BU100" s="9" t="str">
        <f aca="false">IF($B100="","",SUMPRODUCT(MIN((Raw!$A$2:$A$1001=$A100)*(Raw!$R$2:$R$1001="C")*(Raw!$I$2:$I$1001=1)*Raw!$D$2:$D$1001+(1-(Raw!$A$2:$A$1001=$A100)*(Raw!$R$2:$R$1001="C")*(Raw!$I$2:$I$1001=1))*9999)))</f>
        <v/>
      </c>
      <c r="BV100" s="9" t="str">
        <f aca="false">IF(OR($BU100="",$BU100=9999),"",SUMPRODUCT(MIN((Raw!$A$2:$A$1001=$A100)*(Raw!$R$2:$R$1001="C")*(Raw!$I$2:$I$1001=0)*(Raw!$D$2:$D$1001&gt;$BU100)*Raw!$D$2:$D$1001+(1-(Raw!$A$2:$A$1001=$A100)*(Raw!$R$2:$R$1001="C")*(Raw!$I$2:$I$1001=0)*(Raw!$D$2:$D$1001&gt;$BU100))*9999)))</f>
        <v/>
      </c>
      <c r="BW100" s="16" t="str">
        <f aca="false">IF(OR($BV100="",$BV100=9999,$BV100=0),"",IFERROR(INDEX(Raw!$O$2:$O$1001,MATCH($A100&amp;"|C|"&amp;$BV100,Raw!$S$2:$S$1001,0)),""))</f>
        <v/>
      </c>
      <c r="BX100" s="9" t="str">
        <f aca="false">IF($B100="","",IF(ISNUMBER(SEARCH(","&amp;$A100&amp;",",","&amp;SUBSTITUTE(Setup!$B$16," ","")&amp;",")),1,0))</f>
        <v/>
      </c>
      <c r="BY100" s="9" t="str">
        <f aca="false">IF($B100="","",IF(ISNUMBER(SEARCH(","&amp;$A100&amp;",",","&amp;SUBSTITUTE(Setup!$B$17," ","")&amp;",")),1,0))</f>
        <v/>
      </c>
      <c r="BZ100" s="22" t="str">
        <f aca="false">IF($AS100="","",IF(Fits!$B$38="Row",$AQ100,IF($AR100="","",$AR100)))</f>
        <v/>
      </c>
      <c r="CA100" s="22" t="str">
        <f aca="false">IF($AT100="","",IF(Fits!$B$50="Row",$AQ100,IF($AR100="","",$AR100)))</f>
        <v/>
      </c>
      <c r="CB100" s="20" t="str">
        <f aca="false">IF(OR($D100&lt;&gt;"Drift",$X100="",$A100&lt;IF(Setup!$B$14="",0,Setup!$B$14),Fits!$B$107&lt;3,Fits!$B$110="",Fits!$B$109=0,IF(Fits!$B$38="Row",$AQ100,$AR100)=""),"",IF($BX100=1,IF(OR(Fits!$B$111="",Fits!$B$111=0),"",($X100-(IF(Fits!$B$38="Row",Fits!$B$32,Fits!$B$35)*IF(Fits!$B$38="Row",$AQ100,$AR100)+Fits!$B$110))/(Fits!$B$111*SQRT(1+(1/Fits!$B$107+(IF(Fits!$B$38="Row",$AQ100,$AR100)-Fits!$B$108)^2/Fits!$B$109)))),IF(OR(Fits!$B$107&lt;4,(1/Fits!$B$107+(IF(Fits!$B$38="Row",$AQ100,$AR100)-Fits!$B$108)^2/Fits!$B$109)&gt;=1),"",IF((Fits!$B$116-($X100-(IF(Fits!$B$38="Row",Fits!$B$32,Fits!$B$35)*IF(Fits!$B$38="Row",$AQ100,$AR100)+Fits!$B$110))^2/(1-(1/Fits!$B$107+(IF(Fits!$B$38="Row",$AQ100,$AR100)-Fits!$B$108)^2/Fits!$B$109)))&lt;=0,"",($X100-(IF(Fits!$B$38="Row",Fits!$B$32,Fits!$B$35)*IF(Fits!$B$38="Row",$AQ100,$AR100)+Fits!$B$110))/(SQRT((Fits!$B$116-($X100-(IF(Fits!$B$38="Row",Fits!$B$32,Fits!$B$35)*IF(Fits!$B$38="Row",$AQ100,$AR100)+Fits!$B$110))^2/(1-(1/Fits!$B$107+(IF(Fits!$B$38="Row",$AQ100,$AR100)-Fits!$B$108)^2/Fits!$B$109)))/(Fits!$B$107-3))*SQRT(1-(1/Fits!$B$107+(IF(Fits!$B$38="Row",$AQ100,$AR100)-Fits!$B$108)^2/Fits!$B$109)))))))</f>
        <v/>
      </c>
      <c r="CC100" s="20" t="str">
        <f aca="false">IF(OR($D100&lt;&gt;"Drift",$AC100="",$A100&lt;IF(Setup!$B$14="",0,Setup!$B$14),Fits!$B$120&lt;3,Fits!$B$123="",Fits!$B$122=0,IF(Fits!$B$50="Row",$AQ100,$AR100)=""),"",IF($BY100=1,IF(OR(Fits!$B$124="",Fits!$B$124=0),"",($AC100-(IF(Fits!$B$50="Row",Fits!$B$44,Fits!$B$47)*IF(Fits!$B$50="Row",$AQ100,$AR100)+Fits!$B$123))/(Fits!$B$124*SQRT(1+(1/Fits!$B$120+(IF(Fits!$B$50="Row",$AQ100,$AR100)-Fits!$B$121)^2/Fits!$B$122)))),IF(OR(Fits!$B$120&lt;4,(1/Fits!$B$120+(IF(Fits!$B$50="Row",$AQ100,$AR100)-Fits!$B$121)^2/Fits!$B$122)&gt;=1),"",IF((Fits!$B$129-($AC100-(IF(Fits!$B$50="Row",Fits!$B$44,Fits!$B$47)*IF(Fits!$B$50="Row",$AQ100,$AR100)+Fits!$B$123))^2/(1-(1/Fits!$B$120+(IF(Fits!$B$50="Row",$AQ100,$AR100)-Fits!$B$121)^2/Fits!$B$122)))&lt;=0,"",($AC100-(IF(Fits!$B$50="Row",Fits!$B$44,Fits!$B$47)*IF(Fits!$B$50="Row",$AQ100,$AR100)+Fits!$B$123))/(SQRT((Fits!$B$129-($AC100-(IF(Fits!$B$50="Row",Fits!$B$44,Fits!$B$47)*IF(Fits!$B$50="Row",$AQ100,$AR100)+Fits!$B$123))^2/(1-(1/Fits!$B$120+(IF(Fits!$B$50="Row",$AQ100,$AR100)-Fits!$B$121)^2/Fits!$B$122)))/(Fits!$B$120-3))*SQRT(1-(1/Fits!$B$120+(IF(Fits!$B$50="Row",$AQ100,$AR100)-Fits!$B$121)^2/Fits!$B$122)))))))</f>
        <v/>
      </c>
      <c r="CD100" s="9" t="str">
        <f aca="false">IF($AU100="","",1)</f>
        <v/>
      </c>
      <c r="CE100" s="24" t="str">
        <f aca="false">IF($AU100="","",$AU100-Fits!$B$133)</f>
        <v/>
      </c>
      <c r="CF100" s="24" t="str">
        <f aca="false">IF($AU100="","",($AV100-(Fits!$B$56*$AU100+Fits!$B$57))-Fits!$B$56*($AU100-Fits!$B$133))</f>
        <v/>
      </c>
      <c r="CG100" s="25" t="str">
        <f aca="false">IF($AU100="","",$AU100^2)</f>
        <v/>
      </c>
      <c r="CH100" s="9" t="str">
        <f aca="false">IF($AW100="","",1)</f>
        <v/>
      </c>
      <c r="CI100" s="24" t="str">
        <f aca="false">IF($AW100="","",$AW100-Fits!$B$153)</f>
        <v/>
      </c>
      <c r="CJ100" s="24" t="str">
        <f aca="false">IF($AW100="","",($AX100-(Fits!$B$63*$AW100+Fits!$B$64))-Fits!$B$63*($AW100-Fits!$B$153))</f>
        <v/>
      </c>
      <c r="CK100" s="25" t="str">
        <f aca="false">IF($AW100="","",$AW100^2)</f>
        <v/>
      </c>
      <c r="CL100" s="26" t="str">
        <f aca="false">IF(OR($Z100="",Fits!$B$55&lt;3,Fits!$B$133="",Fits!$B$134="",Fits!$B$134=0,Fits!$B$136=""),"",SQRT((Fits!$B$136*Fits!$B$56)^2+SUMPRODUCT((Fits!$J$163:$J$175*(Fits!$B$163:$B$175/Fits!$B$55+Fits!$H$163:$H$175*($Z100-Fits!$B$133)/Fits!$B$134))^2)+SUMPRODUCT((Fits!$G$163:$G$175*(($Z100-Fits!$B$133)*Fits!$I$163:$I$175/Fits!$B$134-Fits!$B$163:$B$175*Fits!$B$56/Fits!$B$55))^2)))</f>
        <v/>
      </c>
      <c r="CM100" s="26" t="str">
        <f aca="false">IF($CL100="","",Setup!$B$32*$CL100)</f>
        <v/>
      </c>
      <c r="CN100" s="26" t="str">
        <f aca="false">IF(OR($AE100="",Fits!$B$62&lt;3,Fits!$B$153="",Fits!$B$154="",Fits!$B$154=0,Fits!$B$156=""),"",SQRT((Fits!$B$156*Fits!$B$63)^2+SUMPRODUCT((Fits!$J$183:$J$195*(Fits!$B$183:$B$195/Fits!$B$62+Fits!$H$183:$H$195*($AE100-Fits!$B$153)/Fits!$B$154))^2)+SUMPRODUCT((Fits!$G$183:$G$195*(($AE100-Fits!$B$153)*Fits!$I$183:$I$195/Fits!$B$154-Fits!$B$183:$B$195*Fits!$B$63/Fits!$B$62))^2)))</f>
        <v/>
      </c>
      <c r="CO100" s="26" t="str">
        <f aca="false">IF($CN100="","",Setup!$B$32*$CN100)</f>
        <v/>
      </c>
      <c r="CP100" s="9" t="n">
        <f aca="false">IF(OR(NOT(ISNUMBER($BJ100)),$EK100=1),$CP99,IF($BJ100&lt;=Setup!$B$26,$CP99+1,0))</f>
        <v>26</v>
      </c>
      <c r="CQ100" s="9" t="str">
        <f aca="false">IF($BT100="","",$A100)</f>
        <v/>
      </c>
      <c r="CR100" s="9" t="str">
        <f aca="false">IF($BW100="","",$A100)</f>
        <v/>
      </c>
      <c r="CS100" s="9" t="str">
        <f aca="false">IF($B100="","",IF(Setup!$A$37="",0,IF(ISNUMBER(SEARCH(Setup!$A$37,$B100)),37,0)))</f>
        <v/>
      </c>
      <c r="CT100" s="9" t="str">
        <f aca="false">IF($B100="","",IF(Setup!$A$38="",0,IF(ISNUMBER(SEARCH(Setup!$A$38,$B100)),38,0)))</f>
        <v/>
      </c>
      <c r="CU100" s="9" t="str">
        <f aca="false">IF($B100="","",IF(Setup!$A$39="",0,IF(ISNUMBER(SEARCH(Setup!$A$39,$B100)),39,0)))</f>
        <v/>
      </c>
      <c r="CV100" s="9" t="str">
        <f aca="false">IF($B100="","",IF(Setup!$A$40="",0,IF(ISNUMBER(SEARCH(Setup!$A$40,$B100)),40,0)))</f>
        <v/>
      </c>
      <c r="CW100" s="9" t="str">
        <f aca="false">IF($B100="","",IF(Setup!$A$41="",0,IF(ISNUMBER(SEARCH(Setup!$A$41,$B100)),41,0)))</f>
        <v/>
      </c>
      <c r="CX100" s="9" t="str">
        <f aca="false">IF($B100="","",IF(Setup!$A$42="",0,IF(ISNUMBER(SEARCH(Setup!$A$42,$B100)),42,0)))</f>
        <v/>
      </c>
      <c r="CY100" s="9" t="str">
        <f aca="false">IF($B100="","",IF(Setup!$A$43="",0,IF(ISNUMBER(SEARCH(Setup!$A$43,$B100)),43,0)))</f>
        <v/>
      </c>
      <c r="CZ100" s="9" t="str">
        <f aca="false">IF($B100="","",IF(Setup!$A$44="",0,IF(ISNUMBER(SEARCH(Setup!$A$44,$B100)),44,0)))</f>
        <v/>
      </c>
      <c r="DA100" s="9" t="str">
        <f aca="false">IF($B100="","",IF(Setup!$A$45="",0,IF(ISNUMBER(SEARCH(Setup!$A$45,$B100)),45,0)))</f>
        <v/>
      </c>
      <c r="DB100" s="9" t="str">
        <f aca="false">IF($B100="","",IF(Setup!$A$46="",0,IF(ISNUMBER(SEARCH(Setup!$A$46,$B100)),46,0)))</f>
        <v/>
      </c>
      <c r="DC100" s="9" t="str">
        <f aca="false">IF($B100="","",IF(Setup!$A$47="",0,IF(ISNUMBER(SEARCH(Setup!$A$47,$B100)),47,0)))</f>
        <v/>
      </c>
      <c r="DD100" s="9" t="str">
        <f aca="false">IF($B100="","",IF(Setup!$A$48="",0,IF(ISNUMBER(SEARCH(Setup!$A$48,$B100)),48,0)))</f>
        <v/>
      </c>
      <c r="DE100" s="9" t="str">
        <f aca="false">IF($B100="","",IF(Setup!$A$49="",0,IF(ISNUMBER(SEARCH(Setup!$A$49,$B100)),49,0)))</f>
        <v/>
      </c>
      <c r="DF100" s="9" t="e">
        <f aca="false">IF($B100="",NA(),$A100)</f>
        <v>#N/A</v>
      </c>
      <c r="DG100" s="9" t="e">
        <f aca="false">IF($BI100="",NA(),$BI100)</f>
        <v>#N/A</v>
      </c>
      <c r="DH100" s="9" t="e">
        <f aca="false">IF($N100="",NA(),$N100)</f>
        <v>#N/A</v>
      </c>
      <c r="DI100" s="9" t="e">
        <f aca="false">IF(AND($D100="Drift",$N100&lt;&gt;""),$N100,NA())</f>
        <v>#N/A</v>
      </c>
      <c r="DJ100" s="9" t="str">
        <f aca="false">IF(AND($D100="Drift",$N100&lt;&gt;""),$N100,"")</f>
        <v/>
      </c>
      <c r="DK100" s="9" t="str">
        <f aca="false">IF($DJ100="","",$A100)</f>
        <v/>
      </c>
      <c r="DL100" s="9" t="e">
        <f aca="false">IF($AN100="",NA(),$AM100)</f>
        <v>#N/A</v>
      </c>
      <c r="DM100" s="9" t="e">
        <f aca="false">IF($AN100="",NA(),$AN100)</f>
        <v>#N/A</v>
      </c>
      <c r="DN100" s="9" t="e">
        <f aca="false">IF(AND($D100="Sample",$L100&lt;&gt;""),$L100,NA())</f>
        <v>#N/A</v>
      </c>
      <c r="DO100" s="9" t="e">
        <f aca="false">IF(AND($D100="Sample",$L100&lt;&gt;"",Fits!$B$98&lt;&gt;""),Fits!$B$98,NA())</f>
        <v>#N/A</v>
      </c>
      <c r="DP100" s="9" t="e">
        <f aca="false">IF($AS100="",NA(),$AS100)</f>
        <v>#N/A</v>
      </c>
      <c r="DQ100" s="9" t="e">
        <f aca="false">IF(AND($D100="Drift",$AS100="",$X100&lt;&gt;""),$X100,NA())</f>
        <v>#N/A</v>
      </c>
      <c r="DR100" s="9" t="e">
        <f aca="false">IF(AND($D100="Drift",$Z100&lt;&gt;""),$Z100,NA())</f>
        <v>#N/A</v>
      </c>
      <c r="DS100" s="9" t="e">
        <f aca="false">IF(AND(OR($D100="Sample",$D100="Check"),$AA100&lt;&gt;""),$AA100,NA())</f>
        <v>#N/A</v>
      </c>
      <c r="DT100" s="9" t="e">
        <f aca="false">IF(OR($B100="",Fits!$B$138=""),NA(),Fits!$B$138)</f>
        <v>#N/A</v>
      </c>
      <c r="DU100" s="9" t="e">
        <f aca="false">IF(OR($B100="",Fits!$B$139=""),NA(),Fits!$B$139)</f>
        <v>#N/A</v>
      </c>
      <c r="DV100" s="9" t="e">
        <f aca="false">IF($BT100="",NA(),$BT100)</f>
        <v>#N/A</v>
      </c>
      <c r="DW100" s="9" t="e">
        <f aca="false">IF($AP100="",NA(),$AO100)</f>
        <v>#N/A</v>
      </c>
      <c r="DX100" s="9" t="e">
        <f aca="false">IF($AP100="",NA(),$AP100)</f>
        <v>#N/A</v>
      </c>
      <c r="DY100" s="9" t="e">
        <f aca="false">IF(AND($D100="Sample",$P100&lt;&gt;""),$P100,NA())</f>
        <v>#N/A</v>
      </c>
      <c r="DZ100" s="9" t="e">
        <f aca="false">IF(AND($D100="Sample",$P100&lt;&gt;"",Fits!$B$105&lt;&gt;""),Fits!$B$105,NA())</f>
        <v>#N/A</v>
      </c>
      <c r="EA100" s="9" t="e">
        <f aca="false">IF($AT100="",NA(),$AT100)</f>
        <v>#N/A</v>
      </c>
      <c r="EB100" s="9" t="e">
        <f aca="false">IF(AND($D100="Drift",$AT100="",$AC100&lt;&gt;""),$AC100,NA())</f>
        <v>#N/A</v>
      </c>
      <c r="EC100" s="9" t="e">
        <f aca="false">IF(AND($D100="Drift",$AE100&lt;&gt;""),$AE100,NA())</f>
        <v>#N/A</v>
      </c>
      <c r="ED100" s="9" t="e">
        <f aca="false">IF(AND(OR($D100="Sample",$D100="Check"),$AF100&lt;&gt;""),$AF100,NA())</f>
        <v>#N/A</v>
      </c>
      <c r="EE100" s="9" t="e">
        <f aca="false">IF(OR($B100="",Fits!$B$158=""),NA(),Fits!$B$158)</f>
        <v>#N/A</v>
      </c>
      <c r="EF100" s="9" t="e">
        <f aca="false">IF(OR($B100="",Fits!$B$159=""),NA(),Fits!$B$159)</f>
        <v>#N/A</v>
      </c>
      <c r="EG100" s="9" t="e">
        <f aca="false">IF($BW100="",NA(),$BW100)</f>
        <v>#N/A</v>
      </c>
      <c r="EH100" s="9" t="e">
        <f aca="false">IF(AND($EN100=1,ISNUMBER($N100)),$N100,NA())</f>
        <v>#N/A</v>
      </c>
      <c r="EI100" s="9" t="str">
        <f aca="false">IF($B100="","",$A100)</f>
        <v/>
      </c>
      <c r="EJ100" s="9" t="n">
        <f aca="false">IF(OR(AND(ISNUMBER($L100),Fits!$B$97&gt;0,$L100&gt;Fits!$B$97),AND(ISNUMBER($P100),Fits!$B$104&gt;0,$P100&gt;Fits!$B$104)),1,0)</f>
        <v>0</v>
      </c>
      <c r="EK100" s="9" t="n">
        <f aca="false">IF(OR($EJ99=1,$EJ98=1),1,0)</f>
        <v>0</v>
      </c>
      <c r="EL100" s="22" t="n">
        <f aca="false">IF(AND($EK100=0,ISNUMBER($N100)),$N100,$EL99)</f>
        <v>25.7</v>
      </c>
      <c r="EM100" s="9" t="str">
        <f aca="false">IF(AND($EK100=1,ISNUMBER($N100),ISNUMBER($EL100)),$N100-$EL100,"")</f>
        <v/>
      </c>
      <c r="EN100" s="9" t="n">
        <f aca="false">IF(Setup!$B$28="",0,IF(ISNUMBER($EM100),IF($EM100&gt;Setup!$B$28,1,0),0))</f>
        <v>0</v>
      </c>
      <c r="EO100" s="9" t="str">
        <f aca="false">IF($EN100=1,COUNTIF($EN$6:$EN100,1),"")</f>
        <v/>
      </c>
      <c r="EP100" s="9" t="n">
        <f aca="false">IF(AND($EJ99=1,OR($D100="Sample",$D100="Check")),1,0)</f>
        <v>0</v>
      </c>
      <c r="EQ100" s="9" t="str">
        <f aca="false">IF(ISNUMBER($BI100),IF(COUNT($BI$6:$BI100)&lt;=5,$BI100,""),"")</f>
        <v/>
      </c>
      <c r="ER100" s="9" t="n">
        <f aca="false">IF(OR(NOT(ISNUMBER($BJ100)),$EK100=1),$ER99,IF($BJ100&lt;=Setup!$B$26,IF($CP99=0,$A100,$ER99),""))</f>
        <v>27</v>
      </c>
    </row>
    <row r="101" customFormat="false" ht="15" hidden="false" customHeight="false" outlineLevel="0" collapsed="false">
      <c r="A101" s="8" t="n">
        <v>96</v>
      </c>
      <c r="B101" s="8" t="str">
        <f aca="false">IFERROR(INDEX(Raw!$B$2:$B$1001,MATCH($A101,Raw!$A$2:$A$1001,0)),"")</f>
        <v/>
      </c>
      <c r="C101" s="9" t="str">
        <f aca="false">IF($B101="","",MAX($CS101:$DE101))</f>
        <v/>
      </c>
      <c r="D101" s="8" t="str">
        <f aca="false">IF($B101="","",IF($C101=0,"Sample",INDEX(Setup!$B$37:$B$49,$C101-36)))</f>
        <v/>
      </c>
      <c r="E101" s="16" t="str">
        <f aca="false">IF($B101="","",IFERROR(IF(INDEX(Raw!$E$2:$E$1001,MATCH($A101,Raw!$A$2:$A$1001,0))=0,"",INDEX(Raw!$E$2:$E$1001,MATCH($A101,Raw!$A$2:$A$1001,0))),""))</f>
        <v/>
      </c>
      <c r="F101" s="18"/>
      <c r="G101" s="16" t="str">
        <f aca="false">IF($B101="","",IF($F101&lt;&gt;"",$F101,IF($E101="","",$E101)))</f>
        <v/>
      </c>
      <c r="H101" s="9" t="str">
        <f aca="false">IF($B101="","",SUMPRODUCT(MAX((Raw!$A$2:$A$1001=$A101)*(Raw!$R$2:$R$1001="N")*Raw!$D$2:$D$1001)))</f>
        <v/>
      </c>
      <c r="I101" s="9" t="str">
        <f aca="false">IF(OR($H101="",$H101=0),"",$A101&amp;"|N|"&amp;$H101)</f>
        <v/>
      </c>
      <c r="J101" s="9" t="str">
        <f aca="false">IF($B101="","",SUMPRODUCT(MIN((Raw!$A$2:$A$1001=$A101)*(Raw!$R$2:$R$1001="C")*Raw!$D$2:$D$1001+(1-(Raw!$A$2:$A$1001=$A101)*(Raw!$R$2:$R$1001="C"))*9999)))</f>
        <v/>
      </c>
      <c r="K101" s="9" t="str">
        <f aca="false">IF(OR($J101="",$J101=0,$J101=9999),"",$A101&amp;"|C|"&amp;$J101)</f>
        <v/>
      </c>
      <c r="L101" s="16" t="str">
        <f aca="false">IF($I101="","",IF(INDEX(Raw!$I$2:$I$1001,MATCH($I101,Raw!$S$2:$S$1001,0))&lt;&gt;0,"",INDEX(Raw!$H$2:$H$1001,MATCH($I101,Raw!$S$2:$S$1001,0))))</f>
        <v/>
      </c>
      <c r="M101" s="19" t="str">
        <f aca="false">IF($I101="","",IF(INDEX(Raw!$I$2:$I$1001,MATCH($I101,Raw!$S$2:$S$1001,0))&lt;&gt;0,"",INDEX(Raw!$F$2:$F$1001,MATCH($I101,Raw!$S$2:$S$1001,0))))</f>
        <v/>
      </c>
      <c r="N101" s="20" t="str">
        <f aca="false">IF($I101="","",IF(INDEX(Raw!$I$2:$I$1001,MATCH($I101,Raw!$S$2:$S$1001,0))&lt;&gt;0,"",INDEX(Raw!$G$2:$G$1001,MATCH($I101,Raw!$S$2:$S$1001,0))))</f>
        <v/>
      </c>
      <c r="O101" s="16" t="str">
        <f aca="false">IF($I101="","",IF(INDEX(Raw!$I$2:$I$1001,MATCH($I101,Raw!$S$2:$S$1001,0))&lt;&gt;0,"",INDEX(Raw!$N$2:$N$1001,MATCH($I101,Raw!$S$2:$S$1001,0))))</f>
        <v/>
      </c>
      <c r="P101" s="16" t="str">
        <f aca="false">IF($K101="","",IF(INDEX(Raw!$I$2:$I$1001,MATCH($K101,Raw!$S$2:$S$1001,0))&lt;&gt;0,"",INDEX(Raw!$K$2:$K$1001,MATCH($K101,Raw!$S$2:$S$1001,0))))</f>
        <v/>
      </c>
      <c r="Q101" s="19" t="str">
        <f aca="false">IF($K101="","",IF(INDEX(Raw!$I$2:$I$1001,MATCH($K101,Raw!$S$2:$S$1001,0))&lt;&gt;0,"",INDEX(Raw!$J$2:$J$1001,MATCH($K101,Raw!$S$2:$S$1001,0))))</f>
        <v/>
      </c>
      <c r="R101" s="16" t="str">
        <f aca="false">IF($K101="","",IF(INDEX(Raw!$I$2:$I$1001,MATCH($K101,Raw!$S$2:$S$1001,0))&lt;&gt;0,"",INDEX(Raw!$O$2:$O$1001,MATCH($K101,Raw!$S$2:$S$1001,0))))</f>
        <v/>
      </c>
      <c r="S101" s="21" t="str">
        <f aca="false">IF($B101="","",IF($C101=0,"",IF(INDEX(Setup!$D$37:$D$49,$C101-36)="","",INDEX(Setup!$D$37:$D$49,$C101-36))))</f>
        <v/>
      </c>
      <c r="T101" s="21" t="str">
        <f aca="false">IF($B101="","",IF($C101=0,"",IF(INDEX(Setup!$C$37:$C$49,$C101-36)="","",INDEX(Setup!$C$37:$C$49,$C101-36))))</f>
        <v/>
      </c>
      <c r="U101" s="21" t="str">
        <f aca="false">IF($B101="","",IF($C101=0,"",IF(INDEX(Setup!$F$37:$F$49,$C101-36)="","",INDEX(Setup!$F$37:$F$49,$C101-36))))</f>
        <v/>
      </c>
      <c r="V101" s="21" t="str">
        <f aca="false">IF($B101="","",IF($C101=0,"",IF(INDEX(Setup!$E$37:$E$49,$C101-36)="","",INDEX(Setup!$E$37:$E$49,$C101-36))))</f>
        <v/>
      </c>
      <c r="W101" s="16" t="str">
        <f aca="false">IF($O101="","",IF(OR(Fits!$C$5&lt;&gt;"Yes",$D101="Blank",$L101&lt;=Fits!$B$6),$O101,($L101*$O101-Fits!$B$6*Fits!$B$7)/($L101-Fits!$B$6)))</f>
        <v/>
      </c>
      <c r="X101" s="16" t="str">
        <f aca="false">IF($W101="","",$W101-Fits!$B$20*($L101-Fits!$B$16))</f>
        <v/>
      </c>
      <c r="Y101" s="22" t="str">
        <f aca="false">IF($W101="","",IF(OR(Fits!$B$38="Row",$BI101=""),$A101,$BI101))</f>
        <v/>
      </c>
      <c r="Z101" s="16" t="str">
        <f aca="false">IF($X101="","",$X101-Fits!$B$39*($Y101-Fits!$B$40))</f>
        <v/>
      </c>
      <c r="AA101" s="23" t="str">
        <f aca="false">IF(OR($Z101="",Fits!$B$55&lt;2),"",Fits!$B$56*$Z101+Fits!$B$57)</f>
        <v/>
      </c>
      <c r="AB101" s="16" t="str">
        <f aca="false">IF($R101="","",IF(OR(Fits!$C$9&lt;&gt;"Yes",$D101="Blank",$P101&lt;=Fits!$B$10),$R101,($P101*$R101-Fits!$B$10*Fits!$B$11)/($P101-Fits!$B$10)))</f>
        <v/>
      </c>
      <c r="AC101" s="16" t="str">
        <f aca="false">IF($AB101="","",$AB101-Fits!$B$28*($P101-Fits!$B$24))</f>
        <v/>
      </c>
      <c r="AD101" s="22" t="str">
        <f aca="false">IF($AB101="","",IF(OR(Fits!$B$50="Row",$BI101=""),$A101,$BI101))</f>
        <v/>
      </c>
      <c r="AE101" s="16" t="str">
        <f aca="false">IF($AC101="","",$AC101-Fits!$B$51*($AD101-Fits!$B$52))</f>
        <v/>
      </c>
      <c r="AF101" s="23" t="str">
        <f aca="false">IF(OR($AE101="",Fits!$B$62&lt;2),"",Fits!$B$63*$AE101+Fits!$B$64)</f>
        <v/>
      </c>
      <c r="AG101" s="21" t="str">
        <f aca="false">IF(OR($L101="",Fits!$B$69&lt;3),"",($L101-Fits!$B$71)/Fits!$B$70)</f>
        <v/>
      </c>
      <c r="AH101" s="21" t="str">
        <f aca="false">IF(OR($P101="",Fits!$B$75&lt;3),"",($P101-Fits!$B$77)/Fits!$B$76)</f>
        <v/>
      </c>
      <c r="AI101" s="23" t="str">
        <f aca="false">IF(OR($AG101="",$G101="",$G101=0),"",$AG101/($G101*1000)*100)</f>
        <v/>
      </c>
      <c r="AJ101" s="23" t="str">
        <f aca="false">IF(OR($AH101="",$G101="",$G101=0),"",$AH101/($G101*1000)*100)</f>
        <v/>
      </c>
      <c r="AK101" s="23" t="str">
        <f aca="false">IF(OR($AG101="",$AH101="",$AG101&lt;=0),"",($AH101/Setup!$B$52)/($AG101/Setup!$B$53))</f>
        <v/>
      </c>
      <c r="AL101" s="23" t="str">
        <f aca="false">IF(OR($AG101="",$AH101="",$AG101&lt;=0),"",$AH101/$AG101)</f>
        <v/>
      </c>
      <c r="AM101" s="9" t="str">
        <f aca="false">IF($D101="Linearity",IF($L101="","",$L101),"")</f>
        <v/>
      </c>
      <c r="AN101" s="9" t="str">
        <f aca="false">IF($D101="Linearity",IF($W101="","",$W101),"")</f>
        <v/>
      </c>
      <c r="AO101" s="9" t="str">
        <f aca="false">IF($D101="Linearity",IF($P101="","",$P101),"")</f>
        <v/>
      </c>
      <c r="AP101" s="9" t="str">
        <f aca="false">IF($D101="Linearity",IF($AB101="","",$AB101),"")</f>
        <v/>
      </c>
      <c r="AQ101" s="9" t="str">
        <f aca="false">IF($D101="Drift",IF($A101&lt;IF(Setup!$B$14="",0,Setup!$B$14),"",$A101),"")</f>
        <v/>
      </c>
      <c r="AR101" s="9" t="str">
        <f aca="false">IF($D101="Drift",IF($A101&lt;IF(Setup!$B$14="",0,Setup!$B$14),"",IF($BI101="","",$BI101)),"")</f>
        <v/>
      </c>
      <c r="AS101" s="9" t="str">
        <f aca="false">IF($D101="Drift",IF($A101&lt;IF(Setup!$B$14="",0,Setup!$B$14),"",IF(OR($X101="",$BX101=1),"",$X101)),"")</f>
        <v/>
      </c>
      <c r="AT101" s="9" t="str">
        <f aca="false">IF($D101="Drift",IF($A101&lt;IF(Setup!$B$14="",0,Setup!$B$14),"",IF(OR($AC101="",$BY101=1),"",$AC101)),"")</f>
        <v/>
      </c>
      <c r="AU101" s="9" t="str">
        <f aca="false">IF($D101="Anchor",IF(OR($Z101="",$S101=""),"",$Z101),"")</f>
        <v/>
      </c>
      <c r="AV101" s="9" t="str">
        <f aca="false">IF($D101="Anchor",IF(OR($Z101="",$S101=""),"",$S101),"")</f>
        <v/>
      </c>
      <c r="AW101" s="9" t="str">
        <f aca="false">IF($D101="Anchor",IF(OR($AE101="",$T101=""),"",$AE101),"")</f>
        <v/>
      </c>
      <c r="AX101" s="9" t="str">
        <f aca="false">IF($D101="Anchor",IF(OR($AE101="",$T101=""),"",$T101),"")</f>
        <v/>
      </c>
      <c r="AY101" s="9" t="str">
        <f aca="false">IF(OR($D101="Blank",$D101="Exclude",$D101="Sample",$D101="",$G101="",$U101="",$L101=""),"",$G101*1000*$U101/100)</f>
        <v/>
      </c>
      <c r="AZ101" s="9" t="str">
        <f aca="false">IF($AY101="","",$L101)</f>
        <v/>
      </c>
      <c r="BA101" s="9" t="str">
        <f aca="false">IF(OR($D101="Blank",$D101="Exclude",$D101="Sample",$D101="",$G101="",$V101="",$P101=""),"",$G101*1000*$V101/100)</f>
        <v/>
      </c>
      <c r="BB101" s="9" t="str">
        <f aca="false">IF($BA101="","",$P101)</f>
        <v/>
      </c>
      <c r="BC101" s="9" t="str">
        <f aca="false">IF(AND($D101="Blank",$L101&lt;&gt;""),$O101,"")</f>
        <v/>
      </c>
      <c r="BD101" s="9" t="str">
        <f aca="false">IF($BC101="","",$L101)</f>
        <v/>
      </c>
      <c r="BE101" s="9" t="str">
        <f aca="false">IF(AND($D101="Blank",$P101&lt;&gt;""),$R101,"")</f>
        <v/>
      </c>
      <c r="BF101" s="9" t="str">
        <f aca="false">IF($BE101="","",$P101)</f>
        <v/>
      </c>
      <c r="BG101" s="9" t="str">
        <f aca="false">IF(AND($D101="Drift",$BX101&lt;&gt;1),IF($AA101="","",$AA101),"")</f>
        <v/>
      </c>
      <c r="BH101" s="9" t="str">
        <f aca="false">IF(AND($D101="Drift",$BY101&lt;&gt;1),IF($AF101="","",$AF101),"")</f>
        <v/>
      </c>
      <c r="BI101" s="20" t="str">
        <f aca="false">IF($B101="","",IFERROR(INDEX(Raw!$G$2:$G$1001,MATCH($A101&amp;"|N|"&amp;SUMPRODUCT(MAX((Raw!$A$2:$A$1001=$A101)*(Raw!$R$2:$R$1001="N")*(Raw!$I$2:$I$1001=1)*Raw!$D$2:$D$1001)),Raw!$S$2:$S$1001,0)),""))</f>
        <v/>
      </c>
      <c r="BJ101" s="21" t="str">
        <f aca="false">IF(OR($BI101="",Fits!$B$85&lt;=0),"",($BI101-Fits!$B$83)/Fits!$B$85)</f>
        <v/>
      </c>
      <c r="BK101" s="9" t="str">
        <f aca="false">IF($AS101="","",IF($A101&gt;=Fits!$B$86,"",$A101))</f>
        <v/>
      </c>
      <c r="BL101" s="9" t="str">
        <f aca="false">IF($BK101="","",$X101)</f>
        <v/>
      </c>
      <c r="BM101" s="9" t="str">
        <f aca="false">IF($AS101="","",IF($A101&lt;Fits!$B$86,"",$A101))</f>
        <v/>
      </c>
      <c r="BN101" s="9" t="str">
        <f aca="false">IF($BM101="","",$X101)</f>
        <v/>
      </c>
      <c r="BO101" s="9" t="str">
        <f aca="false">IF(AND($D101="Drift",$BX101&lt;&gt;1),IF($O101="","",$O101),"")</f>
        <v/>
      </c>
      <c r="BP101" s="9" t="str">
        <f aca="false">IF(AND($D101="Drift",$BX101&lt;&gt;1),IF($W101="","",$W101),"")</f>
        <v/>
      </c>
      <c r="BQ101" s="9" t="str">
        <f aca="false">IF(AND($D101="Drift",$BX101&lt;&gt;1),IF($X101="","",$X101),"")</f>
        <v/>
      </c>
      <c r="BR101" s="9" t="str">
        <f aca="false">IF(AND($D101="Drift",$BX101&lt;&gt;1),IF($Z101="","",$Z101),"")</f>
        <v/>
      </c>
      <c r="BS101" s="9" t="str">
        <f aca="false">IF(OR($B101="",$H101=""),"",SUMPRODUCT(MIN((Raw!$A$2:$A$1001=$A101)*(Raw!$R$2:$R$1001="N")*(Raw!$I$2:$I$1001=0)*(Raw!$D$2:$D$1001&lt;$H101)*Raw!$D$2:$D$1001+(1-(Raw!$A$2:$A$1001=$A101)*(Raw!$R$2:$R$1001="N")*(Raw!$I$2:$I$1001=0)*(Raw!$D$2:$D$1001&lt;$H101))*9999)))</f>
        <v/>
      </c>
      <c r="BT101" s="16" t="str">
        <f aca="false">IF(OR($BS101="",$BS101=9999,$BS101=0),"",IFERROR(INDEX(Raw!$N$2:$N$1001,MATCH($A101&amp;"|N|"&amp;$BS101,Raw!$S$2:$S$1001,0)),""))</f>
        <v/>
      </c>
      <c r="BU101" s="9" t="str">
        <f aca="false">IF($B101="","",SUMPRODUCT(MIN((Raw!$A$2:$A$1001=$A101)*(Raw!$R$2:$R$1001="C")*(Raw!$I$2:$I$1001=1)*Raw!$D$2:$D$1001+(1-(Raw!$A$2:$A$1001=$A101)*(Raw!$R$2:$R$1001="C")*(Raw!$I$2:$I$1001=1))*9999)))</f>
        <v/>
      </c>
      <c r="BV101" s="9" t="str">
        <f aca="false">IF(OR($BU101="",$BU101=9999),"",SUMPRODUCT(MIN((Raw!$A$2:$A$1001=$A101)*(Raw!$R$2:$R$1001="C")*(Raw!$I$2:$I$1001=0)*(Raw!$D$2:$D$1001&gt;$BU101)*Raw!$D$2:$D$1001+(1-(Raw!$A$2:$A$1001=$A101)*(Raw!$R$2:$R$1001="C")*(Raw!$I$2:$I$1001=0)*(Raw!$D$2:$D$1001&gt;$BU101))*9999)))</f>
        <v/>
      </c>
      <c r="BW101" s="16" t="str">
        <f aca="false">IF(OR($BV101="",$BV101=9999,$BV101=0),"",IFERROR(INDEX(Raw!$O$2:$O$1001,MATCH($A101&amp;"|C|"&amp;$BV101,Raw!$S$2:$S$1001,0)),""))</f>
        <v/>
      </c>
      <c r="BX101" s="9" t="str">
        <f aca="false">IF($B101="","",IF(ISNUMBER(SEARCH(","&amp;$A101&amp;",",","&amp;SUBSTITUTE(Setup!$B$16," ","")&amp;",")),1,0))</f>
        <v/>
      </c>
      <c r="BY101" s="9" t="str">
        <f aca="false">IF($B101="","",IF(ISNUMBER(SEARCH(","&amp;$A101&amp;",",","&amp;SUBSTITUTE(Setup!$B$17," ","")&amp;",")),1,0))</f>
        <v/>
      </c>
      <c r="BZ101" s="22" t="str">
        <f aca="false">IF($AS101="","",IF(Fits!$B$38="Row",$AQ101,IF($AR101="","",$AR101)))</f>
        <v/>
      </c>
      <c r="CA101" s="22" t="str">
        <f aca="false">IF($AT101="","",IF(Fits!$B$50="Row",$AQ101,IF($AR101="","",$AR101)))</f>
        <v/>
      </c>
      <c r="CB101" s="20" t="str">
        <f aca="false">IF(OR($D101&lt;&gt;"Drift",$X101="",$A101&lt;IF(Setup!$B$14="",0,Setup!$B$14),Fits!$B$107&lt;3,Fits!$B$110="",Fits!$B$109=0,IF(Fits!$B$38="Row",$AQ101,$AR101)=""),"",IF($BX101=1,IF(OR(Fits!$B$111="",Fits!$B$111=0),"",($X101-(IF(Fits!$B$38="Row",Fits!$B$32,Fits!$B$35)*IF(Fits!$B$38="Row",$AQ101,$AR101)+Fits!$B$110))/(Fits!$B$111*SQRT(1+(1/Fits!$B$107+(IF(Fits!$B$38="Row",$AQ101,$AR101)-Fits!$B$108)^2/Fits!$B$109)))),IF(OR(Fits!$B$107&lt;4,(1/Fits!$B$107+(IF(Fits!$B$38="Row",$AQ101,$AR101)-Fits!$B$108)^2/Fits!$B$109)&gt;=1),"",IF((Fits!$B$116-($X101-(IF(Fits!$B$38="Row",Fits!$B$32,Fits!$B$35)*IF(Fits!$B$38="Row",$AQ101,$AR101)+Fits!$B$110))^2/(1-(1/Fits!$B$107+(IF(Fits!$B$38="Row",$AQ101,$AR101)-Fits!$B$108)^2/Fits!$B$109)))&lt;=0,"",($X101-(IF(Fits!$B$38="Row",Fits!$B$32,Fits!$B$35)*IF(Fits!$B$38="Row",$AQ101,$AR101)+Fits!$B$110))/(SQRT((Fits!$B$116-($X101-(IF(Fits!$B$38="Row",Fits!$B$32,Fits!$B$35)*IF(Fits!$B$38="Row",$AQ101,$AR101)+Fits!$B$110))^2/(1-(1/Fits!$B$107+(IF(Fits!$B$38="Row",$AQ101,$AR101)-Fits!$B$108)^2/Fits!$B$109)))/(Fits!$B$107-3))*SQRT(1-(1/Fits!$B$107+(IF(Fits!$B$38="Row",$AQ101,$AR101)-Fits!$B$108)^2/Fits!$B$109)))))))</f>
        <v/>
      </c>
      <c r="CC101" s="20" t="str">
        <f aca="false">IF(OR($D101&lt;&gt;"Drift",$AC101="",$A101&lt;IF(Setup!$B$14="",0,Setup!$B$14),Fits!$B$120&lt;3,Fits!$B$123="",Fits!$B$122=0,IF(Fits!$B$50="Row",$AQ101,$AR101)=""),"",IF($BY101=1,IF(OR(Fits!$B$124="",Fits!$B$124=0),"",($AC101-(IF(Fits!$B$50="Row",Fits!$B$44,Fits!$B$47)*IF(Fits!$B$50="Row",$AQ101,$AR101)+Fits!$B$123))/(Fits!$B$124*SQRT(1+(1/Fits!$B$120+(IF(Fits!$B$50="Row",$AQ101,$AR101)-Fits!$B$121)^2/Fits!$B$122)))),IF(OR(Fits!$B$120&lt;4,(1/Fits!$B$120+(IF(Fits!$B$50="Row",$AQ101,$AR101)-Fits!$B$121)^2/Fits!$B$122)&gt;=1),"",IF((Fits!$B$129-($AC101-(IF(Fits!$B$50="Row",Fits!$B$44,Fits!$B$47)*IF(Fits!$B$50="Row",$AQ101,$AR101)+Fits!$B$123))^2/(1-(1/Fits!$B$120+(IF(Fits!$B$50="Row",$AQ101,$AR101)-Fits!$B$121)^2/Fits!$B$122)))&lt;=0,"",($AC101-(IF(Fits!$B$50="Row",Fits!$B$44,Fits!$B$47)*IF(Fits!$B$50="Row",$AQ101,$AR101)+Fits!$B$123))/(SQRT((Fits!$B$129-($AC101-(IF(Fits!$B$50="Row",Fits!$B$44,Fits!$B$47)*IF(Fits!$B$50="Row",$AQ101,$AR101)+Fits!$B$123))^2/(1-(1/Fits!$B$120+(IF(Fits!$B$50="Row",$AQ101,$AR101)-Fits!$B$121)^2/Fits!$B$122)))/(Fits!$B$120-3))*SQRT(1-(1/Fits!$B$120+(IF(Fits!$B$50="Row",$AQ101,$AR101)-Fits!$B$121)^2/Fits!$B$122)))))))</f>
        <v/>
      </c>
      <c r="CD101" s="9" t="str">
        <f aca="false">IF($AU101="","",1)</f>
        <v/>
      </c>
      <c r="CE101" s="24" t="str">
        <f aca="false">IF($AU101="","",$AU101-Fits!$B$133)</f>
        <v/>
      </c>
      <c r="CF101" s="24" t="str">
        <f aca="false">IF($AU101="","",($AV101-(Fits!$B$56*$AU101+Fits!$B$57))-Fits!$B$56*($AU101-Fits!$B$133))</f>
        <v/>
      </c>
      <c r="CG101" s="25" t="str">
        <f aca="false">IF($AU101="","",$AU101^2)</f>
        <v/>
      </c>
      <c r="CH101" s="9" t="str">
        <f aca="false">IF($AW101="","",1)</f>
        <v/>
      </c>
      <c r="CI101" s="24" t="str">
        <f aca="false">IF($AW101="","",$AW101-Fits!$B$153)</f>
        <v/>
      </c>
      <c r="CJ101" s="24" t="str">
        <f aca="false">IF($AW101="","",($AX101-(Fits!$B$63*$AW101+Fits!$B$64))-Fits!$B$63*($AW101-Fits!$B$153))</f>
        <v/>
      </c>
      <c r="CK101" s="25" t="str">
        <f aca="false">IF($AW101="","",$AW101^2)</f>
        <v/>
      </c>
      <c r="CL101" s="26" t="str">
        <f aca="false">IF(OR($Z101="",Fits!$B$55&lt;3,Fits!$B$133="",Fits!$B$134="",Fits!$B$134=0,Fits!$B$136=""),"",SQRT((Fits!$B$136*Fits!$B$56)^2+SUMPRODUCT((Fits!$J$163:$J$175*(Fits!$B$163:$B$175/Fits!$B$55+Fits!$H$163:$H$175*($Z101-Fits!$B$133)/Fits!$B$134))^2)+SUMPRODUCT((Fits!$G$163:$G$175*(($Z101-Fits!$B$133)*Fits!$I$163:$I$175/Fits!$B$134-Fits!$B$163:$B$175*Fits!$B$56/Fits!$B$55))^2)))</f>
        <v/>
      </c>
      <c r="CM101" s="26" t="str">
        <f aca="false">IF($CL101="","",Setup!$B$32*$CL101)</f>
        <v/>
      </c>
      <c r="CN101" s="26" t="str">
        <f aca="false">IF(OR($AE101="",Fits!$B$62&lt;3,Fits!$B$153="",Fits!$B$154="",Fits!$B$154=0,Fits!$B$156=""),"",SQRT((Fits!$B$156*Fits!$B$63)^2+SUMPRODUCT((Fits!$J$183:$J$195*(Fits!$B$183:$B$195/Fits!$B$62+Fits!$H$183:$H$195*($AE101-Fits!$B$153)/Fits!$B$154))^2)+SUMPRODUCT((Fits!$G$183:$G$195*(($AE101-Fits!$B$153)*Fits!$I$183:$I$195/Fits!$B$154-Fits!$B$183:$B$195*Fits!$B$63/Fits!$B$62))^2)))</f>
        <v/>
      </c>
      <c r="CO101" s="26" t="str">
        <f aca="false">IF($CN101="","",Setup!$B$32*$CN101)</f>
        <v/>
      </c>
      <c r="CP101" s="9" t="n">
        <f aca="false">IF(OR(NOT(ISNUMBER($BJ101)),$EK101=1),$CP100,IF($BJ101&lt;=Setup!$B$26,$CP100+1,0))</f>
        <v>26</v>
      </c>
      <c r="CQ101" s="9" t="str">
        <f aca="false">IF($BT101="","",$A101)</f>
        <v/>
      </c>
      <c r="CR101" s="9" t="str">
        <f aca="false">IF($BW101="","",$A101)</f>
        <v/>
      </c>
      <c r="CS101" s="9" t="str">
        <f aca="false">IF($B101="","",IF(Setup!$A$37="",0,IF(ISNUMBER(SEARCH(Setup!$A$37,$B101)),37,0)))</f>
        <v/>
      </c>
      <c r="CT101" s="9" t="str">
        <f aca="false">IF($B101="","",IF(Setup!$A$38="",0,IF(ISNUMBER(SEARCH(Setup!$A$38,$B101)),38,0)))</f>
        <v/>
      </c>
      <c r="CU101" s="9" t="str">
        <f aca="false">IF($B101="","",IF(Setup!$A$39="",0,IF(ISNUMBER(SEARCH(Setup!$A$39,$B101)),39,0)))</f>
        <v/>
      </c>
      <c r="CV101" s="9" t="str">
        <f aca="false">IF($B101="","",IF(Setup!$A$40="",0,IF(ISNUMBER(SEARCH(Setup!$A$40,$B101)),40,0)))</f>
        <v/>
      </c>
      <c r="CW101" s="9" t="str">
        <f aca="false">IF($B101="","",IF(Setup!$A$41="",0,IF(ISNUMBER(SEARCH(Setup!$A$41,$B101)),41,0)))</f>
        <v/>
      </c>
      <c r="CX101" s="9" t="str">
        <f aca="false">IF($B101="","",IF(Setup!$A$42="",0,IF(ISNUMBER(SEARCH(Setup!$A$42,$B101)),42,0)))</f>
        <v/>
      </c>
      <c r="CY101" s="9" t="str">
        <f aca="false">IF($B101="","",IF(Setup!$A$43="",0,IF(ISNUMBER(SEARCH(Setup!$A$43,$B101)),43,0)))</f>
        <v/>
      </c>
      <c r="CZ101" s="9" t="str">
        <f aca="false">IF($B101="","",IF(Setup!$A$44="",0,IF(ISNUMBER(SEARCH(Setup!$A$44,$B101)),44,0)))</f>
        <v/>
      </c>
      <c r="DA101" s="9" t="str">
        <f aca="false">IF($B101="","",IF(Setup!$A$45="",0,IF(ISNUMBER(SEARCH(Setup!$A$45,$B101)),45,0)))</f>
        <v/>
      </c>
      <c r="DB101" s="9" t="str">
        <f aca="false">IF($B101="","",IF(Setup!$A$46="",0,IF(ISNUMBER(SEARCH(Setup!$A$46,$B101)),46,0)))</f>
        <v/>
      </c>
      <c r="DC101" s="9" t="str">
        <f aca="false">IF($B101="","",IF(Setup!$A$47="",0,IF(ISNUMBER(SEARCH(Setup!$A$47,$B101)),47,0)))</f>
        <v/>
      </c>
      <c r="DD101" s="9" t="str">
        <f aca="false">IF($B101="","",IF(Setup!$A$48="",0,IF(ISNUMBER(SEARCH(Setup!$A$48,$B101)),48,0)))</f>
        <v/>
      </c>
      <c r="DE101" s="9" t="str">
        <f aca="false">IF($B101="","",IF(Setup!$A$49="",0,IF(ISNUMBER(SEARCH(Setup!$A$49,$B101)),49,0)))</f>
        <v/>
      </c>
      <c r="DF101" s="9" t="e">
        <f aca="false">IF($B101="",NA(),$A101)</f>
        <v>#N/A</v>
      </c>
      <c r="DG101" s="9" t="e">
        <f aca="false">IF($BI101="",NA(),$BI101)</f>
        <v>#N/A</v>
      </c>
      <c r="DH101" s="9" t="e">
        <f aca="false">IF($N101="",NA(),$N101)</f>
        <v>#N/A</v>
      </c>
      <c r="DI101" s="9" t="e">
        <f aca="false">IF(AND($D101="Drift",$N101&lt;&gt;""),$N101,NA())</f>
        <v>#N/A</v>
      </c>
      <c r="DJ101" s="9" t="str">
        <f aca="false">IF(AND($D101="Drift",$N101&lt;&gt;""),$N101,"")</f>
        <v/>
      </c>
      <c r="DK101" s="9" t="str">
        <f aca="false">IF($DJ101="","",$A101)</f>
        <v/>
      </c>
      <c r="DL101" s="9" t="e">
        <f aca="false">IF($AN101="",NA(),$AM101)</f>
        <v>#N/A</v>
      </c>
      <c r="DM101" s="9" t="e">
        <f aca="false">IF($AN101="",NA(),$AN101)</f>
        <v>#N/A</v>
      </c>
      <c r="DN101" s="9" t="e">
        <f aca="false">IF(AND($D101="Sample",$L101&lt;&gt;""),$L101,NA())</f>
        <v>#N/A</v>
      </c>
      <c r="DO101" s="9" t="e">
        <f aca="false">IF(AND($D101="Sample",$L101&lt;&gt;"",Fits!$B$98&lt;&gt;""),Fits!$B$98,NA())</f>
        <v>#N/A</v>
      </c>
      <c r="DP101" s="9" t="e">
        <f aca="false">IF($AS101="",NA(),$AS101)</f>
        <v>#N/A</v>
      </c>
      <c r="DQ101" s="9" t="e">
        <f aca="false">IF(AND($D101="Drift",$AS101="",$X101&lt;&gt;""),$X101,NA())</f>
        <v>#N/A</v>
      </c>
      <c r="DR101" s="9" t="e">
        <f aca="false">IF(AND($D101="Drift",$Z101&lt;&gt;""),$Z101,NA())</f>
        <v>#N/A</v>
      </c>
      <c r="DS101" s="9" t="e">
        <f aca="false">IF(AND(OR($D101="Sample",$D101="Check"),$AA101&lt;&gt;""),$AA101,NA())</f>
        <v>#N/A</v>
      </c>
      <c r="DT101" s="9" t="e">
        <f aca="false">IF(OR($B101="",Fits!$B$138=""),NA(),Fits!$B$138)</f>
        <v>#N/A</v>
      </c>
      <c r="DU101" s="9" t="e">
        <f aca="false">IF(OR($B101="",Fits!$B$139=""),NA(),Fits!$B$139)</f>
        <v>#N/A</v>
      </c>
      <c r="DV101" s="9" t="e">
        <f aca="false">IF($BT101="",NA(),$BT101)</f>
        <v>#N/A</v>
      </c>
      <c r="DW101" s="9" t="e">
        <f aca="false">IF($AP101="",NA(),$AO101)</f>
        <v>#N/A</v>
      </c>
      <c r="DX101" s="9" t="e">
        <f aca="false">IF($AP101="",NA(),$AP101)</f>
        <v>#N/A</v>
      </c>
      <c r="DY101" s="9" t="e">
        <f aca="false">IF(AND($D101="Sample",$P101&lt;&gt;""),$P101,NA())</f>
        <v>#N/A</v>
      </c>
      <c r="DZ101" s="9" t="e">
        <f aca="false">IF(AND($D101="Sample",$P101&lt;&gt;"",Fits!$B$105&lt;&gt;""),Fits!$B$105,NA())</f>
        <v>#N/A</v>
      </c>
      <c r="EA101" s="9" t="e">
        <f aca="false">IF($AT101="",NA(),$AT101)</f>
        <v>#N/A</v>
      </c>
      <c r="EB101" s="9" t="e">
        <f aca="false">IF(AND($D101="Drift",$AT101="",$AC101&lt;&gt;""),$AC101,NA())</f>
        <v>#N/A</v>
      </c>
      <c r="EC101" s="9" t="e">
        <f aca="false">IF(AND($D101="Drift",$AE101&lt;&gt;""),$AE101,NA())</f>
        <v>#N/A</v>
      </c>
      <c r="ED101" s="9" t="e">
        <f aca="false">IF(AND(OR($D101="Sample",$D101="Check"),$AF101&lt;&gt;""),$AF101,NA())</f>
        <v>#N/A</v>
      </c>
      <c r="EE101" s="9" t="e">
        <f aca="false">IF(OR($B101="",Fits!$B$158=""),NA(),Fits!$B$158)</f>
        <v>#N/A</v>
      </c>
      <c r="EF101" s="9" t="e">
        <f aca="false">IF(OR($B101="",Fits!$B$159=""),NA(),Fits!$B$159)</f>
        <v>#N/A</v>
      </c>
      <c r="EG101" s="9" t="e">
        <f aca="false">IF($BW101="",NA(),$BW101)</f>
        <v>#N/A</v>
      </c>
      <c r="EH101" s="9" t="e">
        <f aca="false">IF(AND($EN101=1,ISNUMBER($N101)),$N101,NA())</f>
        <v>#N/A</v>
      </c>
      <c r="EI101" s="9" t="str">
        <f aca="false">IF($B101="","",$A101)</f>
        <v/>
      </c>
      <c r="EJ101" s="9" t="n">
        <f aca="false">IF(OR(AND(ISNUMBER($L101),Fits!$B$97&gt;0,$L101&gt;Fits!$B$97),AND(ISNUMBER($P101),Fits!$B$104&gt;0,$P101&gt;Fits!$B$104)),1,0)</f>
        <v>0</v>
      </c>
      <c r="EK101" s="9" t="n">
        <f aca="false">IF(OR($EJ100=1,$EJ99=1),1,0)</f>
        <v>0</v>
      </c>
      <c r="EL101" s="22" t="n">
        <f aca="false">IF(AND($EK101=0,ISNUMBER($N101)),$N101,$EL100)</f>
        <v>25.7</v>
      </c>
      <c r="EM101" s="9" t="str">
        <f aca="false">IF(AND($EK101=1,ISNUMBER($N101),ISNUMBER($EL101)),$N101-$EL101,"")</f>
        <v/>
      </c>
      <c r="EN101" s="9" t="n">
        <f aca="false">IF(Setup!$B$28="",0,IF(ISNUMBER($EM101),IF($EM101&gt;Setup!$B$28,1,0),0))</f>
        <v>0</v>
      </c>
      <c r="EO101" s="9" t="str">
        <f aca="false">IF($EN101=1,COUNTIF($EN$6:$EN101,1),"")</f>
        <v/>
      </c>
      <c r="EP101" s="9" t="n">
        <f aca="false">IF(AND($EJ100=1,OR($D101="Sample",$D101="Check")),1,0)</f>
        <v>0</v>
      </c>
      <c r="EQ101" s="9" t="str">
        <f aca="false">IF(ISNUMBER($BI101),IF(COUNT($BI$6:$BI101)&lt;=5,$BI101,""),"")</f>
        <v/>
      </c>
      <c r="ER101" s="9" t="n">
        <f aca="false">IF(OR(NOT(ISNUMBER($BJ101)),$EK101=1),$ER100,IF($BJ101&lt;=Setup!$B$26,IF($CP100=0,$A101,$ER100),""))</f>
        <v>27</v>
      </c>
    </row>
    <row r="102" customFormat="false" ht="15" hidden="false" customHeight="false" outlineLevel="0" collapsed="false">
      <c r="A102" s="8" t="n">
        <v>97</v>
      </c>
      <c r="B102" s="8" t="str">
        <f aca="false">IFERROR(INDEX(Raw!$B$2:$B$1001,MATCH($A102,Raw!$A$2:$A$1001,0)),"")</f>
        <v/>
      </c>
      <c r="C102" s="9" t="str">
        <f aca="false">IF($B102="","",MAX($CS102:$DE102))</f>
        <v/>
      </c>
      <c r="D102" s="8" t="str">
        <f aca="false">IF($B102="","",IF($C102=0,"Sample",INDEX(Setup!$B$37:$B$49,$C102-36)))</f>
        <v/>
      </c>
      <c r="E102" s="16" t="str">
        <f aca="false">IF($B102="","",IFERROR(IF(INDEX(Raw!$E$2:$E$1001,MATCH($A102,Raw!$A$2:$A$1001,0))=0,"",INDEX(Raw!$E$2:$E$1001,MATCH($A102,Raw!$A$2:$A$1001,0))),""))</f>
        <v/>
      </c>
      <c r="F102" s="18"/>
      <c r="G102" s="16" t="str">
        <f aca="false">IF($B102="","",IF($F102&lt;&gt;"",$F102,IF($E102="","",$E102)))</f>
        <v/>
      </c>
      <c r="H102" s="9" t="str">
        <f aca="false">IF($B102="","",SUMPRODUCT(MAX((Raw!$A$2:$A$1001=$A102)*(Raw!$R$2:$R$1001="N")*Raw!$D$2:$D$1001)))</f>
        <v/>
      </c>
      <c r="I102" s="9" t="str">
        <f aca="false">IF(OR($H102="",$H102=0),"",$A102&amp;"|N|"&amp;$H102)</f>
        <v/>
      </c>
      <c r="J102" s="9" t="str">
        <f aca="false">IF($B102="","",SUMPRODUCT(MIN((Raw!$A$2:$A$1001=$A102)*(Raw!$R$2:$R$1001="C")*Raw!$D$2:$D$1001+(1-(Raw!$A$2:$A$1001=$A102)*(Raw!$R$2:$R$1001="C"))*9999)))</f>
        <v/>
      </c>
      <c r="K102" s="9" t="str">
        <f aca="false">IF(OR($J102="",$J102=0,$J102=9999),"",$A102&amp;"|C|"&amp;$J102)</f>
        <v/>
      </c>
      <c r="L102" s="16" t="str">
        <f aca="false">IF($I102="","",IF(INDEX(Raw!$I$2:$I$1001,MATCH($I102,Raw!$S$2:$S$1001,0))&lt;&gt;0,"",INDEX(Raw!$H$2:$H$1001,MATCH($I102,Raw!$S$2:$S$1001,0))))</f>
        <v/>
      </c>
      <c r="M102" s="19" t="str">
        <f aca="false">IF($I102="","",IF(INDEX(Raw!$I$2:$I$1001,MATCH($I102,Raw!$S$2:$S$1001,0))&lt;&gt;0,"",INDEX(Raw!$F$2:$F$1001,MATCH($I102,Raw!$S$2:$S$1001,0))))</f>
        <v/>
      </c>
      <c r="N102" s="20" t="str">
        <f aca="false">IF($I102="","",IF(INDEX(Raw!$I$2:$I$1001,MATCH($I102,Raw!$S$2:$S$1001,0))&lt;&gt;0,"",INDEX(Raw!$G$2:$G$1001,MATCH($I102,Raw!$S$2:$S$1001,0))))</f>
        <v/>
      </c>
      <c r="O102" s="16" t="str">
        <f aca="false">IF($I102="","",IF(INDEX(Raw!$I$2:$I$1001,MATCH($I102,Raw!$S$2:$S$1001,0))&lt;&gt;0,"",INDEX(Raw!$N$2:$N$1001,MATCH($I102,Raw!$S$2:$S$1001,0))))</f>
        <v/>
      </c>
      <c r="P102" s="16" t="str">
        <f aca="false">IF($K102="","",IF(INDEX(Raw!$I$2:$I$1001,MATCH($K102,Raw!$S$2:$S$1001,0))&lt;&gt;0,"",INDEX(Raw!$K$2:$K$1001,MATCH($K102,Raw!$S$2:$S$1001,0))))</f>
        <v/>
      </c>
      <c r="Q102" s="19" t="str">
        <f aca="false">IF($K102="","",IF(INDEX(Raw!$I$2:$I$1001,MATCH($K102,Raw!$S$2:$S$1001,0))&lt;&gt;0,"",INDEX(Raw!$J$2:$J$1001,MATCH($K102,Raw!$S$2:$S$1001,0))))</f>
        <v/>
      </c>
      <c r="R102" s="16" t="str">
        <f aca="false">IF($K102="","",IF(INDEX(Raw!$I$2:$I$1001,MATCH($K102,Raw!$S$2:$S$1001,0))&lt;&gt;0,"",INDEX(Raw!$O$2:$O$1001,MATCH($K102,Raw!$S$2:$S$1001,0))))</f>
        <v/>
      </c>
      <c r="S102" s="21" t="str">
        <f aca="false">IF($B102="","",IF($C102=0,"",IF(INDEX(Setup!$D$37:$D$49,$C102-36)="","",INDEX(Setup!$D$37:$D$49,$C102-36))))</f>
        <v/>
      </c>
      <c r="T102" s="21" t="str">
        <f aca="false">IF($B102="","",IF($C102=0,"",IF(INDEX(Setup!$C$37:$C$49,$C102-36)="","",INDEX(Setup!$C$37:$C$49,$C102-36))))</f>
        <v/>
      </c>
      <c r="U102" s="21" t="str">
        <f aca="false">IF($B102="","",IF($C102=0,"",IF(INDEX(Setup!$F$37:$F$49,$C102-36)="","",INDEX(Setup!$F$37:$F$49,$C102-36))))</f>
        <v/>
      </c>
      <c r="V102" s="21" t="str">
        <f aca="false">IF($B102="","",IF($C102=0,"",IF(INDEX(Setup!$E$37:$E$49,$C102-36)="","",INDEX(Setup!$E$37:$E$49,$C102-36))))</f>
        <v/>
      </c>
      <c r="W102" s="16" t="str">
        <f aca="false">IF($O102="","",IF(OR(Fits!$C$5&lt;&gt;"Yes",$D102="Blank",$L102&lt;=Fits!$B$6),$O102,($L102*$O102-Fits!$B$6*Fits!$B$7)/($L102-Fits!$B$6)))</f>
        <v/>
      </c>
      <c r="X102" s="16" t="str">
        <f aca="false">IF($W102="","",$W102-Fits!$B$20*($L102-Fits!$B$16))</f>
        <v/>
      </c>
      <c r="Y102" s="22" t="str">
        <f aca="false">IF($W102="","",IF(OR(Fits!$B$38="Row",$BI102=""),$A102,$BI102))</f>
        <v/>
      </c>
      <c r="Z102" s="16" t="str">
        <f aca="false">IF($X102="","",$X102-Fits!$B$39*($Y102-Fits!$B$40))</f>
        <v/>
      </c>
      <c r="AA102" s="23" t="str">
        <f aca="false">IF(OR($Z102="",Fits!$B$55&lt;2),"",Fits!$B$56*$Z102+Fits!$B$57)</f>
        <v/>
      </c>
      <c r="AB102" s="16" t="str">
        <f aca="false">IF($R102="","",IF(OR(Fits!$C$9&lt;&gt;"Yes",$D102="Blank",$P102&lt;=Fits!$B$10),$R102,($P102*$R102-Fits!$B$10*Fits!$B$11)/($P102-Fits!$B$10)))</f>
        <v/>
      </c>
      <c r="AC102" s="16" t="str">
        <f aca="false">IF($AB102="","",$AB102-Fits!$B$28*($P102-Fits!$B$24))</f>
        <v/>
      </c>
      <c r="AD102" s="22" t="str">
        <f aca="false">IF($AB102="","",IF(OR(Fits!$B$50="Row",$BI102=""),$A102,$BI102))</f>
        <v/>
      </c>
      <c r="AE102" s="16" t="str">
        <f aca="false">IF($AC102="","",$AC102-Fits!$B$51*($AD102-Fits!$B$52))</f>
        <v/>
      </c>
      <c r="AF102" s="23" t="str">
        <f aca="false">IF(OR($AE102="",Fits!$B$62&lt;2),"",Fits!$B$63*$AE102+Fits!$B$64)</f>
        <v/>
      </c>
      <c r="AG102" s="21" t="str">
        <f aca="false">IF(OR($L102="",Fits!$B$69&lt;3),"",($L102-Fits!$B$71)/Fits!$B$70)</f>
        <v/>
      </c>
      <c r="AH102" s="21" t="str">
        <f aca="false">IF(OR($P102="",Fits!$B$75&lt;3),"",($P102-Fits!$B$77)/Fits!$B$76)</f>
        <v/>
      </c>
      <c r="AI102" s="23" t="str">
        <f aca="false">IF(OR($AG102="",$G102="",$G102=0),"",$AG102/($G102*1000)*100)</f>
        <v/>
      </c>
      <c r="AJ102" s="23" t="str">
        <f aca="false">IF(OR($AH102="",$G102="",$G102=0),"",$AH102/($G102*1000)*100)</f>
        <v/>
      </c>
      <c r="AK102" s="23" t="str">
        <f aca="false">IF(OR($AG102="",$AH102="",$AG102&lt;=0),"",($AH102/Setup!$B$52)/($AG102/Setup!$B$53))</f>
        <v/>
      </c>
      <c r="AL102" s="23" t="str">
        <f aca="false">IF(OR($AG102="",$AH102="",$AG102&lt;=0),"",$AH102/$AG102)</f>
        <v/>
      </c>
      <c r="AM102" s="9" t="str">
        <f aca="false">IF($D102="Linearity",IF($L102="","",$L102),"")</f>
        <v/>
      </c>
      <c r="AN102" s="9" t="str">
        <f aca="false">IF($D102="Linearity",IF($W102="","",$W102),"")</f>
        <v/>
      </c>
      <c r="AO102" s="9" t="str">
        <f aca="false">IF($D102="Linearity",IF($P102="","",$P102),"")</f>
        <v/>
      </c>
      <c r="AP102" s="9" t="str">
        <f aca="false">IF($D102="Linearity",IF($AB102="","",$AB102),"")</f>
        <v/>
      </c>
      <c r="AQ102" s="9" t="str">
        <f aca="false">IF($D102="Drift",IF($A102&lt;IF(Setup!$B$14="",0,Setup!$B$14),"",$A102),"")</f>
        <v/>
      </c>
      <c r="AR102" s="9" t="str">
        <f aca="false">IF($D102="Drift",IF($A102&lt;IF(Setup!$B$14="",0,Setup!$B$14),"",IF($BI102="","",$BI102)),"")</f>
        <v/>
      </c>
      <c r="AS102" s="9" t="str">
        <f aca="false">IF($D102="Drift",IF($A102&lt;IF(Setup!$B$14="",0,Setup!$B$14),"",IF(OR($X102="",$BX102=1),"",$X102)),"")</f>
        <v/>
      </c>
      <c r="AT102" s="9" t="str">
        <f aca="false">IF($D102="Drift",IF($A102&lt;IF(Setup!$B$14="",0,Setup!$B$14),"",IF(OR($AC102="",$BY102=1),"",$AC102)),"")</f>
        <v/>
      </c>
      <c r="AU102" s="9" t="str">
        <f aca="false">IF($D102="Anchor",IF(OR($Z102="",$S102=""),"",$Z102),"")</f>
        <v/>
      </c>
      <c r="AV102" s="9" t="str">
        <f aca="false">IF($D102="Anchor",IF(OR($Z102="",$S102=""),"",$S102),"")</f>
        <v/>
      </c>
      <c r="AW102" s="9" t="str">
        <f aca="false">IF($D102="Anchor",IF(OR($AE102="",$T102=""),"",$AE102),"")</f>
        <v/>
      </c>
      <c r="AX102" s="9" t="str">
        <f aca="false">IF($D102="Anchor",IF(OR($AE102="",$T102=""),"",$T102),"")</f>
        <v/>
      </c>
      <c r="AY102" s="9" t="str">
        <f aca="false">IF(OR($D102="Blank",$D102="Exclude",$D102="Sample",$D102="",$G102="",$U102="",$L102=""),"",$G102*1000*$U102/100)</f>
        <v/>
      </c>
      <c r="AZ102" s="9" t="str">
        <f aca="false">IF($AY102="","",$L102)</f>
        <v/>
      </c>
      <c r="BA102" s="9" t="str">
        <f aca="false">IF(OR($D102="Blank",$D102="Exclude",$D102="Sample",$D102="",$G102="",$V102="",$P102=""),"",$G102*1000*$V102/100)</f>
        <v/>
      </c>
      <c r="BB102" s="9" t="str">
        <f aca="false">IF($BA102="","",$P102)</f>
        <v/>
      </c>
      <c r="BC102" s="9" t="str">
        <f aca="false">IF(AND($D102="Blank",$L102&lt;&gt;""),$O102,"")</f>
        <v/>
      </c>
      <c r="BD102" s="9" t="str">
        <f aca="false">IF($BC102="","",$L102)</f>
        <v/>
      </c>
      <c r="BE102" s="9" t="str">
        <f aca="false">IF(AND($D102="Blank",$P102&lt;&gt;""),$R102,"")</f>
        <v/>
      </c>
      <c r="BF102" s="9" t="str">
        <f aca="false">IF($BE102="","",$P102)</f>
        <v/>
      </c>
      <c r="BG102" s="9" t="str">
        <f aca="false">IF(AND($D102="Drift",$BX102&lt;&gt;1),IF($AA102="","",$AA102),"")</f>
        <v/>
      </c>
      <c r="BH102" s="9" t="str">
        <f aca="false">IF(AND($D102="Drift",$BY102&lt;&gt;1),IF($AF102="","",$AF102),"")</f>
        <v/>
      </c>
      <c r="BI102" s="20" t="str">
        <f aca="false">IF($B102="","",IFERROR(INDEX(Raw!$G$2:$G$1001,MATCH($A102&amp;"|N|"&amp;SUMPRODUCT(MAX((Raw!$A$2:$A$1001=$A102)*(Raw!$R$2:$R$1001="N")*(Raw!$I$2:$I$1001=1)*Raw!$D$2:$D$1001)),Raw!$S$2:$S$1001,0)),""))</f>
        <v/>
      </c>
      <c r="BJ102" s="21" t="str">
        <f aca="false">IF(OR($BI102="",Fits!$B$85&lt;=0),"",($BI102-Fits!$B$83)/Fits!$B$85)</f>
        <v/>
      </c>
      <c r="BK102" s="9" t="str">
        <f aca="false">IF($AS102="","",IF($A102&gt;=Fits!$B$86,"",$A102))</f>
        <v/>
      </c>
      <c r="BL102" s="9" t="str">
        <f aca="false">IF($BK102="","",$X102)</f>
        <v/>
      </c>
      <c r="BM102" s="9" t="str">
        <f aca="false">IF($AS102="","",IF($A102&lt;Fits!$B$86,"",$A102))</f>
        <v/>
      </c>
      <c r="BN102" s="9" t="str">
        <f aca="false">IF($BM102="","",$X102)</f>
        <v/>
      </c>
      <c r="BO102" s="9" t="str">
        <f aca="false">IF(AND($D102="Drift",$BX102&lt;&gt;1),IF($O102="","",$O102),"")</f>
        <v/>
      </c>
      <c r="BP102" s="9" t="str">
        <f aca="false">IF(AND($D102="Drift",$BX102&lt;&gt;1),IF($W102="","",$W102),"")</f>
        <v/>
      </c>
      <c r="BQ102" s="9" t="str">
        <f aca="false">IF(AND($D102="Drift",$BX102&lt;&gt;1),IF($X102="","",$X102),"")</f>
        <v/>
      </c>
      <c r="BR102" s="9" t="str">
        <f aca="false">IF(AND($D102="Drift",$BX102&lt;&gt;1),IF($Z102="","",$Z102),"")</f>
        <v/>
      </c>
      <c r="BS102" s="9" t="str">
        <f aca="false">IF(OR($B102="",$H102=""),"",SUMPRODUCT(MIN((Raw!$A$2:$A$1001=$A102)*(Raw!$R$2:$R$1001="N")*(Raw!$I$2:$I$1001=0)*(Raw!$D$2:$D$1001&lt;$H102)*Raw!$D$2:$D$1001+(1-(Raw!$A$2:$A$1001=$A102)*(Raw!$R$2:$R$1001="N")*(Raw!$I$2:$I$1001=0)*(Raw!$D$2:$D$1001&lt;$H102))*9999)))</f>
        <v/>
      </c>
      <c r="BT102" s="16" t="str">
        <f aca="false">IF(OR($BS102="",$BS102=9999,$BS102=0),"",IFERROR(INDEX(Raw!$N$2:$N$1001,MATCH($A102&amp;"|N|"&amp;$BS102,Raw!$S$2:$S$1001,0)),""))</f>
        <v/>
      </c>
      <c r="BU102" s="9" t="str">
        <f aca="false">IF($B102="","",SUMPRODUCT(MIN((Raw!$A$2:$A$1001=$A102)*(Raw!$R$2:$R$1001="C")*(Raw!$I$2:$I$1001=1)*Raw!$D$2:$D$1001+(1-(Raw!$A$2:$A$1001=$A102)*(Raw!$R$2:$R$1001="C")*(Raw!$I$2:$I$1001=1))*9999)))</f>
        <v/>
      </c>
      <c r="BV102" s="9" t="str">
        <f aca="false">IF(OR($BU102="",$BU102=9999),"",SUMPRODUCT(MIN((Raw!$A$2:$A$1001=$A102)*(Raw!$R$2:$R$1001="C")*(Raw!$I$2:$I$1001=0)*(Raw!$D$2:$D$1001&gt;$BU102)*Raw!$D$2:$D$1001+(1-(Raw!$A$2:$A$1001=$A102)*(Raw!$R$2:$R$1001="C")*(Raw!$I$2:$I$1001=0)*(Raw!$D$2:$D$1001&gt;$BU102))*9999)))</f>
        <v/>
      </c>
      <c r="BW102" s="16" t="str">
        <f aca="false">IF(OR($BV102="",$BV102=9999,$BV102=0),"",IFERROR(INDEX(Raw!$O$2:$O$1001,MATCH($A102&amp;"|C|"&amp;$BV102,Raw!$S$2:$S$1001,0)),""))</f>
        <v/>
      </c>
      <c r="BX102" s="9" t="str">
        <f aca="false">IF($B102="","",IF(ISNUMBER(SEARCH(","&amp;$A102&amp;",",","&amp;SUBSTITUTE(Setup!$B$16," ","")&amp;",")),1,0))</f>
        <v/>
      </c>
      <c r="BY102" s="9" t="str">
        <f aca="false">IF($B102="","",IF(ISNUMBER(SEARCH(","&amp;$A102&amp;",",","&amp;SUBSTITUTE(Setup!$B$17," ","")&amp;",")),1,0))</f>
        <v/>
      </c>
      <c r="BZ102" s="22" t="str">
        <f aca="false">IF($AS102="","",IF(Fits!$B$38="Row",$AQ102,IF($AR102="","",$AR102)))</f>
        <v/>
      </c>
      <c r="CA102" s="22" t="str">
        <f aca="false">IF($AT102="","",IF(Fits!$B$50="Row",$AQ102,IF($AR102="","",$AR102)))</f>
        <v/>
      </c>
      <c r="CB102" s="20" t="str">
        <f aca="false">IF(OR($D102&lt;&gt;"Drift",$X102="",$A102&lt;IF(Setup!$B$14="",0,Setup!$B$14),Fits!$B$107&lt;3,Fits!$B$110="",Fits!$B$109=0,IF(Fits!$B$38="Row",$AQ102,$AR102)=""),"",IF($BX102=1,IF(OR(Fits!$B$111="",Fits!$B$111=0),"",($X102-(IF(Fits!$B$38="Row",Fits!$B$32,Fits!$B$35)*IF(Fits!$B$38="Row",$AQ102,$AR102)+Fits!$B$110))/(Fits!$B$111*SQRT(1+(1/Fits!$B$107+(IF(Fits!$B$38="Row",$AQ102,$AR102)-Fits!$B$108)^2/Fits!$B$109)))),IF(OR(Fits!$B$107&lt;4,(1/Fits!$B$107+(IF(Fits!$B$38="Row",$AQ102,$AR102)-Fits!$B$108)^2/Fits!$B$109)&gt;=1),"",IF((Fits!$B$116-($X102-(IF(Fits!$B$38="Row",Fits!$B$32,Fits!$B$35)*IF(Fits!$B$38="Row",$AQ102,$AR102)+Fits!$B$110))^2/(1-(1/Fits!$B$107+(IF(Fits!$B$38="Row",$AQ102,$AR102)-Fits!$B$108)^2/Fits!$B$109)))&lt;=0,"",($X102-(IF(Fits!$B$38="Row",Fits!$B$32,Fits!$B$35)*IF(Fits!$B$38="Row",$AQ102,$AR102)+Fits!$B$110))/(SQRT((Fits!$B$116-($X102-(IF(Fits!$B$38="Row",Fits!$B$32,Fits!$B$35)*IF(Fits!$B$38="Row",$AQ102,$AR102)+Fits!$B$110))^2/(1-(1/Fits!$B$107+(IF(Fits!$B$38="Row",$AQ102,$AR102)-Fits!$B$108)^2/Fits!$B$109)))/(Fits!$B$107-3))*SQRT(1-(1/Fits!$B$107+(IF(Fits!$B$38="Row",$AQ102,$AR102)-Fits!$B$108)^2/Fits!$B$109)))))))</f>
        <v/>
      </c>
      <c r="CC102" s="20" t="str">
        <f aca="false">IF(OR($D102&lt;&gt;"Drift",$AC102="",$A102&lt;IF(Setup!$B$14="",0,Setup!$B$14),Fits!$B$120&lt;3,Fits!$B$123="",Fits!$B$122=0,IF(Fits!$B$50="Row",$AQ102,$AR102)=""),"",IF($BY102=1,IF(OR(Fits!$B$124="",Fits!$B$124=0),"",($AC102-(IF(Fits!$B$50="Row",Fits!$B$44,Fits!$B$47)*IF(Fits!$B$50="Row",$AQ102,$AR102)+Fits!$B$123))/(Fits!$B$124*SQRT(1+(1/Fits!$B$120+(IF(Fits!$B$50="Row",$AQ102,$AR102)-Fits!$B$121)^2/Fits!$B$122)))),IF(OR(Fits!$B$120&lt;4,(1/Fits!$B$120+(IF(Fits!$B$50="Row",$AQ102,$AR102)-Fits!$B$121)^2/Fits!$B$122)&gt;=1),"",IF((Fits!$B$129-($AC102-(IF(Fits!$B$50="Row",Fits!$B$44,Fits!$B$47)*IF(Fits!$B$50="Row",$AQ102,$AR102)+Fits!$B$123))^2/(1-(1/Fits!$B$120+(IF(Fits!$B$50="Row",$AQ102,$AR102)-Fits!$B$121)^2/Fits!$B$122)))&lt;=0,"",($AC102-(IF(Fits!$B$50="Row",Fits!$B$44,Fits!$B$47)*IF(Fits!$B$50="Row",$AQ102,$AR102)+Fits!$B$123))/(SQRT((Fits!$B$129-($AC102-(IF(Fits!$B$50="Row",Fits!$B$44,Fits!$B$47)*IF(Fits!$B$50="Row",$AQ102,$AR102)+Fits!$B$123))^2/(1-(1/Fits!$B$120+(IF(Fits!$B$50="Row",$AQ102,$AR102)-Fits!$B$121)^2/Fits!$B$122)))/(Fits!$B$120-3))*SQRT(1-(1/Fits!$B$120+(IF(Fits!$B$50="Row",$AQ102,$AR102)-Fits!$B$121)^2/Fits!$B$122)))))))</f>
        <v/>
      </c>
      <c r="CD102" s="9" t="str">
        <f aca="false">IF($AU102="","",1)</f>
        <v/>
      </c>
      <c r="CE102" s="24" t="str">
        <f aca="false">IF($AU102="","",$AU102-Fits!$B$133)</f>
        <v/>
      </c>
      <c r="CF102" s="24" t="str">
        <f aca="false">IF($AU102="","",($AV102-(Fits!$B$56*$AU102+Fits!$B$57))-Fits!$B$56*($AU102-Fits!$B$133))</f>
        <v/>
      </c>
      <c r="CG102" s="25" t="str">
        <f aca="false">IF($AU102="","",$AU102^2)</f>
        <v/>
      </c>
      <c r="CH102" s="9" t="str">
        <f aca="false">IF($AW102="","",1)</f>
        <v/>
      </c>
      <c r="CI102" s="24" t="str">
        <f aca="false">IF($AW102="","",$AW102-Fits!$B$153)</f>
        <v/>
      </c>
      <c r="CJ102" s="24" t="str">
        <f aca="false">IF($AW102="","",($AX102-(Fits!$B$63*$AW102+Fits!$B$64))-Fits!$B$63*($AW102-Fits!$B$153))</f>
        <v/>
      </c>
      <c r="CK102" s="25" t="str">
        <f aca="false">IF($AW102="","",$AW102^2)</f>
        <v/>
      </c>
      <c r="CL102" s="26" t="str">
        <f aca="false">IF(OR($Z102="",Fits!$B$55&lt;3,Fits!$B$133="",Fits!$B$134="",Fits!$B$134=0,Fits!$B$136=""),"",SQRT((Fits!$B$136*Fits!$B$56)^2+SUMPRODUCT((Fits!$J$163:$J$175*(Fits!$B$163:$B$175/Fits!$B$55+Fits!$H$163:$H$175*($Z102-Fits!$B$133)/Fits!$B$134))^2)+SUMPRODUCT((Fits!$G$163:$G$175*(($Z102-Fits!$B$133)*Fits!$I$163:$I$175/Fits!$B$134-Fits!$B$163:$B$175*Fits!$B$56/Fits!$B$55))^2)))</f>
        <v/>
      </c>
      <c r="CM102" s="26" t="str">
        <f aca="false">IF($CL102="","",Setup!$B$32*$CL102)</f>
        <v/>
      </c>
      <c r="CN102" s="26" t="str">
        <f aca="false">IF(OR($AE102="",Fits!$B$62&lt;3,Fits!$B$153="",Fits!$B$154="",Fits!$B$154=0,Fits!$B$156=""),"",SQRT((Fits!$B$156*Fits!$B$63)^2+SUMPRODUCT((Fits!$J$183:$J$195*(Fits!$B$183:$B$195/Fits!$B$62+Fits!$H$183:$H$195*($AE102-Fits!$B$153)/Fits!$B$154))^2)+SUMPRODUCT((Fits!$G$183:$G$195*(($AE102-Fits!$B$153)*Fits!$I$183:$I$195/Fits!$B$154-Fits!$B$183:$B$195*Fits!$B$63/Fits!$B$62))^2)))</f>
        <v/>
      </c>
      <c r="CO102" s="26" t="str">
        <f aca="false">IF($CN102="","",Setup!$B$32*$CN102)</f>
        <v/>
      </c>
      <c r="CP102" s="9" t="n">
        <f aca="false">IF(OR(NOT(ISNUMBER($BJ102)),$EK102=1),$CP101,IF($BJ102&lt;=Setup!$B$26,$CP101+1,0))</f>
        <v>26</v>
      </c>
      <c r="CQ102" s="9" t="str">
        <f aca="false">IF($BT102="","",$A102)</f>
        <v/>
      </c>
      <c r="CR102" s="9" t="str">
        <f aca="false">IF($BW102="","",$A102)</f>
        <v/>
      </c>
      <c r="CS102" s="9" t="str">
        <f aca="false">IF($B102="","",IF(Setup!$A$37="",0,IF(ISNUMBER(SEARCH(Setup!$A$37,$B102)),37,0)))</f>
        <v/>
      </c>
      <c r="CT102" s="9" t="str">
        <f aca="false">IF($B102="","",IF(Setup!$A$38="",0,IF(ISNUMBER(SEARCH(Setup!$A$38,$B102)),38,0)))</f>
        <v/>
      </c>
      <c r="CU102" s="9" t="str">
        <f aca="false">IF($B102="","",IF(Setup!$A$39="",0,IF(ISNUMBER(SEARCH(Setup!$A$39,$B102)),39,0)))</f>
        <v/>
      </c>
      <c r="CV102" s="9" t="str">
        <f aca="false">IF($B102="","",IF(Setup!$A$40="",0,IF(ISNUMBER(SEARCH(Setup!$A$40,$B102)),40,0)))</f>
        <v/>
      </c>
      <c r="CW102" s="9" t="str">
        <f aca="false">IF($B102="","",IF(Setup!$A$41="",0,IF(ISNUMBER(SEARCH(Setup!$A$41,$B102)),41,0)))</f>
        <v/>
      </c>
      <c r="CX102" s="9" t="str">
        <f aca="false">IF($B102="","",IF(Setup!$A$42="",0,IF(ISNUMBER(SEARCH(Setup!$A$42,$B102)),42,0)))</f>
        <v/>
      </c>
      <c r="CY102" s="9" t="str">
        <f aca="false">IF($B102="","",IF(Setup!$A$43="",0,IF(ISNUMBER(SEARCH(Setup!$A$43,$B102)),43,0)))</f>
        <v/>
      </c>
      <c r="CZ102" s="9" t="str">
        <f aca="false">IF($B102="","",IF(Setup!$A$44="",0,IF(ISNUMBER(SEARCH(Setup!$A$44,$B102)),44,0)))</f>
        <v/>
      </c>
      <c r="DA102" s="9" t="str">
        <f aca="false">IF($B102="","",IF(Setup!$A$45="",0,IF(ISNUMBER(SEARCH(Setup!$A$45,$B102)),45,0)))</f>
        <v/>
      </c>
      <c r="DB102" s="9" t="str">
        <f aca="false">IF($B102="","",IF(Setup!$A$46="",0,IF(ISNUMBER(SEARCH(Setup!$A$46,$B102)),46,0)))</f>
        <v/>
      </c>
      <c r="DC102" s="9" t="str">
        <f aca="false">IF($B102="","",IF(Setup!$A$47="",0,IF(ISNUMBER(SEARCH(Setup!$A$47,$B102)),47,0)))</f>
        <v/>
      </c>
      <c r="DD102" s="9" t="str">
        <f aca="false">IF($B102="","",IF(Setup!$A$48="",0,IF(ISNUMBER(SEARCH(Setup!$A$48,$B102)),48,0)))</f>
        <v/>
      </c>
      <c r="DE102" s="9" t="str">
        <f aca="false">IF($B102="","",IF(Setup!$A$49="",0,IF(ISNUMBER(SEARCH(Setup!$A$49,$B102)),49,0)))</f>
        <v/>
      </c>
      <c r="DF102" s="9" t="e">
        <f aca="false">IF($B102="",NA(),$A102)</f>
        <v>#N/A</v>
      </c>
      <c r="DG102" s="9" t="e">
        <f aca="false">IF($BI102="",NA(),$BI102)</f>
        <v>#N/A</v>
      </c>
      <c r="DH102" s="9" t="e">
        <f aca="false">IF($N102="",NA(),$N102)</f>
        <v>#N/A</v>
      </c>
      <c r="DI102" s="9" t="e">
        <f aca="false">IF(AND($D102="Drift",$N102&lt;&gt;""),$N102,NA())</f>
        <v>#N/A</v>
      </c>
      <c r="DJ102" s="9" t="str">
        <f aca="false">IF(AND($D102="Drift",$N102&lt;&gt;""),$N102,"")</f>
        <v/>
      </c>
      <c r="DK102" s="9" t="str">
        <f aca="false">IF($DJ102="","",$A102)</f>
        <v/>
      </c>
      <c r="DL102" s="9" t="e">
        <f aca="false">IF($AN102="",NA(),$AM102)</f>
        <v>#N/A</v>
      </c>
      <c r="DM102" s="9" t="e">
        <f aca="false">IF($AN102="",NA(),$AN102)</f>
        <v>#N/A</v>
      </c>
      <c r="DN102" s="9" t="e">
        <f aca="false">IF(AND($D102="Sample",$L102&lt;&gt;""),$L102,NA())</f>
        <v>#N/A</v>
      </c>
      <c r="DO102" s="9" t="e">
        <f aca="false">IF(AND($D102="Sample",$L102&lt;&gt;"",Fits!$B$98&lt;&gt;""),Fits!$B$98,NA())</f>
        <v>#N/A</v>
      </c>
      <c r="DP102" s="9" t="e">
        <f aca="false">IF($AS102="",NA(),$AS102)</f>
        <v>#N/A</v>
      </c>
      <c r="DQ102" s="9" t="e">
        <f aca="false">IF(AND($D102="Drift",$AS102="",$X102&lt;&gt;""),$X102,NA())</f>
        <v>#N/A</v>
      </c>
      <c r="DR102" s="9" t="e">
        <f aca="false">IF(AND($D102="Drift",$Z102&lt;&gt;""),$Z102,NA())</f>
        <v>#N/A</v>
      </c>
      <c r="DS102" s="9" t="e">
        <f aca="false">IF(AND(OR($D102="Sample",$D102="Check"),$AA102&lt;&gt;""),$AA102,NA())</f>
        <v>#N/A</v>
      </c>
      <c r="DT102" s="9" t="e">
        <f aca="false">IF(OR($B102="",Fits!$B$138=""),NA(),Fits!$B$138)</f>
        <v>#N/A</v>
      </c>
      <c r="DU102" s="9" t="e">
        <f aca="false">IF(OR($B102="",Fits!$B$139=""),NA(),Fits!$B$139)</f>
        <v>#N/A</v>
      </c>
      <c r="DV102" s="9" t="e">
        <f aca="false">IF($BT102="",NA(),$BT102)</f>
        <v>#N/A</v>
      </c>
      <c r="DW102" s="9" t="e">
        <f aca="false">IF($AP102="",NA(),$AO102)</f>
        <v>#N/A</v>
      </c>
      <c r="DX102" s="9" t="e">
        <f aca="false">IF($AP102="",NA(),$AP102)</f>
        <v>#N/A</v>
      </c>
      <c r="DY102" s="9" t="e">
        <f aca="false">IF(AND($D102="Sample",$P102&lt;&gt;""),$P102,NA())</f>
        <v>#N/A</v>
      </c>
      <c r="DZ102" s="9" t="e">
        <f aca="false">IF(AND($D102="Sample",$P102&lt;&gt;"",Fits!$B$105&lt;&gt;""),Fits!$B$105,NA())</f>
        <v>#N/A</v>
      </c>
      <c r="EA102" s="9" t="e">
        <f aca="false">IF($AT102="",NA(),$AT102)</f>
        <v>#N/A</v>
      </c>
      <c r="EB102" s="9" t="e">
        <f aca="false">IF(AND($D102="Drift",$AT102="",$AC102&lt;&gt;""),$AC102,NA())</f>
        <v>#N/A</v>
      </c>
      <c r="EC102" s="9" t="e">
        <f aca="false">IF(AND($D102="Drift",$AE102&lt;&gt;""),$AE102,NA())</f>
        <v>#N/A</v>
      </c>
      <c r="ED102" s="9" t="e">
        <f aca="false">IF(AND(OR($D102="Sample",$D102="Check"),$AF102&lt;&gt;""),$AF102,NA())</f>
        <v>#N/A</v>
      </c>
      <c r="EE102" s="9" t="e">
        <f aca="false">IF(OR($B102="",Fits!$B$158=""),NA(),Fits!$B$158)</f>
        <v>#N/A</v>
      </c>
      <c r="EF102" s="9" t="e">
        <f aca="false">IF(OR($B102="",Fits!$B$159=""),NA(),Fits!$B$159)</f>
        <v>#N/A</v>
      </c>
      <c r="EG102" s="9" t="e">
        <f aca="false">IF($BW102="",NA(),$BW102)</f>
        <v>#N/A</v>
      </c>
      <c r="EH102" s="9" t="e">
        <f aca="false">IF(AND($EN102=1,ISNUMBER($N102)),$N102,NA())</f>
        <v>#N/A</v>
      </c>
      <c r="EI102" s="9" t="str">
        <f aca="false">IF($B102="","",$A102)</f>
        <v/>
      </c>
      <c r="EJ102" s="9" t="n">
        <f aca="false">IF(OR(AND(ISNUMBER($L102),Fits!$B$97&gt;0,$L102&gt;Fits!$B$97),AND(ISNUMBER($P102),Fits!$B$104&gt;0,$P102&gt;Fits!$B$104)),1,0)</f>
        <v>0</v>
      </c>
      <c r="EK102" s="9" t="n">
        <f aca="false">IF(OR($EJ101=1,$EJ100=1),1,0)</f>
        <v>0</v>
      </c>
      <c r="EL102" s="22" t="n">
        <f aca="false">IF(AND($EK102=0,ISNUMBER($N102)),$N102,$EL101)</f>
        <v>25.7</v>
      </c>
      <c r="EM102" s="9" t="str">
        <f aca="false">IF(AND($EK102=1,ISNUMBER($N102),ISNUMBER($EL102)),$N102-$EL102,"")</f>
        <v/>
      </c>
      <c r="EN102" s="9" t="n">
        <f aca="false">IF(Setup!$B$28="",0,IF(ISNUMBER($EM102),IF($EM102&gt;Setup!$B$28,1,0),0))</f>
        <v>0</v>
      </c>
      <c r="EO102" s="9" t="str">
        <f aca="false">IF($EN102=1,COUNTIF($EN$6:$EN102,1),"")</f>
        <v/>
      </c>
      <c r="EP102" s="9" t="n">
        <f aca="false">IF(AND($EJ101=1,OR($D102="Sample",$D102="Check")),1,0)</f>
        <v>0</v>
      </c>
      <c r="EQ102" s="9" t="str">
        <f aca="false">IF(ISNUMBER($BI102),IF(COUNT($BI$6:$BI102)&lt;=5,$BI102,""),"")</f>
        <v/>
      </c>
      <c r="ER102" s="9" t="n">
        <f aca="false">IF(OR(NOT(ISNUMBER($BJ102)),$EK102=1),$ER101,IF($BJ102&lt;=Setup!$B$26,IF($CP101=0,$A102,$ER101),""))</f>
        <v>27</v>
      </c>
    </row>
    <row r="103" customFormat="false" ht="15" hidden="false" customHeight="false" outlineLevel="0" collapsed="false">
      <c r="A103" s="8" t="n">
        <v>98</v>
      </c>
      <c r="B103" s="8" t="str">
        <f aca="false">IFERROR(INDEX(Raw!$B$2:$B$1001,MATCH($A103,Raw!$A$2:$A$1001,0)),"")</f>
        <v/>
      </c>
      <c r="C103" s="9" t="str">
        <f aca="false">IF($B103="","",MAX($CS103:$DE103))</f>
        <v/>
      </c>
      <c r="D103" s="8" t="str">
        <f aca="false">IF($B103="","",IF($C103=0,"Sample",INDEX(Setup!$B$37:$B$49,$C103-36)))</f>
        <v/>
      </c>
      <c r="E103" s="16" t="str">
        <f aca="false">IF($B103="","",IFERROR(IF(INDEX(Raw!$E$2:$E$1001,MATCH($A103,Raw!$A$2:$A$1001,0))=0,"",INDEX(Raw!$E$2:$E$1001,MATCH($A103,Raw!$A$2:$A$1001,0))),""))</f>
        <v/>
      </c>
      <c r="F103" s="18"/>
      <c r="G103" s="16" t="str">
        <f aca="false">IF($B103="","",IF($F103&lt;&gt;"",$F103,IF($E103="","",$E103)))</f>
        <v/>
      </c>
      <c r="H103" s="9" t="str">
        <f aca="false">IF($B103="","",SUMPRODUCT(MAX((Raw!$A$2:$A$1001=$A103)*(Raw!$R$2:$R$1001="N")*Raw!$D$2:$D$1001)))</f>
        <v/>
      </c>
      <c r="I103" s="9" t="str">
        <f aca="false">IF(OR($H103="",$H103=0),"",$A103&amp;"|N|"&amp;$H103)</f>
        <v/>
      </c>
      <c r="J103" s="9" t="str">
        <f aca="false">IF($B103="","",SUMPRODUCT(MIN((Raw!$A$2:$A$1001=$A103)*(Raw!$R$2:$R$1001="C")*Raw!$D$2:$D$1001+(1-(Raw!$A$2:$A$1001=$A103)*(Raw!$R$2:$R$1001="C"))*9999)))</f>
        <v/>
      </c>
      <c r="K103" s="9" t="str">
        <f aca="false">IF(OR($J103="",$J103=0,$J103=9999),"",$A103&amp;"|C|"&amp;$J103)</f>
        <v/>
      </c>
      <c r="L103" s="16" t="str">
        <f aca="false">IF($I103="","",IF(INDEX(Raw!$I$2:$I$1001,MATCH($I103,Raw!$S$2:$S$1001,0))&lt;&gt;0,"",INDEX(Raw!$H$2:$H$1001,MATCH($I103,Raw!$S$2:$S$1001,0))))</f>
        <v/>
      </c>
      <c r="M103" s="19" t="str">
        <f aca="false">IF($I103="","",IF(INDEX(Raw!$I$2:$I$1001,MATCH($I103,Raw!$S$2:$S$1001,0))&lt;&gt;0,"",INDEX(Raw!$F$2:$F$1001,MATCH($I103,Raw!$S$2:$S$1001,0))))</f>
        <v/>
      </c>
      <c r="N103" s="20" t="str">
        <f aca="false">IF($I103="","",IF(INDEX(Raw!$I$2:$I$1001,MATCH($I103,Raw!$S$2:$S$1001,0))&lt;&gt;0,"",INDEX(Raw!$G$2:$G$1001,MATCH($I103,Raw!$S$2:$S$1001,0))))</f>
        <v/>
      </c>
      <c r="O103" s="16" t="str">
        <f aca="false">IF($I103="","",IF(INDEX(Raw!$I$2:$I$1001,MATCH($I103,Raw!$S$2:$S$1001,0))&lt;&gt;0,"",INDEX(Raw!$N$2:$N$1001,MATCH($I103,Raw!$S$2:$S$1001,0))))</f>
        <v/>
      </c>
      <c r="P103" s="16" t="str">
        <f aca="false">IF($K103="","",IF(INDEX(Raw!$I$2:$I$1001,MATCH($K103,Raw!$S$2:$S$1001,0))&lt;&gt;0,"",INDEX(Raw!$K$2:$K$1001,MATCH($K103,Raw!$S$2:$S$1001,0))))</f>
        <v/>
      </c>
      <c r="Q103" s="19" t="str">
        <f aca="false">IF($K103="","",IF(INDEX(Raw!$I$2:$I$1001,MATCH($K103,Raw!$S$2:$S$1001,0))&lt;&gt;0,"",INDEX(Raw!$J$2:$J$1001,MATCH($K103,Raw!$S$2:$S$1001,0))))</f>
        <v/>
      </c>
      <c r="R103" s="16" t="str">
        <f aca="false">IF($K103="","",IF(INDEX(Raw!$I$2:$I$1001,MATCH($K103,Raw!$S$2:$S$1001,0))&lt;&gt;0,"",INDEX(Raw!$O$2:$O$1001,MATCH($K103,Raw!$S$2:$S$1001,0))))</f>
        <v/>
      </c>
      <c r="S103" s="21" t="str">
        <f aca="false">IF($B103="","",IF($C103=0,"",IF(INDEX(Setup!$D$37:$D$49,$C103-36)="","",INDEX(Setup!$D$37:$D$49,$C103-36))))</f>
        <v/>
      </c>
      <c r="T103" s="21" t="str">
        <f aca="false">IF($B103="","",IF($C103=0,"",IF(INDEX(Setup!$C$37:$C$49,$C103-36)="","",INDEX(Setup!$C$37:$C$49,$C103-36))))</f>
        <v/>
      </c>
      <c r="U103" s="21" t="str">
        <f aca="false">IF($B103="","",IF($C103=0,"",IF(INDEX(Setup!$F$37:$F$49,$C103-36)="","",INDEX(Setup!$F$37:$F$49,$C103-36))))</f>
        <v/>
      </c>
      <c r="V103" s="21" t="str">
        <f aca="false">IF($B103="","",IF($C103=0,"",IF(INDEX(Setup!$E$37:$E$49,$C103-36)="","",INDEX(Setup!$E$37:$E$49,$C103-36))))</f>
        <v/>
      </c>
      <c r="W103" s="16" t="str">
        <f aca="false">IF($O103="","",IF(OR(Fits!$C$5&lt;&gt;"Yes",$D103="Blank",$L103&lt;=Fits!$B$6),$O103,($L103*$O103-Fits!$B$6*Fits!$B$7)/($L103-Fits!$B$6)))</f>
        <v/>
      </c>
      <c r="X103" s="16" t="str">
        <f aca="false">IF($W103="","",$W103-Fits!$B$20*($L103-Fits!$B$16))</f>
        <v/>
      </c>
      <c r="Y103" s="22" t="str">
        <f aca="false">IF($W103="","",IF(OR(Fits!$B$38="Row",$BI103=""),$A103,$BI103))</f>
        <v/>
      </c>
      <c r="Z103" s="16" t="str">
        <f aca="false">IF($X103="","",$X103-Fits!$B$39*($Y103-Fits!$B$40))</f>
        <v/>
      </c>
      <c r="AA103" s="23" t="str">
        <f aca="false">IF(OR($Z103="",Fits!$B$55&lt;2),"",Fits!$B$56*$Z103+Fits!$B$57)</f>
        <v/>
      </c>
      <c r="AB103" s="16" t="str">
        <f aca="false">IF($R103="","",IF(OR(Fits!$C$9&lt;&gt;"Yes",$D103="Blank",$P103&lt;=Fits!$B$10),$R103,($P103*$R103-Fits!$B$10*Fits!$B$11)/($P103-Fits!$B$10)))</f>
        <v/>
      </c>
      <c r="AC103" s="16" t="str">
        <f aca="false">IF($AB103="","",$AB103-Fits!$B$28*($P103-Fits!$B$24))</f>
        <v/>
      </c>
      <c r="AD103" s="22" t="str">
        <f aca="false">IF($AB103="","",IF(OR(Fits!$B$50="Row",$BI103=""),$A103,$BI103))</f>
        <v/>
      </c>
      <c r="AE103" s="16" t="str">
        <f aca="false">IF($AC103="","",$AC103-Fits!$B$51*($AD103-Fits!$B$52))</f>
        <v/>
      </c>
      <c r="AF103" s="23" t="str">
        <f aca="false">IF(OR($AE103="",Fits!$B$62&lt;2),"",Fits!$B$63*$AE103+Fits!$B$64)</f>
        <v/>
      </c>
      <c r="AG103" s="21" t="str">
        <f aca="false">IF(OR($L103="",Fits!$B$69&lt;3),"",($L103-Fits!$B$71)/Fits!$B$70)</f>
        <v/>
      </c>
      <c r="AH103" s="21" t="str">
        <f aca="false">IF(OR($P103="",Fits!$B$75&lt;3),"",($P103-Fits!$B$77)/Fits!$B$76)</f>
        <v/>
      </c>
      <c r="AI103" s="23" t="str">
        <f aca="false">IF(OR($AG103="",$G103="",$G103=0),"",$AG103/($G103*1000)*100)</f>
        <v/>
      </c>
      <c r="AJ103" s="23" t="str">
        <f aca="false">IF(OR($AH103="",$G103="",$G103=0),"",$AH103/($G103*1000)*100)</f>
        <v/>
      </c>
      <c r="AK103" s="23" t="str">
        <f aca="false">IF(OR($AG103="",$AH103="",$AG103&lt;=0),"",($AH103/Setup!$B$52)/($AG103/Setup!$B$53))</f>
        <v/>
      </c>
      <c r="AL103" s="23" t="str">
        <f aca="false">IF(OR($AG103="",$AH103="",$AG103&lt;=0),"",$AH103/$AG103)</f>
        <v/>
      </c>
      <c r="AM103" s="9" t="str">
        <f aca="false">IF($D103="Linearity",IF($L103="","",$L103),"")</f>
        <v/>
      </c>
      <c r="AN103" s="9" t="str">
        <f aca="false">IF($D103="Linearity",IF($W103="","",$W103),"")</f>
        <v/>
      </c>
      <c r="AO103" s="9" t="str">
        <f aca="false">IF($D103="Linearity",IF($P103="","",$P103),"")</f>
        <v/>
      </c>
      <c r="AP103" s="9" t="str">
        <f aca="false">IF($D103="Linearity",IF($AB103="","",$AB103),"")</f>
        <v/>
      </c>
      <c r="AQ103" s="9" t="str">
        <f aca="false">IF($D103="Drift",IF($A103&lt;IF(Setup!$B$14="",0,Setup!$B$14),"",$A103),"")</f>
        <v/>
      </c>
      <c r="AR103" s="9" t="str">
        <f aca="false">IF($D103="Drift",IF($A103&lt;IF(Setup!$B$14="",0,Setup!$B$14),"",IF($BI103="","",$BI103)),"")</f>
        <v/>
      </c>
      <c r="AS103" s="9" t="str">
        <f aca="false">IF($D103="Drift",IF($A103&lt;IF(Setup!$B$14="",0,Setup!$B$14),"",IF(OR($X103="",$BX103=1),"",$X103)),"")</f>
        <v/>
      </c>
      <c r="AT103" s="9" t="str">
        <f aca="false">IF($D103="Drift",IF($A103&lt;IF(Setup!$B$14="",0,Setup!$B$14),"",IF(OR($AC103="",$BY103=1),"",$AC103)),"")</f>
        <v/>
      </c>
      <c r="AU103" s="9" t="str">
        <f aca="false">IF($D103="Anchor",IF(OR($Z103="",$S103=""),"",$Z103),"")</f>
        <v/>
      </c>
      <c r="AV103" s="9" t="str">
        <f aca="false">IF($D103="Anchor",IF(OR($Z103="",$S103=""),"",$S103),"")</f>
        <v/>
      </c>
      <c r="AW103" s="9" t="str">
        <f aca="false">IF($D103="Anchor",IF(OR($AE103="",$T103=""),"",$AE103),"")</f>
        <v/>
      </c>
      <c r="AX103" s="9" t="str">
        <f aca="false">IF($D103="Anchor",IF(OR($AE103="",$T103=""),"",$T103),"")</f>
        <v/>
      </c>
      <c r="AY103" s="9" t="str">
        <f aca="false">IF(OR($D103="Blank",$D103="Exclude",$D103="Sample",$D103="",$G103="",$U103="",$L103=""),"",$G103*1000*$U103/100)</f>
        <v/>
      </c>
      <c r="AZ103" s="9" t="str">
        <f aca="false">IF($AY103="","",$L103)</f>
        <v/>
      </c>
      <c r="BA103" s="9" t="str">
        <f aca="false">IF(OR($D103="Blank",$D103="Exclude",$D103="Sample",$D103="",$G103="",$V103="",$P103=""),"",$G103*1000*$V103/100)</f>
        <v/>
      </c>
      <c r="BB103" s="9" t="str">
        <f aca="false">IF($BA103="","",$P103)</f>
        <v/>
      </c>
      <c r="BC103" s="9" t="str">
        <f aca="false">IF(AND($D103="Blank",$L103&lt;&gt;""),$O103,"")</f>
        <v/>
      </c>
      <c r="BD103" s="9" t="str">
        <f aca="false">IF($BC103="","",$L103)</f>
        <v/>
      </c>
      <c r="BE103" s="9" t="str">
        <f aca="false">IF(AND($D103="Blank",$P103&lt;&gt;""),$R103,"")</f>
        <v/>
      </c>
      <c r="BF103" s="9" t="str">
        <f aca="false">IF($BE103="","",$P103)</f>
        <v/>
      </c>
      <c r="BG103" s="9" t="str">
        <f aca="false">IF(AND($D103="Drift",$BX103&lt;&gt;1),IF($AA103="","",$AA103),"")</f>
        <v/>
      </c>
      <c r="BH103" s="9" t="str">
        <f aca="false">IF(AND($D103="Drift",$BY103&lt;&gt;1),IF($AF103="","",$AF103),"")</f>
        <v/>
      </c>
      <c r="BI103" s="20" t="str">
        <f aca="false">IF($B103="","",IFERROR(INDEX(Raw!$G$2:$G$1001,MATCH($A103&amp;"|N|"&amp;SUMPRODUCT(MAX((Raw!$A$2:$A$1001=$A103)*(Raw!$R$2:$R$1001="N")*(Raw!$I$2:$I$1001=1)*Raw!$D$2:$D$1001)),Raw!$S$2:$S$1001,0)),""))</f>
        <v/>
      </c>
      <c r="BJ103" s="21" t="str">
        <f aca="false">IF(OR($BI103="",Fits!$B$85&lt;=0),"",($BI103-Fits!$B$83)/Fits!$B$85)</f>
        <v/>
      </c>
      <c r="BK103" s="9" t="str">
        <f aca="false">IF($AS103="","",IF($A103&gt;=Fits!$B$86,"",$A103))</f>
        <v/>
      </c>
      <c r="BL103" s="9" t="str">
        <f aca="false">IF($BK103="","",$X103)</f>
        <v/>
      </c>
      <c r="BM103" s="9" t="str">
        <f aca="false">IF($AS103="","",IF($A103&lt;Fits!$B$86,"",$A103))</f>
        <v/>
      </c>
      <c r="BN103" s="9" t="str">
        <f aca="false">IF($BM103="","",$X103)</f>
        <v/>
      </c>
      <c r="BO103" s="9" t="str">
        <f aca="false">IF(AND($D103="Drift",$BX103&lt;&gt;1),IF($O103="","",$O103),"")</f>
        <v/>
      </c>
      <c r="BP103" s="9" t="str">
        <f aca="false">IF(AND($D103="Drift",$BX103&lt;&gt;1),IF($W103="","",$W103),"")</f>
        <v/>
      </c>
      <c r="BQ103" s="9" t="str">
        <f aca="false">IF(AND($D103="Drift",$BX103&lt;&gt;1),IF($X103="","",$X103),"")</f>
        <v/>
      </c>
      <c r="BR103" s="9" t="str">
        <f aca="false">IF(AND($D103="Drift",$BX103&lt;&gt;1),IF($Z103="","",$Z103),"")</f>
        <v/>
      </c>
      <c r="BS103" s="9" t="str">
        <f aca="false">IF(OR($B103="",$H103=""),"",SUMPRODUCT(MIN((Raw!$A$2:$A$1001=$A103)*(Raw!$R$2:$R$1001="N")*(Raw!$I$2:$I$1001=0)*(Raw!$D$2:$D$1001&lt;$H103)*Raw!$D$2:$D$1001+(1-(Raw!$A$2:$A$1001=$A103)*(Raw!$R$2:$R$1001="N")*(Raw!$I$2:$I$1001=0)*(Raw!$D$2:$D$1001&lt;$H103))*9999)))</f>
        <v/>
      </c>
      <c r="BT103" s="16" t="str">
        <f aca="false">IF(OR($BS103="",$BS103=9999,$BS103=0),"",IFERROR(INDEX(Raw!$N$2:$N$1001,MATCH($A103&amp;"|N|"&amp;$BS103,Raw!$S$2:$S$1001,0)),""))</f>
        <v/>
      </c>
      <c r="BU103" s="9" t="str">
        <f aca="false">IF($B103="","",SUMPRODUCT(MIN((Raw!$A$2:$A$1001=$A103)*(Raw!$R$2:$R$1001="C")*(Raw!$I$2:$I$1001=1)*Raw!$D$2:$D$1001+(1-(Raw!$A$2:$A$1001=$A103)*(Raw!$R$2:$R$1001="C")*(Raw!$I$2:$I$1001=1))*9999)))</f>
        <v/>
      </c>
      <c r="BV103" s="9" t="str">
        <f aca="false">IF(OR($BU103="",$BU103=9999),"",SUMPRODUCT(MIN((Raw!$A$2:$A$1001=$A103)*(Raw!$R$2:$R$1001="C")*(Raw!$I$2:$I$1001=0)*(Raw!$D$2:$D$1001&gt;$BU103)*Raw!$D$2:$D$1001+(1-(Raw!$A$2:$A$1001=$A103)*(Raw!$R$2:$R$1001="C")*(Raw!$I$2:$I$1001=0)*(Raw!$D$2:$D$1001&gt;$BU103))*9999)))</f>
        <v/>
      </c>
      <c r="BW103" s="16" t="str">
        <f aca="false">IF(OR($BV103="",$BV103=9999,$BV103=0),"",IFERROR(INDEX(Raw!$O$2:$O$1001,MATCH($A103&amp;"|C|"&amp;$BV103,Raw!$S$2:$S$1001,0)),""))</f>
        <v/>
      </c>
      <c r="BX103" s="9" t="str">
        <f aca="false">IF($B103="","",IF(ISNUMBER(SEARCH(","&amp;$A103&amp;",",","&amp;SUBSTITUTE(Setup!$B$16," ","")&amp;",")),1,0))</f>
        <v/>
      </c>
      <c r="BY103" s="9" t="str">
        <f aca="false">IF($B103="","",IF(ISNUMBER(SEARCH(","&amp;$A103&amp;",",","&amp;SUBSTITUTE(Setup!$B$17," ","")&amp;",")),1,0))</f>
        <v/>
      </c>
      <c r="BZ103" s="22" t="str">
        <f aca="false">IF($AS103="","",IF(Fits!$B$38="Row",$AQ103,IF($AR103="","",$AR103)))</f>
        <v/>
      </c>
      <c r="CA103" s="22" t="str">
        <f aca="false">IF($AT103="","",IF(Fits!$B$50="Row",$AQ103,IF($AR103="","",$AR103)))</f>
        <v/>
      </c>
      <c r="CB103" s="20" t="str">
        <f aca="false">IF(OR($D103&lt;&gt;"Drift",$X103="",$A103&lt;IF(Setup!$B$14="",0,Setup!$B$14),Fits!$B$107&lt;3,Fits!$B$110="",Fits!$B$109=0,IF(Fits!$B$38="Row",$AQ103,$AR103)=""),"",IF($BX103=1,IF(OR(Fits!$B$111="",Fits!$B$111=0),"",($X103-(IF(Fits!$B$38="Row",Fits!$B$32,Fits!$B$35)*IF(Fits!$B$38="Row",$AQ103,$AR103)+Fits!$B$110))/(Fits!$B$111*SQRT(1+(1/Fits!$B$107+(IF(Fits!$B$38="Row",$AQ103,$AR103)-Fits!$B$108)^2/Fits!$B$109)))),IF(OR(Fits!$B$107&lt;4,(1/Fits!$B$107+(IF(Fits!$B$38="Row",$AQ103,$AR103)-Fits!$B$108)^2/Fits!$B$109)&gt;=1),"",IF((Fits!$B$116-($X103-(IF(Fits!$B$38="Row",Fits!$B$32,Fits!$B$35)*IF(Fits!$B$38="Row",$AQ103,$AR103)+Fits!$B$110))^2/(1-(1/Fits!$B$107+(IF(Fits!$B$38="Row",$AQ103,$AR103)-Fits!$B$108)^2/Fits!$B$109)))&lt;=0,"",($X103-(IF(Fits!$B$38="Row",Fits!$B$32,Fits!$B$35)*IF(Fits!$B$38="Row",$AQ103,$AR103)+Fits!$B$110))/(SQRT((Fits!$B$116-($X103-(IF(Fits!$B$38="Row",Fits!$B$32,Fits!$B$35)*IF(Fits!$B$38="Row",$AQ103,$AR103)+Fits!$B$110))^2/(1-(1/Fits!$B$107+(IF(Fits!$B$38="Row",$AQ103,$AR103)-Fits!$B$108)^2/Fits!$B$109)))/(Fits!$B$107-3))*SQRT(1-(1/Fits!$B$107+(IF(Fits!$B$38="Row",$AQ103,$AR103)-Fits!$B$108)^2/Fits!$B$109)))))))</f>
        <v/>
      </c>
      <c r="CC103" s="20" t="str">
        <f aca="false">IF(OR($D103&lt;&gt;"Drift",$AC103="",$A103&lt;IF(Setup!$B$14="",0,Setup!$B$14),Fits!$B$120&lt;3,Fits!$B$123="",Fits!$B$122=0,IF(Fits!$B$50="Row",$AQ103,$AR103)=""),"",IF($BY103=1,IF(OR(Fits!$B$124="",Fits!$B$124=0),"",($AC103-(IF(Fits!$B$50="Row",Fits!$B$44,Fits!$B$47)*IF(Fits!$B$50="Row",$AQ103,$AR103)+Fits!$B$123))/(Fits!$B$124*SQRT(1+(1/Fits!$B$120+(IF(Fits!$B$50="Row",$AQ103,$AR103)-Fits!$B$121)^2/Fits!$B$122)))),IF(OR(Fits!$B$120&lt;4,(1/Fits!$B$120+(IF(Fits!$B$50="Row",$AQ103,$AR103)-Fits!$B$121)^2/Fits!$B$122)&gt;=1),"",IF((Fits!$B$129-($AC103-(IF(Fits!$B$50="Row",Fits!$B$44,Fits!$B$47)*IF(Fits!$B$50="Row",$AQ103,$AR103)+Fits!$B$123))^2/(1-(1/Fits!$B$120+(IF(Fits!$B$50="Row",$AQ103,$AR103)-Fits!$B$121)^2/Fits!$B$122)))&lt;=0,"",($AC103-(IF(Fits!$B$50="Row",Fits!$B$44,Fits!$B$47)*IF(Fits!$B$50="Row",$AQ103,$AR103)+Fits!$B$123))/(SQRT((Fits!$B$129-($AC103-(IF(Fits!$B$50="Row",Fits!$B$44,Fits!$B$47)*IF(Fits!$B$50="Row",$AQ103,$AR103)+Fits!$B$123))^2/(1-(1/Fits!$B$120+(IF(Fits!$B$50="Row",$AQ103,$AR103)-Fits!$B$121)^2/Fits!$B$122)))/(Fits!$B$120-3))*SQRT(1-(1/Fits!$B$120+(IF(Fits!$B$50="Row",$AQ103,$AR103)-Fits!$B$121)^2/Fits!$B$122)))))))</f>
        <v/>
      </c>
      <c r="CD103" s="9" t="str">
        <f aca="false">IF($AU103="","",1)</f>
        <v/>
      </c>
      <c r="CE103" s="24" t="str">
        <f aca="false">IF($AU103="","",$AU103-Fits!$B$133)</f>
        <v/>
      </c>
      <c r="CF103" s="24" t="str">
        <f aca="false">IF($AU103="","",($AV103-(Fits!$B$56*$AU103+Fits!$B$57))-Fits!$B$56*($AU103-Fits!$B$133))</f>
        <v/>
      </c>
      <c r="CG103" s="25" t="str">
        <f aca="false">IF($AU103="","",$AU103^2)</f>
        <v/>
      </c>
      <c r="CH103" s="9" t="str">
        <f aca="false">IF($AW103="","",1)</f>
        <v/>
      </c>
      <c r="CI103" s="24" t="str">
        <f aca="false">IF($AW103="","",$AW103-Fits!$B$153)</f>
        <v/>
      </c>
      <c r="CJ103" s="24" t="str">
        <f aca="false">IF($AW103="","",($AX103-(Fits!$B$63*$AW103+Fits!$B$64))-Fits!$B$63*($AW103-Fits!$B$153))</f>
        <v/>
      </c>
      <c r="CK103" s="25" t="str">
        <f aca="false">IF($AW103="","",$AW103^2)</f>
        <v/>
      </c>
      <c r="CL103" s="26" t="str">
        <f aca="false">IF(OR($Z103="",Fits!$B$55&lt;3,Fits!$B$133="",Fits!$B$134="",Fits!$B$134=0,Fits!$B$136=""),"",SQRT((Fits!$B$136*Fits!$B$56)^2+SUMPRODUCT((Fits!$J$163:$J$175*(Fits!$B$163:$B$175/Fits!$B$55+Fits!$H$163:$H$175*($Z103-Fits!$B$133)/Fits!$B$134))^2)+SUMPRODUCT((Fits!$G$163:$G$175*(($Z103-Fits!$B$133)*Fits!$I$163:$I$175/Fits!$B$134-Fits!$B$163:$B$175*Fits!$B$56/Fits!$B$55))^2)))</f>
        <v/>
      </c>
      <c r="CM103" s="26" t="str">
        <f aca="false">IF($CL103="","",Setup!$B$32*$CL103)</f>
        <v/>
      </c>
      <c r="CN103" s="26" t="str">
        <f aca="false">IF(OR($AE103="",Fits!$B$62&lt;3,Fits!$B$153="",Fits!$B$154="",Fits!$B$154=0,Fits!$B$156=""),"",SQRT((Fits!$B$156*Fits!$B$63)^2+SUMPRODUCT((Fits!$J$183:$J$195*(Fits!$B$183:$B$195/Fits!$B$62+Fits!$H$183:$H$195*($AE103-Fits!$B$153)/Fits!$B$154))^2)+SUMPRODUCT((Fits!$G$183:$G$195*(($AE103-Fits!$B$153)*Fits!$I$183:$I$195/Fits!$B$154-Fits!$B$183:$B$195*Fits!$B$63/Fits!$B$62))^2)))</f>
        <v/>
      </c>
      <c r="CO103" s="26" t="str">
        <f aca="false">IF($CN103="","",Setup!$B$32*$CN103)</f>
        <v/>
      </c>
      <c r="CP103" s="9" t="n">
        <f aca="false">IF(OR(NOT(ISNUMBER($BJ103)),$EK103=1),$CP102,IF($BJ103&lt;=Setup!$B$26,$CP102+1,0))</f>
        <v>26</v>
      </c>
      <c r="CQ103" s="9" t="str">
        <f aca="false">IF($BT103="","",$A103)</f>
        <v/>
      </c>
      <c r="CR103" s="9" t="str">
        <f aca="false">IF($BW103="","",$A103)</f>
        <v/>
      </c>
      <c r="CS103" s="9" t="str">
        <f aca="false">IF($B103="","",IF(Setup!$A$37="",0,IF(ISNUMBER(SEARCH(Setup!$A$37,$B103)),37,0)))</f>
        <v/>
      </c>
      <c r="CT103" s="9" t="str">
        <f aca="false">IF($B103="","",IF(Setup!$A$38="",0,IF(ISNUMBER(SEARCH(Setup!$A$38,$B103)),38,0)))</f>
        <v/>
      </c>
      <c r="CU103" s="9" t="str">
        <f aca="false">IF($B103="","",IF(Setup!$A$39="",0,IF(ISNUMBER(SEARCH(Setup!$A$39,$B103)),39,0)))</f>
        <v/>
      </c>
      <c r="CV103" s="9" t="str">
        <f aca="false">IF($B103="","",IF(Setup!$A$40="",0,IF(ISNUMBER(SEARCH(Setup!$A$40,$B103)),40,0)))</f>
        <v/>
      </c>
      <c r="CW103" s="9" t="str">
        <f aca="false">IF($B103="","",IF(Setup!$A$41="",0,IF(ISNUMBER(SEARCH(Setup!$A$41,$B103)),41,0)))</f>
        <v/>
      </c>
      <c r="CX103" s="9" t="str">
        <f aca="false">IF($B103="","",IF(Setup!$A$42="",0,IF(ISNUMBER(SEARCH(Setup!$A$42,$B103)),42,0)))</f>
        <v/>
      </c>
      <c r="CY103" s="9" t="str">
        <f aca="false">IF($B103="","",IF(Setup!$A$43="",0,IF(ISNUMBER(SEARCH(Setup!$A$43,$B103)),43,0)))</f>
        <v/>
      </c>
      <c r="CZ103" s="9" t="str">
        <f aca="false">IF($B103="","",IF(Setup!$A$44="",0,IF(ISNUMBER(SEARCH(Setup!$A$44,$B103)),44,0)))</f>
        <v/>
      </c>
      <c r="DA103" s="9" t="str">
        <f aca="false">IF($B103="","",IF(Setup!$A$45="",0,IF(ISNUMBER(SEARCH(Setup!$A$45,$B103)),45,0)))</f>
        <v/>
      </c>
      <c r="DB103" s="9" t="str">
        <f aca="false">IF($B103="","",IF(Setup!$A$46="",0,IF(ISNUMBER(SEARCH(Setup!$A$46,$B103)),46,0)))</f>
        <v/>
      </c>
      <c r="DC103" s="9" t="str">
        <f aca="false">IF($B103="","",IF(Setup!$A$47="",0,IF(ISNUMBER(SEARCH(Setup!$A$47,$B103)),47,0)))</f>
        <v/>
      </c>
      <c r="DD103" s="9" t="str">
        <f aca="false">IF($B103="","",IF(Setup!$A$48="",0,IF(ISNUMBER(SEARCH(Setup!$A$48,$B103)),48,0)))</f>
        <v/>
      </c>
      <c r="DE103" s="9" t="str">
        <f aca="false">IF($B103="","",IF(Setup!$A$49="",0,IF(ISNUMBER(SEARCH(Setup!$A$49,$B103)),49,0)))</f>
        <v/>
      </c>
      <c r="DF103" s="9" t="e">
        <f aca="false">IF($B103="",NA(),$A103)</f>
        <v>#N/A</v>
      </c>
      <c r="DG103" s="9" t="e">
        <f aca="false">IF($BI103="",NA(),$BI103)</f>
        <v>#N/A</v>
      </c>
      <c r="DH103" s="9" t="e">
        <f aca="false">IF($N103="",NA(),$N103)</f>
        <v>#N/A</v>
      </c>
      <c r="DI103" s="9" t="e">
        <f aca="false">IF(AND($D103="Drift",$N103&lt;&gt;""),$N103,NA())</f>
        <v>#N/A</v>
      </c>
      <c r="DJ103" s="9" t="str">
        <f aca="false">IF(AND($D103="Drift",$N103&lt;&gt;""),$N103,"")</f>
        <v/>
      </c>
      <c r="DK103" s="9" t="str">
        <f aca="false">IF($DJ103="","",$A103)</f>
        <v/>
      </c>
      <c r="DL103" s="9" t="e">
        <f aca="false">IF($AN103="",NA(),$AM103)</f>
        <v>#N/A</v>
      </c>
      <c r="DM103" s="9" t="e">
        <f aca="false">IF($AN103="",NA(),$AN103)</f>
        <v>#N/A</v>
      </c>
      <c r="DN103" s="9" t="e">
        <f aca="false">IF(AND($D103="Sample",$L103&lt;&gt;""),$L103,NA())</f>
        <v>#N/A</v>
      </c>
      <c r="DO103" s="9" t="e">
        <f aca="false">IF(AND($D103="Sample",$L103&lt;&gt;"",Fits!$B$98&lt;&gt;""),Fits!$B$98,NA())</f>
        <v>#N/A</v>
      </c>
      <c r="DP103" s="9" t="e">
        <f aca="false">IF($AS103="",NA(),$AS103)</f>
        <v>#N/A</v>
      </c>
      <c r="DQ103" s="9" t="e">
        <f aca="false">IF(AND($D103="Drift",$AS103="",$X103&lt;&gt;""),$X103,NA())</f>
        <v>#N/A</v>
      </c>
      <c r="DR103" s="9" t="e">
        <f aca="false">IF(AND($D103="Drift",$Z103&lt;&gt;""),$Z103,NA())</f>
        <v>#N/A</v>
      </c>
      <c r="DS103" s="9" t="e">
        <f aca="false">IF(AND(OR($D103="Sample",$D103="Check"),$AA103&lt;&gt;""),$AA103,NA())</f>
        <v>#N/A</v>
      </c>
      <c r="DT103" s="9" t="e">
        <f aca="false">IF(OR($B103="",Fits!$B$138=""),NA(),Fits!$B$138)</f>
        <v>#N/A</v>
      </c>
      <c r="DU103" s="9" t="e">
        <f aca="false">IF(OR($B103="",Fits!$B$139=""),NA(),Fits!$B$139)</f>
        <v>#N/A</v>
      </c>
      <c r="DV103" s="9" t="e">
        <f aca="false">IF($BT103="",NA(),$BT103)</f>
        <v>#N/A</v>
      </c>
      <c r="DW103" s="9" t="e">
        <f aca="false">IF($AP103="",NA(),$AO103)</f>
        <v>#N/A</v>
      </c>
      <c r="DX103" s="9" t="e">
        <f aca="false">IF($AP103="",NA(),$AP103)</f>
        <v>#N/A</v>
      </c>
      <c r="DY103" s="9" t="e">
        <f aca="false">IF(AND($D103="Sample",$P103&lt;&gt;""),$P103,NA())</f>
        <v>#N/A</v>
      </c>
      <c r="DZ103" s="9" t="e">
        <f aca="false">IF(AND($D103="Sample",$P103&lt;&gt;"",Fits!$B$105&lt;&gt;""),Fits!$B$105,NA())</f>
        <v>#N/A</v>
      </c>
      <c r="EA103" s="9" t="e">
        <f aca="false">IF($AT103="",NA(),$AT103)</f>
        <v>#N/A</v>
      </c>
      <c r="EB103" s="9" t="e">
        <f aca="false">IF(AND($D103="Drift",$AT103="",$AC103&lt;&gt;""),$AC103,NA())</f>
        <v>#N/A</v>
      </c>
      <c r="EC103" s="9" t="e">
        <f aca="false">IF(AND($D103="Drift",$AE103&lt;&gt;""),$AE103,NA())</f>
        <v>#N/A</v>
      </c>
      <c r="ED103" s="9" t="e">
        <f aca="false">IF(AND(OR($D103="Sample",$D103="Check"),$AF103&lt;&gt;""),$AF103,NA())</f>
        <v>#N/A</v>
      </c>
      <c r="EE103" s="9" t="e">
        <f aca="false">IF(OR($B103="",Fits!$B$158=""),NA(),Fits!$B$158)</f>
        <v>#N/A</v>
      </c>
      <c r="EF103" s="9" t="e">
        <f aca="false">IF(OR($B103="",Fits!$B$159=""),NA(),Fits!$B$159)</f>
        <v>#N/A</v>
      </c>
      <c r="EG103" s="9" t="e">
        <f aca="false">IF($BW103="",NA(),$BW103)</f>
        <v>#N/A</v>
      </c>
      <c r="EH103" s="9" t="e">
        <f aca="false">IF(AND($EN103=1,ISNUMBER($N103)),$N103,NA())</f>
        <v>#N/A</v>
      </c>
      <c r="EI103" s="9" t="str">
        <f aca="false">IF($B103="","",$A103)</f>
        <v/>
      </c>
      <c r="EJ103" s="9" t="n">
        <f aca="false">IF(OR(AND(ISNUMBER($L103),Fits!$B$97&gt;0,$L103&gt;Fits!$B$97),AND(ISNUMBER($P103),Fits!$B$104&gt;0,$P103&gt;Fits!$B$104)),1,0)</f>
        <v>0</v>
      </c>
      <c r="EK103" s="9" t="n">
        <f aca="false">IF(OR($EJ102=1,$EJ101=1),1,0)</f>
        <v>0</v>
      </c>
      <c r="EL103" s="22" t="n">
        <f aca="false">IF(AND($EK103=0,ISNUMBER($N103)),$N103,$EL102)</f>
        <v>25.7</v>
      </c>
      <c r="EM103" s="9" t="str">
        <f aca="false">IF(AND($EK103=1,ISNUMBER($N103),ISNUMBER($EL103)),$N103-$EL103,"")</f>
        <v/>
      </c>
      <c r="EN103" s="9" t="n">
        <f aca="false">IF(Setup!$B$28="",0,IF(ISNUMBER($EM103),IF($EM103&gt;Setup!$B$28,1,0),0))</f>
        <v>0</v>
      </c>
      <c r="EO103" s="9" t="str">
        <f aca="false">IF($EN103=1,COUNTIF($EN$6:$EN103,1),"")</f>
        <v/>
      </c>
      <c r="EP103" s="9" t="n">
        <f aca="false">IF(AND($EJ102=1,OR($D103="Sample",$D103="Check")),1,0)</f>
        <v>0</v>
      </c>
      <c r="EQ103" s="9" t="str">
        <f aca="false">IF(ISNUMBER($BI103),IF(COUNT($BI$6:$BI103)&lt;=5,$BI103,""),"")</f>
        <v/>
      </c>
      <c r="ER103" s="9" t="n">
        <f aca="false">IF(OR(NOT(ISNUMBER($BJ103)),$EK103=1),$ER102,IF($BJ103&lt;=Setup!$B$26,IF($CP102=0,$A103,$ER102),""))</f>
        <v>27</v>
      </c>
    </row>
    <row r="104" customFormat="false" ht="15" hidden="false" customHeight="false" outlineLevel="0" collapsed="false">
      <c r="A104" s="8" t="n">
        <v>99</v>
      </c>
      <c r="B104" s="8" t="str">
        <f aca="false">IFERROR(INDEX(Raw!$B$2:$B$1001,MATCH($A104,Raw!$A$2:$A$1001,0)),"")</f>
        <v/>
      </c>
      <c r="C104" s="9" t="str">
        <f aca="false">IF($B104="","",MAX($CS104:$DE104))</f>
        <v/>
      </c>
      <c r="D104" s="8" t="str">
        <f aca="false">IF($B104="","",IF($C104=0,"Sample",INDEX(Setup!$B$37:$B$49,$C104-36)))</f>
        <v/>
      </c>
      <c r="E104" s="16" t="str">
        <f aca="false">IF($B104="","",IFERROR(IF(INDEX(Raw!$E$2:$E$1001,MATCH($A104,Raw!$A$2:$A$1001,0))=0,"",INDEX(Raw!$E$2:$E$1001,MATCH($A104,Raw!$A$2:$A$1001,0))),""))</f>
        <v/>
      </c>
      <c r="F104" s="18"/>
      <c r="G104" s="16" t="str">
        <f aca="false">IF($B104="","",IF($F104&lt;&gt;"",$F104,IF($E104="","",$E104)))</f>
        <v/>
      </c>
      <c r="H104" s="9" t="str">
        <f aca="false">IF($B104="","",SUMPRODUCT(MAX((Raw!$A$2:$A$1001=$A104)*(Raw!$R$2:$R$1001="N")*Raw!$D$2:$D$1001)))</f>
        <v/>
      </c>
      <c r="I104" s="9" t="str">
        <f aca="false">IF(OR($H104="",$H104=0),"",$A104&amp;"|N|"&amp;$H104)</f>
        <v/>
      </c>
      <c r="J104" s="9" t="str">
        <f aca="false">IF($B104="","",SUMPRODUCT(MIN((Raw!$A$2:$A$1001=$A104)*(Raw!$R$2:$R$1001="C")*Raw!$D$2:$D$1001+(1-(Raw!$A$2:$A$1001=$A104)*(Raw!$R$2:$R$1001="C"))*9999)))</f>
        <v/>
      </c>
      <c r="K104" s="9" t="str">
        <f aca="false">IF(OR($J104="",$J104=0,$J104=9999),"",$A104&amp;"|C|"&amp;$J104)</f>
        <v/>
      </c>
      <c r="L104" s="16" t="str">
        <f aca="false">IF($I104="","",IF(INDEX(Raw!$I$2:$I$1001,MATCH($I104,Raw!$S$2:$S$1001,0))&lt;&gt;0,"",INDEX(Raw!$H$2:$H$1001,MATCH($I104,Raw!$S$2:$S$1001,0))))</f>
        <v/>
      </c>
      <c r="M104" s="19" t="str">
        <f aca="false">IF($I104="","",IF(INDEX(Raw!$I$2:$I$1001,MATCH($I104,Raw!$S$2:$S$1001,0))&lt;&gt;0,"",INDEX(Raw!$F$2:$F$1001,MATCH($I104,Raw!$S$2:$S$1001,0))))</f>
        <v/>
      </c>
      <c r="N104" s="20" t="str">
        <f aca="false">IF($I104="","",IF(INDEX(Raw!$I$2:$I$1001,MATCH($I104,Raw!$S$2:$S$1001,0))&lt;&gt;0,"",INDEX(Raw!$G$2:$G$1001,MATCH($I104,Raw!$S$2:$S$1001,0))))</f>
        <v/>
      </c>
      <c r="O104" s="16" t="str">
        <f aca="false">IF($I104="","",IF(INDEX(Raw!$I$2:$I$1001,MATCH($I104,Raw!$S$2:$S$1001,0))&lt;&gt;0,"",INDEX(Raw!$N$2:$N$1001,MATCH($I104,Raw!$S$2:$S$1001,0))))</f>
        <v/>
      </c>
      <c r="P104" s="16" t="str">
        <f aca="false">IF($K104="","",IF(INDEX(Raw!$I$2:$I$1001,MATCH($K104,Raw!$S$2:$S$1001,0))&lt;&gt;0,"",INDEX(Raw!$K$2:$K$1001,MATCH($K104,Raw!$S$2:$S$1001,0))))</f>
        <v/>
      </c>
      <c r="Q104" s="19" t="str">
        <f aca="false">IF($K104="","",IF(INDEX(Raw!$I$2:$I$1001,MATCH($K104,Raw!$S$2:$S$1001,0))&lt;&gt;0,"",INDEX(Raw!$J$2:$J$1001,MATCH($K104,Raw!$S$2:$S$1001,0))))</f>
        <v/>
      </c>
      <c r="R104" s="16" t="str">
        <f aca="false">IF($K104="","",IF(INDEX(Raw!$I$2:$I$1001,MATCH($K104,Raw!$S$2:$S$1001,0))&lt;&gt;0,"",INDEX(Raw!$O$2:$O$1001,MATCH($K104,Raw!$S$2:$S$1001,0))))</f>
        <v/>
      </c>
      <c r="S104" s="21" t="str">
        <f aca="false">IF($B104="","",IF($C104=0,"",IF(INDEX(Setup!$D$37:$D$49,$C104-36)="","",INDEX(Setup!$D$37:$D$49,$C104-36))))</f>
        <v/>
      </c>
      <c r="T104" s="21" t="str">
        <f aca="false">IF($B104="","",IF($C104=0,"",IF(INDEX(Setup!$C$37:$C$49,$C104-36)="","",INDEX(Setup!$C$37:$C$49,$C104-36))))</f>
        <v/>
      </c>
      <c r="U104" s="21" t="str">
        <f aca="false">IF($B104="","",IF($C104=0,"",IF(INDEX(Setup!$F$37:$F$49,$C104-36)="","",INDEX(Setup!$F$37:$F$49,$C104-36))))</f>
        <v/>
      </c>
      <c r="V104" s="21" t="str">
        <f aca="false">IF($B104="","",IF($C104=0,"",IF(INDEX(Setup!$E$37:$E$49,$C104-36)="","",INDEX(Setup!$E$37:$E$49,$C104-36))))</f>
        <v/>
      </c>
      <c r="W104" s="16" t="str">
        <f aca="false">IF($O104="","",IF(OR(Fits!$C$5&lt;&gt;"Yes",$D104="Blank",$L104&lt;=Fits!$B$6),$O104,($L104*$O104-Fits!$B$6*Fits!$B$7)/($L104-Fits!$B$6)))</f>
        <v/>
      </c>
      <c r="X104" s="16" t="str">
        <f aca="false">IF($W104="","",$W104-Fits!$B$20*($L104-Fits!$B$16))</f>
        <v/>
      </c>
      <c r="Y104" s="22" t="str">
        <f aca="false">IF($W104="","",IF(OR(Fits!$B$38="Row",$BI104=""),$A104,$BI104))</f>
        <v/>
      </c>
      <c r="Z104" s="16" t="str">
        <f aca="false">IF($X104="","",$X104-Fits!$B$39*($Y104-Fits!$B$40))</f>
        <v/>
      </c>
      <c r="AA104" s="23" t="str">
        <f aca="false">IF(OR($Z104="",Fits!$B$55&lt;2),"",Fits!$B$56*$Z104+Fits!$B$57)</f>
        <v/>
      </c>
      <c r="AB104" s="16" t="str">
        <f aca="false">IF($R104="","",IF(OR(Fits!$C$9&lt;&gt;"Yes",$D104="Blank",$P104&lt;=Fits!$B$10),$R104,($P104*$R104-Fits!$B$10*Fits!$B$11)/($P104-Fits!$B$10)))</f>
        <v/>
      </c>
      <c r="AC104" s="16" t="str">
        <f aca="false">IF($AB104="","",$AB104-Fits!$B$28*($P104-Fits!$B$24))</f>
        <v/>
      </c>
      <c r="AD104" s="22" t="str">
        <f aca="false">IF($AB104="","",IF(OR(Fits!$B$50="Row",$BI104=""),$A104,$BI104))</f>
        <v/>
      </c>
      <c r="AE104" s="16" t="str">
        <f aca="false">IF($AC104="","",$AC104-Fits!$B$51*($AD104-Fits!$B$52))</f>
        <v/>
      </c>
      <c r="AF104" s="23" t="str">
        <f aca="false">IF(OR($AE104="",Fits!$B$62&lt;2),"",Fits!$B$63*$AE104+Fits!$B$64)</f>
        <v/>
      </c>
      <c r="AG104" s="21" t="str">
        <f aca="false">IF(OR($L104="",Fits!$B$69&lt;3),"",($L104-Fits!$B$71)/Fits!$B$70)</f>
        <v/>
      </c>
      <c r="AH104" s="21" t="str">
        <f aca="false">IF(OR($P104="",Fits!$B$75&lt;3),"",($P104-Fits!$B$77)/Fits!$B$76)</f>
        <v/>
      </c>
      <c r="AI104" s="23" t="str">
        <f aca="false">IF(OR($AG104="",$G104="",$G104=0),"",$AG104/($G104*1000)*100)</f>
        <v/>
      </c>
      <c r="AJ104" s="23" t="str">
        <f aca="false">IF(OR($AH104="",$G104="",$G104=0),"",$AH104/($G104*1000)*100)</f>
        <v/>
      </c>
      <c r="AK104" s="23" t="str">
        <f aca="false">IF(OR($AG104="",$AH104="",$AG104&lt;=0),"",($AH104/Setup!$B$52)/($AG104/Setup!$B$53))</f>
        <v/>
      </c>
      <c r="AL104" s="23" t="str">
        <f aca="false">IF(OR($AG104="",$AH104="",$AG104&lt;=0),"",$AH104/$AG104)</f>
        <v/>
      </c>
      <c r="AM104" s="9" t="str">
        <f aca="false">IF($D104="Linearity",IF($L104="","",$L104),"")</f>
        <v/>
      </c>
      <c r="AN104" s="9" t="str">
        <f aca="false">IF($D104="Linearity",IF($W104="","",$W104),"")</f>
        <v/>
      </c>
      <c r="AO104" s="9" t="str">
        <f aca="false">IF($D104="Linearity",IF($P104="","",$P104),"")</f>
        <v/>
      </c>
      <c r="AP104" s="9" t="str">
        <f aca="false">IF($D104="Linearity",IF($AB104="","",$AB104),"")</f>
        <v/>
      </c>
      <c r="AQ104" s="9" t="str">
        <f aca="false">IF($D104="Drift",IF($A104&lt;IF(Setup!$B$14="",0,Setup!$B$14),"",$A104),"")</f>
        <v/>
      </c>
      <c r="AR104" s="9" t="str">
        <f aca="false">IF($D104="Drift",IF($A104&lt;IF(Setup!$B$14="",0,Setup!$B$14),"",IF($BI104="","",$BI104)),"")</f>
        <v/>
      </c>
      <c r="AS104" s="9" t="str">
        <f aca="false">IF($D104="Drift",IF($A104&lt;IF(Setup!$B$14="",0,Setup!$B$14),"",IF(OR($X104="",$BX104=1),"",$X104)),"")</f>
        <v/>
      </c>
      <c r="AT104" s="9" t="str">
        <f aca="false">IF($D104="Drift",IF($A104&lt;IF(Setup!$B$14="",0,Setup!$B$14),"",IF(OR($AC104="",$BY104=1),"",$AC104)),"")</f>
        <v/>
      </c>
      <c r="AU104" s="9" t="str">
        <f aca="false">IF($D104="Anchor",IF(OR($Z104="",$S104=""),"",$Z104),"")</f>
        <v/>
      </c>
      <c r="AV104" s="9" t="str">
        <f aca="false">IF($D104="Anchor",IF(OR($Z104="",$S104=""),"",$S104),"")</f>
        <v/>
      </c>
      <c r="AW104" s="9" t="str">
        <f aca="false">IF($D104="Anchor",IF(OR($AE104="",$T104=""),"",$AE104),"")</f>
        <v/>
      </c>
      <c r="AX104" s="9" t="str">
        <f aca="false">IF($D104="Anchor",IF(OR($AE104="",$T104=""),"",$T104),"")</f>
        <v/>
      </c>
      <c r="AY104" s="9" t="str">
        <f aca="false">IF(OR($D104="Blank",$D104="Exclude",$D104="Sample",$D104="",$G104="",$U104="",$L104=""),"",$G104*1000*$U104/100)</f>
        <v/>
      </c>
      <c r="AZ104" s="9" t="str">
        <f aca="false">IF($AY104="","",$L104)</f>
        <v/>
      </c>
      <c r="BA104" s="9" t="str">
        <f aca="false">IF(OR($D104="Blank",$D104="Exclude",$D104="Sample",$D104="",$G104="",$V104="",$P104=""),"",$G104*1000*$V104/100)</f>
        <v/>
      </c>
      <c r="BB104" s="9" t="str">
        <f aca="false">IF($BA104="","",$P104)</f>
        <v/>
      </c>
      <c r="BC104" s="9" t="str">
        <f aca="false">IF(AND($D104="Blank",$L104&lt;&gt;""),$O104,"")</f>
        <v/>
      </c>
      <c r="BD104" s="9" t="str">
        <f aca="false">IF($BC104="","",$L104)</f>
        <v/>
      </c>
      <c r="BE104" s="9" t="str">
        <f aca="false">IF(AND($D104="Blank",$P104&lt;&gt;""),$R104,"")</f>
        <v/>
      </c>
      <c r="BF104" s="9" t="str">
        <f aca="false">IF($BE104="","",$P104)</f>
        <v/>
      </c>
      <c r="BG104" s="9" t="str">
        <f aca="false">IF(AND($D104="Drift",$BX104&lt;&gt;1),IF($AA104="","",$AA104),"")</f>
        <v/>
      </c>
      <c r="BH104" s="9" t="str">
        <f aca="false">IF(AND($D104="Drift",$BY104&lt;&gt;1),IF($AF104="","",$AF104),"")</f>
        <v/>
      </c>
      <c r="BI104" s="20" t="str">
        <f aca="false">IF($B104="","",IFERROR(INDEX(Raw!$G$2:$G$1001,MATCH($A104&amp;"|N|"&amp;SUMPRODUCT(MAX((Raw!$A$2:$A$1001=$A104)*(Raw!$R$2:$R$1001="N")*(Raw!$I$2:$I$1001=1)*Raw!$D$2:$D$1001)),Raw!$S$2:$S$1001,0)),""))</f>
        <v/>
      </c>
      <c r="BJ104" s="21" t="str">
        <f aca="false">IF(OR($BI104="",Fits!$B$85&lt;=0),"",($BI104-Fits!$B$83)/Fits!$B$85)</f>
        <v/>
      </c>
      <c r="BK104" s="9" t="str">
        <f aca="false">IF($AS104="","",IF($A104&gt;=Fits!$B$86,"",$A104))</f>
        <v/>
      </c>
      <c r="BL104" s="9" t="str">
        <f aca="false">IF($BK104="","",$X104)</f>
        <v/>
      </c>
      <c r="BM104" s="9" t="str">
        <f aca="false">IF($AS104="","",IF($A104&lt;Fits!$B$86,"",$A104))</f>
        <v/>
      </c>
      <c r="BN104" s="9" t="str">
        <f aca="false">IF($BM104="","",$X104)</f>
        <v/>
      </c>
      <c r="BO104" s="9" t="str">
        <f aca="false">IF(AND($D104="Drift",$BX104&lt;&gt;1),IF($O104="","",$O104),"")</f>
        <v/>
      </c>
      <c r="BP104" s="9" t="str">
        <f aca="false">IF(AND($D104="Drift",$BX104&lt;&gt;1),IF($W104="","",$W104),"")</f>
        <v/>
      </c>
      <c r="BQ104" s="9" t="str">
        <f aca="false">IF(AND($D104="Drift",$BX104&lt;&gt;1),IF($X104="","",$X104),"")</f>
        <v/>
      </c>
      <c r="BR104" s="9" t="str">
        <f aca="false">IF(AND($D104="Drift",$BX104&lt;&gt;1),IF($Z104="","",$Z104),"")</f>
        <v/>
      </c>
      <c r="BS104" s="9" t="str">
        <f aca="false">IF(OR($B104="",$H104=""),"",SUMPRODUCT(MIN((Raw!$A$2:$A$1001=$A104)*(Raw!$R$2:$R$1001="N")*(Raw!$I$2:$I$1001=0)*(Raw!$D$2:$D$1001&lt;$H104)*Raw!$D$2:$D$1001+(1-(Raw!$A$2:$A$1001=$A104)*(Raw!$R$2:$R$1001="N")*(Raw!$I$2:$I$1001=0)*(Raw!$D$2:$D$1001&lt;$H104))*9999)))</f>
        <v/>
      </c>
      <c r="BT104" s="16" t="str">
        <f aca="false">IF(OR($BS104="",$BS104=9999,$BS104=0),"",IFERROR(INDEX(Raw!$N$2:$N$1001,MATCH($A104&amp;"|N|"&amp;$BS104,Raw!$S$2:$S$1001,0)),""))</f>
        <v/>
      </c>
      <c r="BU104" s="9" t="str">
        <f aca="false">IF($B104="","",SUMPRODUCT(MIN((Raw!$A$2:$A$1001=$A104)*(Raw!$R$2:$R$1001="C")*(Raw!$I$2:$I$1001=1)*Raw!$D$2:$D$1001+(1-(Raw!$A$2:$A$1001=$A104)*(Raw!$R$2:$R$1001="C")*(Raw!$I$2:$I$1001=1))*9999)))</f>
        <v/>
      </c>
      <c r="BV104" s="9" t="str">
        <f aca="false">IF(OR($BU104="",$BU104=9999),"",SUMPRODUCT(MIN((Raw!$A$2:$A$1001=$A104)*(Raw!$R$2:$R$1001="C")*(Raw!$I$2:$I$1001=0)*(Raw!$D$2:$D$1001&gt;$BU104)*Raw!$D$2:$D$1001+(1-(Raw!$A$2:$A$1001=$A104)*(Raw!$R$2:$R$1001="C")*(Raw!$I$2:$I$1001=0)*(Raw!$D$2:$D$1001&gt;$BU104))*9999)))</f>
        <v/>
      </c>
      <c r="BW104" s="16" t="str">
        <f aca="false">IF(OR($BV104="",$BV104=9999,$BV104=0),"",IFERROR(INDEX(Raw!$O$2:$O$1001,MATCH($A104&amp;"|C|"&amp;$BV104,Raw!$S$2:$S$1001,0)),""))</f>
        <v/>
      </c>
      <c r="BX104" s="9" t="str">
        <f aca="false">IF($B104="","",IF(ISNUMBER(SEARCH(","&amp;$A104&amp;",",","&amp;SUBSTITUTE(Setup!$B$16," ","")&amp;",")),1,0))</f>
        <v/>
      </c>
      <c r="BY104" s="9" t="str">
        <f aca="false">IF($B104="","",IF(ISNUMBER(SEARCH(","&amp;$A104&amp;",",","&amp;SUBSTITUTE(Setup!$B$17," ","")&amp;",")),1,0))</f>
        <v/>
      </c>
      <c r="BZ104" s="22" t="str">
        <f aca="false">IF($AS104="","",IF(Fits!$B$38="Row",$AQ104,IF($AR104="","",$AR104)))</f>
        <v/>
      </c>
      <c r="CA104" s="22" t="str">
        <f aca="false">IF($AT104="","",IF(Fits!$B$50="Row",$AQ104,IF($AR104="","",$AR104)))</f>
        <v/>
      </c>
      <c r="CB104" s="20" t="str">
        <f aca="false">IF(OR($D104&lt;&gt;"Drift",$X104="",$A104&lt;IF(Setup!$B$14="",0,Setup!$B$14),Fits!$B$107&lt;3,Fits!$B$110="",Fits!$B$109=0,IF(Fits!$B$38="Row",$AQ104,$AR104)=""),"",IF($BX104=1,IF(OR(Fits!$B$111="",Fits!$B$111=0),"",($X104-(IF(Fits!$B$38="Row",Fits!$B$32,Fits!$B$35)*IF(Fits!$B$38="Row",$AQ104,$AR104)+Fits!$B$110))/(Fits!$B$111*SQRT(1+(1/Fits!$B$107+(IF(Fits!$B$38="Row",$AQ104,$AR104)-Fits!$B$108)^2/Fits!$B$109)))),IF(OR(Fits!$B$107&lt;4,(1/Fits!$B$107+(IF(Fits!$B$38="Row",$AQ104,$AR104)-Fits!$B$108)^2/Fits!$B$109)&gt;=1),"",IF((Fits!$B$116-($X104-(IF(Fits!$B$38="Row",Fits!$B$32,Fits!$B$35)*IF(Fits!$B$38="Row",$AQ104,$AR104)+Fits!$B$110))^2/(1-(1/Fits!$B$107+(IF(Fits!$B$38="Row",$AQ104,$AR104)-Fits!$B$108)^2/Fits!$B$109)))&lt;=0,"",($X104-(IF(Fits!$B$38="Row",Fits!$B$32,Fits!$B$35)*IF(Fits!$B$38="Row",$AQ104,$AR104)+Fits!$B$110))/(SQRT((Fits!$B$116-($X104-(IF(Fits!$B$38="Row",Fits!$B$32,Fits!$B$35)*IF(Fits!$B$38="Row",$AQ104,$AR104)+Fits!$B$110))^2/(1-(1/Fits!$B$107+(IF(Fits!$B$38="Row",$AQ104,$AR104)-Fits!$B$108)^2/Fits!$B$109)))/(Fits!$B$107-3))*SQRT(1-(1/Fits!$B$107+(IF(Fits!$B$38="Row",$AQ104,$AR104)-Fits!$B$108)^2/Fits!$B$109)))))))</f>
        <v/>
      </c>
      <c r="CC104" s="20" t="str">
        <f aca="false">IF(OR($D104&lt;&gt;"Drift",$AC104="",$A104&lt;IF(Setup!$B$14="",0,Setup!$B$14),Fits!$B$120&lt;3,Fits!$B$123="",Fits!$B$122=0,IF(Fits!$B$50="Row",$AQ104,$AR104)=""),"",IF($BY104=1,IF(OR(Fits!$B$124="",Fits!$B$124=0),"",($AC104-(IF(Fits!$B$50="Row",Fits!$B$44,Fits!$B$47)*IF(Fits!$B$50="Row",$AQ104,$AR104)+Fits!$B$123))/(Fits!$B$124*SQRT(1+(1/Fits!$B$120+(IF(Fits!$B$50="Row",$AQ104,$AR104)-Fits!$B$121)^2/Fits!$B$122)))),IF(OR(Fits!$B$120&lt;4,(1/Fits!$B$120+(IF(Fits!$B$50="Row",$AQ104,$AR104)-Fits!$B$121)^2/Fits!$B$122)&gt;=1),"",IF((Fits!$B$129-($AC104-(IF(Fits!$B$50="Row",Fits!$B$44,Fits!$B$47)*IF(Fits!$B$50="Row",$AQ104,$AR104)+Fits!$B$123))^2/(1-(1/Fits!$B$120+(IF(Fits!$B$50="Row",$AQ104,$AR104)-Fits!$B$121)^2/Fits!$B$122)))&lt;=0,"",($AC104-(IF(Fits!$B$50="Row",Fits!$B$44,Fits!$B$47)*IF(Fits!$B$50="Row",$AQ104,$AR104)+Fits!$B$123))/(SQRT((Fits!$B$129-($AC104-(IF(Fits!$B$50="Row",Fits!$B$44,Fits!$B$47)*IF(Fits!$B$50="Row",$AQ104,$AR104)+Fits!$B$123))^2/(1-(1/Fits!$B$120+(IF(Fits!$B$50="Row",$AQ104,$AR104)-Fits!$B$121)^2/Fits!$B$122)))/(Fits!$B$120-3))*SQRT(1-(1/Fits!$B$120+(IF(Fits!$B$50="Row",$AQ104,$AR104)-Fits!$B$121)^2/Fits!$B$122)))))))</f>
        <v/>
      </c>
      <c r="CD104" s="9" t="str">
        <f aca="false">IF($AU104="","",1)</f>
        <v/>
      </c>
      <c r="CE104" s="24" t="str">
        <f aca="false">IF($AU104="","",$AU104-Fits!$B$133)</f>
        <v/>
      </c>
      <c r="CF104" s="24" t="str">
        <f aca="false">IF($AU104="","",($AV104-(Fits!$B$56*$AU104+Fits!$B$57))-Fits!$B$56*($AU104-Fits!$B$133))</f>
        <v/>
      </c>
      <c r="CG104" s="25" t="str">
        <f aca="false">IF($AU104="","",$AU104^2)</f>
        <v/>
      </c>
      <c r="CH104" s="9" t="str">
        <f aca="false">IF($AW104="","",1)</f>
        <v/>
      </c>
      <c r="CI104" s="24" t="str">
        <f aca="false">IF($AW104="","",$AW104-Fits!$B$153)</f>
        <v/>
      </c>
      <c r="CJ104" s="24" t="str">
        <f aca="false">IF($AW104="","",($AX104-(Fits!$B$63*$AW104+Fits!$B$64))-Fits!$B$63*($AW104-Fits!$B$153))</f>
        <v/>
      </c>
      <c r="CK104" s="25" t="str">
        <f aca="false">IF($AW104="","",$AW104^2)</f>
        <v/>
      </c>
      <c r="CL104" s="26" t="str">
        <f aca="false">IF(OR($Z104="",Fits!$B$55&lt;3,Fits!$B$133="",Fits!$B$134="",Fits!$B$134=0,Fits!$B$136=""),"",SQRT((Fits!$B$136*Fits!$B$56)^2+SUMPRODUCT((Fits!$J$163:$J$175*(Fits!$B$163:$B$175/Fits!$B$55+Fits!$H$163:$H$175*($Z104-Fits!$B$133)/Fits!$B$134))^2)+SUMPRODUCT((Fits!$G$163:$G$175*(($Z104-Fits!$B$133)*Fits!$I$163:$I$175/Fits!$B$134-Fits!$B$163:$B$175*Fits!$B$56/Fits!$B$55))^2)))</f>
        <v/>
      </c>
      <c r="CM104" s="26" t="str">
        <f aca="false">IF($CL104="","",Setup!$B$32*$CL104)</f>
        <v/>
      </c>
      <c r="CN104" s="26" t="str">
        <f aca="false">IF(OR($AE104="",Fits!$B$62&lt;3,Fits!$B$153="",Fits!$B$154="",Fits!$B$154=0,Fits!$B$156=""),"",SQRT((Fits!$B$156*Fits!$B$63)^2+SUMPRODUCT((Fits!$J$183:$J$195*(Fits!$B$183:$B$195/Fits!$B$62+Fits!$H$183:$H$195*($AE104-Fits!$B$153)/Fits!$B$154))^2)+SUMPRODUCT((Fits!$G$183:$G$195*(($AE104-Fits!$B$153)*Fits!$I$183:$I$195/Fits!$B$154-Fits!$B$183:$B$195*Fits!$B$63/Fits!$B$62))^2)))</f>
        <v/>
      </c>
      <c r="CO104" s="26" t="str">
        <f aca="false">IF($CN104="","",Setup!$B$32*$CN104)</f>
        <v/>
      </c>
      <c r="CP104" s="9" t="n">
        <f aca="false">IF(OR(NOT(ISNUMBER($BJ104)),$EK104=1),$CP103,IF($BJ104&lt;=Setup!$B$26,$CP103+1,0))</f>
        <v>26</v>
      </c>
      <c r="CQ104" s="9" t="str">
        <f aca="false">IF($BT104="","",$A104)</f>
        <v/>
      </c>
      <c r="CR104" s="9" t="str">
        <f aca="false">IF($BW104="","",$A104)</f>
        <v/>
      </c>
      <c r="CS104" s="9" t="str">
        <f aca="false">IF($B104="","",IF(Setup!$A$37="",0,IF(ISNUMBER(SEARCH(Setup!$A$37,$B104)),37,0)))</f>
        <v/>
      </c>
      <c r="CT104" s="9" t="str">
        <f aca="false">IF($B104="","",IF(Setup!$A$38="",0,IF(ISNUMBER(SEARCH(Setup!$A$38,$B104)),38,0)))</f>
        <v/>
      </c>
      <c r="CU104" s="9" t="str">
        <f aca="false">IF($B104="","",IF(Setup!$A$39="",0,IF(ISNUMBER(SEARCH(Setup!$A$39,$B104)),39,0)))</f>
        <v/>
      </c>
      <c r="CV104" s="9" t="str">
        <f aca="false">IF($B104="","",IF(Setup!$A$40="",0,IF(ISNUMBER(SEARCH(Setup!$A$40,$B104)),40,0)))</f>
        <v/>
      </c>
      <c r="CW104" s="9" t="str">
        <f aca="false">IF($B104="","",IF(Setup!$A$41="",0,IF(ISNUMBER(SEARCH(Setup!$A$41,$B104)),41,0)))</f>
        <v/>
      </c>
      <c r="CX104" s="9" t="str">
        <f aca="false">IF($B104="","",IF(Setup!$A$42="",0,IF(ISNUMBER(SEARCH(Setup!$A$42,$B104)),42,0)))</f>
        <v/>
      </c>
      <c r="CY104" s="9" t="str">
        <f aca="false">IF($B104="","",IF(Setup!$A$43="",0,IF(ISNUMBER(SEARCH(Setup!$A$43,$B104)),43,0)))</f>
        <v/>
      </c>
      <c r="CZ104" s="9" t="str">
        <f aca="false">IF($B104="","",IF(Setup!$A$44="",0,IF(ISNUMBER(SEARCH(Setup!$A$44,$B104)),44,0)))</f>
        <v/>
      </c>
      <c r="DA104" s="9" t="str">
        <f aca="false">IF($B104="","",IF(Setup!$A$45="",0,IF(ISNUMBER(SEARCH(Setup!$A$45,$B104)),45,0)))</f>
        <v/>
      </c>
      <c r="DB104" s="9" t="str">
        <f aca="false">IF($B104="","",IF(Setup!$A$46="",0,IF(ISNUMBER(SEARCH(Setup!$A$46,$B104)),46,0)))</f>
        <v/>
      </c>
      <c r="DC104" s="9" t="str">
        <f aca="false">IF($B104="","",IF(Setup!$A$47="",0,IF(ISNUMBER(SEARCH(Setup!$A$47,$B104)),47,0)))</f>
        <v/>
      </c>
      <c r="DD104" s="9" t="str">
        <f aca="false">IF($B104="","",IF(Setup!$A$48="",0,IF(ISNUMBER(SEARCH(Setup!$A$48,$B104)),48,0)))</f>
        <v/>
      </c>
      <c r="DE104" s="9" t="str">
        <f aca="false">IF($B104="","",IF(Setup!$A$49="",0,IF(ISNUMBER(SEARCH(Setup!$A$49,$B104)),49,0)))</f>
        <v/>
      </c>
      <c r="DF104" s="9" t="e">
        <f aca="false">IF($B104="",NA(),$A104)</f>
        <v>#N/A</v>
      </c>
      <c r="DG104" s="9" t="e">
        <f aca="false">IF($BI104="",NA(),$BI104)</f>
        <v>#N/A</v>
      </c>
      <c r="DH104" s="9" t="e">
        <f aca="false">IF($N104="",NA(),$N104)</f>
        <v>#N/A</v>
      </c>
      <c r="DI104" s="9" t="e">
        <f aca="false">IF(AND($D104="Drift",$N104&lt;&gt;""),$N104,NA())</f>
        <v>#N/A</v>
      </c>
      <c r="DJ104" s="9" t="str">
        <f aca="false">IF(AND($D104="Drift",$N104&lt;&gt;""),$N104,"")</f>
        <v/>
      </c>
      <c r="DK104" s="9" t="str">
        <f aca="false">IF($DJ104="","",$A104)</f>
        <v/>
      </c>
      <c r="DL104" s="9" t="e">
        <f aca="false">IF($AN104="",NA(),$AM104)</f>
        <v>#N/A</v>
      </c>
      <c r="DM104" s="9" t="e">
        <f aca="false">IF($AN104="",NA(),$AN104)</f>
        <v>#N/A</v>
      </c>
      <c r="DN104" s="9" t="e">
        <f aca="false">IF(AND($D104="Sample",$L104&lt;&gt;""),$L104,NA())</f>
        <v>#N/A</v>
      </c>
      <c r="DO104" s="9" t="e">
        <f aca="false">IF(AND($D104="Sample",$L104&lt;&gt;"",Fits!$B$98&lt;&gt;""),Fits!$B$98,NA())</f>
        <v>#N/A</v>
      </c>
      <c r="DP104" s="9" t="e">
        <f aca="false">IF($AS104="",NA(),$AS104)</f>
        <v>#N/A</v>
      </c>
      <c r="DQ104" s="9" t="e">
        <f aca="false">IF(AND($D104="Drift",$AS104="",$X104&lt;&gt;""),$X104,NA())</f>
        <v>#N/A</v>
      </c>
      <c r="DR104" s="9" t="e">
        <f aca="false">IF(AND($D104="Drift",$Z104&lt;&gt;""),$Z104,NA())</f>
        <v>#N/A</v>
      </c>
      <c r="DS104" s="9" t="e">
        <f aca="false">IF(AND(OR($D104="Sample",$D104="Check"),$AA104&lt;&gt;""),$AA104,NA())</f>
        <v>#N/A</v>
      </c>
      <c r="DT104" s="9" t="e">
        <f aca="false">IF(OR($B104="",Fits!$B$138=""),NA(),Fits!$B$138)</f>
        <v>#N/A</v>
      </c>
      <c r="DU104" s="9" t="e">
        <f aca="false">IF(OR($B104="",Fits!$B$139=""),NA(),Fits!$B$139)</f>
        <v>#N/A</v>
      </c>
      <c r="DV104" s="9" t="e">
        <f aca="false">IF($BT104="",NA(),$BT104)</f>
        <v>#N/A</v>
      </c>
      <c r="DW104" s="9" t="e">
        <f aca="false">IF($AP104="",NA(),$AO104)</f>
        <v>#N/A</v>
      </c>
      <c r="DX104" s="9" t="e">
        <f aca="false">IF($AP104="",NA(),$AP104)</f>
        <v>#N/A</v>
      </c>
      <c r="DY104" s="9" t="e">
        <f aca="false">IF(AND($D104="Sample",$P104&lt;&gt;""),$P104,NA())</f>
        <v>#N/A</v>
      </c>
      <c r="DZ104" s="9" t="e">
        <f aca="false">IF(AND($D104="Sample",$P104&lt;&gt;"",Fits!$B$105&lt;&gt;""),Fits!$B$105,NA())</f>
        <v>#N/A</v>
      </c>
      <c r="EA104" s="9" t="e">
        <f aca="false">IF($AT104="",NA(),$AT104)</f>
        <v>#N/A</v>
      </c>
      <c r="EB104" s="9" t="e">
        <f aca="false">IF(AND($D104="Drift",$AT104="",$AC104&lt;&gt;""),$AC104,NA())</f>
        <v>#N/A</v>
      </c>
      <c r="EC104" s="9" t="e">
        <f aca="false">IF(AND($D104="Drift",$AE104&lt;&gt;""),$AE104,NA())</f>
        <v>#N/A</v>
      </c>
      <c r="ED104" s="9" t="e">
        <f aca="false">IF(AND(OR($D104="Sample",$D104="Check"),$AF104&lt;&gt;""),$AF104,NA())</f>
        <v>#N/A</v>
      </c>
      <c r="EE104" s="9" t="e">
        <f aca="false">IF(OR($B104="",Fits!$B$158=""),NA(),Fits!$B$158)</f>
        <v>#N/A</v>
      </c>
      <c r="EF104" s="9" t="e">
        <f aca="false">IF(OR($B104="",Fits!$B$159=""),NA(),Fits!$B$159)</f>
        <v>#N/A</v>
      </c>
      <c r="EG104" s="9" t="e">
        <f aca="false">IF($BW104="",NA(),$BW104)</f>
        <v>#N/A</v>
      </c>
      <c r="EH104" s="9" t="e">
        <f aca="false">IF(AND($EN104=1,ISNUMBER($N104)),$N104,NA())</f>
        <v>#N/A</v>
      </c>
      <c r="EI104" s="9" t="str">
        <f aca="false">IF($B104="","",$A104)</f>
        <v/>
      </c>
      <c r="EJ104" s="9" t="n">
        <f aca="false">IF(OR(AND(ISNUMBER($L104),Fits!$B$97&gt;0,$L104&gt;Fits!$B$97),AND(ISNUMBER($P104),Fits!$B$104&gt;0,$P104&gt;Fits!$B$104)),1,0)</f>
        <v>0</v>
      </c>
      <c r="EK104" s="9" t="n">
        <f aca="false">IF(OR($EJ103=1,$EJ102=1),1,0)</f>
        <v>0</v>
      </c>
      <c r="EL104" s="22" t="n">
        <f aca="false">IF(AND($EK104=0,ISNUMBER($N104)),$N104,$EL103)</f>
        <v>25.7</v>
      </c>
      <c r="EM104" s="9" t="str">
        <f aca="false">IF(AND($EK104=1,ISNUMBER($N104),ISNUMBER($EL104)),$N104-$EL104,"")</f>
        <v/>
      </c>
      <c r="EN104" s="9" t="n">
        <f aca="false">IF(Setup!$B$28="",0,IF(ISNUMBER($EM104),IF($EM104&gt;Setup!$B$28,1,0),0))</f>
        <v>0</v>
      </c>
      <c r="EO104" s="9" t="str">
        <f aca="false">IF($EN104=1,COUNTIF($EN$6:$EN104,1),"")</f>
        <v/>
      </c>
      <c r="EP104" s="9" t="n">
        <f aca="false">IF(AND($EJ103=1,OR($D104="Sample",$D104="Check")),1,0)</f>
        <v>0</v>
      </c>
      <c r="EQ104" s="9" t="str">
        <f aca="false">IF(ISNUMBER($BI104),IF(COUNT($BI$6:$BI104)&lt;=5,$BI104,""),"")</f>
        <v/>
      </c>
      <c r="ER104" s="9" t="n">
        <f aca="false">IF(OR(NOT(ISNUMBER($BJ104)),$EK104=1),$ER103,IF($BJ104&lt;=Setup!$B$26,IF($CP103=0,$A104,$ER103),""))</f>
        <v>27</v>
      </c>
    </row>
    <row r="105" customFormat="false" ht="15" hidden="false" customHeight="false" outlineLevel="0" collapsed="false">
      <c r="A105" s="8" t="n">
        <v>100</v>
      </c>
      <c r="B105" s="8" t="str">
        <f aca="false">IFERROR(INDEX(Raw!$B$2:$B$1001,MATCH($A105,Raw!$A$2:$A$1001,0)),"")</f>
        <v/>
      </c>
      <c r="C105" s="9" t="str">
        <f aca="false">IF($B105="","",MAX($CS105:$DE105))</f>
        <v/>
      </c>
      <c r="D105" s="8" t="str">
        <f aca="false">IF($B105="","",IF($C105=0,"Sample",INDEX(Setup!$B$37:$B$49,$C105-36)))</f>
        <v/>
      </c>
      <c r="E105" s="16" t="str">
        <f aca="false">IF($B105="","",IFERROR(IF(INDEX(Raw!$E$2:$E$1001,MATCH($A105,Raw!$A$2:$A$1001,0))=0,"",INDEX(Raw!$E$2:$E$1001,MATCH($A105,Raw!$A$2:$A$1001,0))),""))</f>
        <v/>
      </c>
      <c r="F105" s="18"/>
      <c r="G105" s="16" t="str">
        <f aca="false">IF($B105="","",IF($F105&lt;&gt;"",$F105,IF($E105="","",$E105)))</f>
        <v/>
      </c>
      <c r="H105" s="9" t="str">
        <f aca="false">IF($B105="","",SUMPRODUCT(MAX((Raw!$A$2:$A$1001=$A105)*(Raw!$R$2:$R$1001="N")*Raw!$D$2:$D$1001)))</f>
        <v/>
      </c>
      <c r="I105" s="9" t="str">
        <f aca="false">IF(OR($H105="",$H105=0),"",$A105&amp;"|N|"&amp;$H105)</f>
        <v/>
      </c>
      <c r="J105" s="9" t="str">
        <f aca="false">IF($B105="","",SUMPRODUCT(MIN((Raw!$A$2:$A$1001=$A105)*(Raw!$R$2:$R$1001="C")*Raw!$D$2:$D$1001+(1-(Raw!$A$2:$A$1001=$A105)*(Raw!$R$2:$R$1001="C"))*9999)))</f>
        <v/>
      </c>
      <c r="K105" s="9" t="str">
        <f aca="false">IF(OR($J105="",$J105=0,$J105=9999),"",$A105&amp;"|C|"&amp;$J105)</f>
        <v/>
      </c>
      <c r="L105" s="16" t="str">
        <f aca="false">IF($I105="","",IF(INDEX(Raw!$I$2:$I$1001,MATCH($I105,Raw!$S$2:$S$1001,0))&lt;&gt;0,"",INDEX(Raw!$H$2:$H$1001,MATCH($I105,Raw!$S$2:$S$1001,0))))</f>
        <v/>
      </c>
      <c r="M105" s="19" t="str">
        <f aca="false">IF($I105="","",IF(INDEX(Raw!$I$2:$I$1001,MATCH($I105,Raw!$S$2:$S$1001,0))&lt;&gt;0,"",INDEX(Raw!$F$2:$F$1001,MATCH($I105,Raw!$S$2:$S$1001,0))))</f>
        <v/>
      </c>
      <c r="N105" s="20" t="str">
        <f aca="false">IF($I105="","",IF(INDEX(Raw!$I$2:$I$1001,MATCH($I105,Raw!$S$2:$S$1001,0))&lt;&gt;0,"",INDEX(Raw!$G$2:$G$1001,MATCH($I105,Raw!$S$2:$S$1001,0))))</f>
        <v/>
      </c>
      <c r="O105" s="16" t="str">
        <f aca="false">IF($I105="","",IF(INDEX(Raw!$I$2:$I$1001,MATCH($I105,Raw!$S$2:$S$1001,0))&lt;&gt;0,"",INDEX(Raw!$N$2:$N$1001,MATCH($I105,Raw!$S$2:$S$1001,0))))</f>
        <v/>
      </c>
      <c r="P105" s="16" t="str">
        <f aca="false">IF($K105="","",IF(INDEX(Raw!$I$2:$I$1001,MATCH($K105,Raw!$S$2:$S$1001,0))&lt;&gt;0,"",INDEX(Raw!$K$2:$K$1001,MATCH($K105,Raw!$S$2:$S$1001,0))))</f>
        <v/>
      </c>
      <c r="Q105" s="19" t="str">
        <f aca="false">IF($K105="","",IF(INDEX(Raw!$I$2:$I$1001,MATCH($K105,Raw!$S$2:$S$1001,0))&lt;&gt;0,"",INDEX(Raw!$J$2:$J$1001,MATCH($K105,Raw!$S$2:$S$1001,0))))</f>
        <v/>
      </c>
      <c r="R105" s="16" t="str">
        <f aca="false">IF($K105="","",IF(INDEX(Raw!$I$2:$I$1001,MATCH($K105,Raw!$S$2:$S$1001,0))&lt;&gt;0,"",INDEX(Raw!$O$2:$O$1001,MATCH($K105,Raw!$S$2:$S$1001,0))))</f>
        <v/>
      </c>
      <c r="S105" s="21" t="str">
        <f aca="false">IF($B105="","",IF($C105=0,"",IF(INDEX(Setup!$D$37:$D$49,$C105-36)="","",INDEX(Setup!$D$37:$D$49,$C105-36))))</f>
        <v/>
      </c>
      <c r="T105" s="21" t="str">
        <f aca="false">IF($B105="","",IF($C105=0,"",IF(INDEX(Setup!$C$37:$C$49,$C105-36)="","",INDEX(Setup!$C$37:$C$49,$C105-36))))</f>
        <v/>
      </c>
      <c r="U105" s="21" t="str">
        <f aca="false">IF($B105="","",IF($C105=0,"",IF(INDEX(Setup!$F$37:$F$49,$C105-36)="","",INDEX(Setup!$F$37:$F$49,$C105-36))))</f>
        <v/>
      </c>
      <c r="V105" s="21" t="str">
        <f aca="false">IF($B105="","",IF($C105=0,"",IF(INDEX(Setup!$E$37:$E$49,$C105-36)="","",INDEX(Setup!$E$37:$E$49,$C105-36))))</f>
        <v/>
      </c>
      <c r="W105" s="16" t="str">
        <f aca="false">IF($O105="","",IF(OR(Fits!$C$5&lt;&gt;"Yes",$D105="Blank",$L105&lt;=Fits!$B$6),$O105,($L105*$O105-Fits!$B$6*Fits!$B$7)/($L105-Fits!$B$6)))</f>
        <v/>
      </c>
      <c r="X105" s="16" t="str">
        <f aca="false">IF($W105="","",$W105-Fits!$B$20*($L105-Fits!$B$16))</f>
        <v/>
      </c>
      <c r="Y105" s="22" t="str">
        <f aca="false">IF($W105="","",IF(OR(Fits!$B$38="Row",$BI105=""),$A105,$BI105))</f>
        <v/>
      </c>
      <c r="Z105" s="16" t="str">
        <f aca="false">IF($X105="","",$X105-Fits!$B$39*($Y105-Fits!$B$40))</f>
        <v/>
      </c>
      <c r="AA105" s="23" t="str">
        <f aca="false">IF(OR($Z105="",Fits!$B$55&lt;2),"",Fits!$B$56*$Z105+Fits!$B$57)</f>
        <v/>
      </c>
      <c r="AB105" s="16" t="str">
        <f aca="false">IF($R105="","",IF(OR(Fits!$C$9&lt;&gt;"Yes",$D105="Blank",$P105&lt;=Fits!$B$10),$R105,($P105*$R105-Fits!$B$10*Fits!$B$11)/($P105-Fits!$B$10)))</f>
        <v/>
      </c>
      <c r="AC105" s="16" t="str">
        <f aca="false">IF($AB105="","",$AB105-Fits!$B$28*($P105-Fits!$B$24))</f>
        <v/>
      </c>
      <c r="AD105" s="22" t="str">
        <f aca="false">IF($AB105="","",IF(OR(Fits!$B$50="Row",$BI105=""),$A105,$BI105))</f>
        <v/>
      </c>
      <c r="AE105" s="16" t="str">
        <f aca="false">IF($AC105="","",$AC105-Fits!$B$51*($AD105-Fits!$B$52))</f>
        <v/>
      </c>
      <c r="AF105" s="23" t="str">
        <f aca="false">IF(OR($AE105="",Fits!$B$62&lt;2),"",Fits!$B$63*$AE105+Fits!$B$64)</f>
        <v/>
      </c>
      <c r="AG105" s="21" t="str">
        <f aca="false">IF(OR($L105="",Fits!$B$69&lt;3),"",($L105-Fits!$B$71)/Fits!$B$70)</f>
        <v/>
      </c>
      <c r="AH105" s="21" t="str">
        <f aca="false">IF(OR($P105="",Fits!$B$75&lt;3),"",($P105-Fits!$B$77)/Fits!$B$76)</f>
        <v/>
      </c>
      <c r="AI105" s="23" t="str">
        <f aca="false">IF(OR($AG105="",$G105="",$G105=0),"",$AG105/($G105*1000)*100)</f>
        <v/>
      </c>
      <c r="AJ105" s="23" t="str">
        <f aca="false">IF(OR($AH105="",$G105="",$G105=0),"",$AH105/($G105*1000)*100)</f>
        <v/>
      </c>
      <c r="AK105" s="23" t="str">
        <f aca="false">IF(OR($AG105="",$AH105="",$AG105&lt;=0),"",($AH105/Setup!$B$52)/($AG105/Setup!$B$53))</f>
        <v/>
      </c>
      <c r="AL105" s="23" t="str">
        <f aca="false">IF(OR($AG105="",$AH105="",$AG105&lt;=0),"",$AH105/$AG105)</f>
        <v/>
      </c>
      <c r="AM105" s="9" t="str">
        <f aca="false">IF($D105="Linearity",IF($L105="","",$L105),"")</f>
        <v/>
      </c>
      <c r="AN105" s="9" t="str">
        <f aca="false">IF($D105="Linearity",IF($W105="","",$W105),"")</f>
        <v/>
      </c>
      <c r="AO105" s="9" t="str">
        <f aca="false">IF($D105="Linearity",IF($P105="","",$P105),"")</f>
        <v/>
      </c>
      <c r="AP105" s="9" t="str">
        <f aca="false">IF($D105="Linearity",IF($AB105="","",$AB105),"")</f>
        <v/>
      </c>
      <c r="AQ105" s="9" t="str">
        <f aca="false">IF($D105="Drift",IF($A105&lt;IF(Setup!$B$14="",0,Setup!$B$14),"",$A105),"")</f>
        <v/>
      </c>
      <c r="AR105" s="9" t="str">
        <f aca="false">IF($D105="Drift",IF($A105&lt;IF(Setup!$B$14="",0,Setup!$B$14),"",IF($BI105="","",$BI105)),"")</f>
        <v/>
      </c>
      <c r="AS105" s="9" t="str">
        <f aca="false">IF($D105="Drift",IF($A105&lt;IF(Setup!$B$14="",0,Setup!$B$14),"",IF(OR($X105="",$BX105=1),"",$X105)),"")</f>
        <v/>
      </c>
      <c r="AT105" s="9" t="str">
        <f aca="false">IF($D105="Drift",IF($A105&lt;IF(Setup!$B$14="",0,Setup!$B$14),"",IF(OR($AC105="",$BY105=1),"",$AC105)),"")</f>
        <v/>
      </c>
      <c r="AU105" s="9" t="str">
        <f aca="false">IF($D105="Anchor",IF(OR($Z105="",$S105=""),"",$Z105),"")</f>
        <v/>
      </c>
      <c r="AV105" s="9" t="str">
        <f aca="false">IF($D105="Anchor",IF(OR($Z105="",$S105=""),"",$S105),"")</f>
        <v/>
      </c>
      <c r="AW105" s="9" t="str">
        <f aca="false">IF($D105="Anchor",IF(OR($AE105="",$T105=""),"",$AE105),"")</f>
        <v/>
      </c>
      <c r="AX105" s="9" t="str">
        <f aca="false">IF($D105="Anchor",IF(OR($AE105="",$T105=""),"",$T105),"")</f>
        <v/>
      </c>
      <c r="AY105" s="9" t="str">
        <f aca="false">IF(OR($D105="Blank",$D105="Exclude",$D105="Sample",$D105="",$G105="",$U105="",$L105=""),"",$G105*1000*$U105/100)</f>
        <v/>
      </c>
      <c r="AZ105" s="9" t="str">
        <f aca="false">IF($AY105="","",$L105)</f>
        <v/>
      </c>
      <c r="BA105" s="9" t="str">
        <f aca="false">IF(OR($D105="Blank",$D105="Exclude",$D105="Sample",$D105="",$G105="",$V105="",$P105=""),"",$G105*1000*$V105/100)</f>
        <v/>
      </c>
      <c r="BB105" s="9" t="str">
        <f aca="false">IF($BA105="","",$P105)</f>
        <v/>
      </c>
      <c r="BC105" s="9" t="str">
        <f aca="false">IF(AND($D105="Blank",$L105&lt;&gt;""),$O105,"")</f>
        <v/>
      </c>
      <c r="BD105" s="9" t="str">
        <f aca="false">IF($BC105="","",$L105)</f>
        <v/>
      </c>
      <c r="BE105" s="9" t="str">
        <f aca="false">IF(AND($D105="Blank",$P105&lt;&gt;""),$R105,"")</f>
        <v/>
      </c>
      <c r="BF105" s="9" t="str">
        <f aca="false">IF($BE105="","",$P105)</f>
        <v/>
      </c>
      <c r="BG105" s="9" t="str">
        <f aca="false">IF(AND($D105="Drift",$BX105&lt;&gt;1),IF($AA105="","",$AA105),"")</f>
        <v/>
      </c>
      <c r="BH105" s="9" t="str">
        <f aca="false">IF(AND($D105="Drift",$BY105&lt;&gt;1),IF($AF105="","",$AF105),"")</f>
        <v/>
      </c>
      <c r="BI105" s="20" t="str">
        <f aca="false">IF($B105="","",IFERROR(INDEX(Raw!$G$2:$G$1001,MATCH($A105&amp;"|N|"&amp;SUMPRODUCT(MAX((Raw!$A$2:$A$1001=$A105)*(Raw!$R$2:$R$1001="N")*(Raw!$I$2:$I$1001=1)*Raw!$D$2:$D$1001)),Raw!$S$2:$S$1001,0)),""))</f>
        <v/>
      </c>
      <c r="BJ105" s="21" t="str">
        <f aca="false">IF(OR($BI105="",Fits!$B$85&lt;=0),"",($BI105-Fits!$B$83)/Fits!$B$85)</f>
        <v/>
      </c>
      <c r="BK105" s="9" t="str">
        <f aca="false">IF($AS105="","",IF($A105&gt;=Fits!$B$86,"",$A105))</f>
        <v/>
      </c>
      <c r="BL105" s="9" t="str">
        <f aca="false">IF($BK105="","",$X105)</f>
        <v/>
      </c>
      <c r="BM105" s="9" t="str">
        <f aca="false">IF($AS105="","",IF($A105&lt;Fits!$B$86,"",$A105))</f>
        <v/>
      </c>
      <c r="BN105" s="9" t="str">
        <f aca="false">IF($BM105="","",$X105)</f>
        <v/>
      </c>
      <c r="BO105" s="9" t="str">
        <f aca="false">IF(AND($D105="Drift",$BX105&lt;&gt;1),IF($O105="","",$O105),"")</f>
        <v/>
      </c>
      <c r="BP105" s="9" t="str">
        <f aca="false">IF(AND($D105="Drift",$BX105&lt;&gt;1),IF($W105="","",$W105),"")</f>
        <v/>
      </c>
      <c r="BQ105" s="9" t="str">
        <f aca="false">IF(AND($D105="Drift",$BX105&lt;&gt;1),IF($X105="","",$X105),"")</f>
        <v/>
      </c>
      <c r="BR105" s="9" t="str">
        <f aca="false">IF(AND($D105="Drift",$BX105&lt;&gt;1),IF($Z105="","",$Z105),"")</f>
        <v/>
      </c>
      <c r="BS105" s="9" t="str">
        <f aca="false">IF(OR($B105="",$H105=""),"",SUMPRODUCT(MIN((Raw!$A$2:$A$1001=$A105)*(Raw!$R$2:$R$1001="N")*(Raw!$I$2:$I$1001=0)*(Raw!$D$2:$D$1001&lt;$H105)*Raw!$D$2:$D$1001+(1-(Raw!$A$2:$A$1001=$A105)*(Raw!$R$2:$R$1001="N")*(Raw!$I$2:$I$1001=0)*(Raw!$D$2:$D$1001&lt;$H105))*9999)))</f>
        <v/>
      </c>
      <c r="BT105" s="16" t="str">
        <f aca="false">IF(OR($BS105="",$BS105=9999,$BS105=0),"",IFERROR(INDEX(Raw!$N$2:$N$1001,MATCH($A105&amp;"|N|"&amp;$BS105,Raw!$S$2:$S$1001,0)),""))</f>
        <v/>
      </c>
      <c r="BU105" s="9" t="str">
        <f aca="false">IF($B105="","",SUMPRODUCT(MIN((Raw!$A$2:$A$1001=$A105)*(Raw!$R$2:$R$1001="C")*(Raw!$I$2:$I$1001=1)*Raw!$D$2:$D$1001+(1-(Raw!$A$2:$A$1001=$A105)*(Raw!$R$2:$R$1001="C")*(Raw!$I$2:$I$1001=1))*9999)))</f>
        <v/>
      </c>
      <c r="BV105" s="9" t="str">
        <f aca="false">IF(OR($BU105="",$BU105=9999),"",SUMPRODUCT(MIN((Raw!$A$2:$A$1001=$A105)*(Raw!$R$2:$R$1001="C")*(Raw!$I$2:$I$1001=0)*(Raw!$D$2:$D$1001&gt;$BU105)*Raw!$D$2:$D$1001+(1-(Raw!$A$2:$A$1001=$A105)*(Raw!$R$2:$R$1001="C")*(Raw!$I$2:$I$1001=0)*(Raw!$D$2:$D$1001&gt;$BU105))*9999)))</f>
        <v/>
      </c>
      <c r="BW105" s="16" t="str">
        <f aca="false">IF(OR($BV105="",$BV105=9999,$BV105=0),"",IFERROR(INDEX(Raw!$O$2:$O$1001,MATCH($A105&amp;"|C|"&amp;$BV105,Raw!$S$2:$S$1001,0)),""))</f>
        <v/>
      </c>
      <c r="BX105" s="9" t="str">
        <f aca="false">IF($B105="","",IF(ISNUMBER(SEARCH(","&amp;$A105&amp;",",","&amp;SUBSTITUTE(Setup!$B$16," ","")&amp;",")),1,0))</f>
        <v/>
      </c>
      <c r="BY105" s="9" t="str">
        <f aca="false">IF($B105="","",IF(ISNUMBER(SEARCH(","&amp;$A105&amp;",",","&amp;SUBSTITUTE(Setup!$B$17," ","")&amp;",")),1,0))</f>
        <v/>
      </c>
      <c r="BZ105" s="22" t="str">
        <f aca="false">IF($AS105="","",IF(Fits!$B$38="Row",$AQ105,IF($AR105="","",$AR105)))</f>
        <v/>
      </c>
      <c r="CA105" s="22" t="str">
        <f aca="false">IF($AT105="","",IF(Fits!$B$50="Row",$AQ105,IF($AR105="","",$AR105)))</f>
        <v/>
      </c>
      <c r="CB105" s="20" t="str">
        <f aca="false">IF(OR($D105&lt;&gt;"Drift",$X105="",$A105&lt;IF(Setup!$B$14="",0,Setup!$B$14),Fits!$B$107&lt;3,Fits!$B$110="",Fits!$B$109=0,IF(Fits!$B$38="Row",$AQ105,$AR105)=""),"",IF($BX105=1,IF(OR(Fits!$B$111="",Fits!$B$111=0),"",($X105-(IF(Fits!$B$38="Row",Fits!$B$32,Fits!$B$35)*IF(Fits!$B$38="Row",$AQ105,$AR105)+Fits!$B$110))/(Fits!$B$111*SQRT(1+(1/Fits!$B$107+(IF(Fits!$B$38="Row",$AQ105,$AR105)-Fits!$B$108)^2/Fits!$B$109)))),IF(OR(Fits!$B$107&lt;4,(1/Fits!$B$107+(IF(Fits!$B$38="Row",$AQ105,$AR105)-Fits!$B$108)^2/Fits!$B$109)&gt;=1),"",IF((Fits!$B$116-($X105-(IF(Fits!$B$38="Row",Fits!$B$32,Fits!$B$35)*IF(Fits!$B$38="Row",$AQ105,$AR105)+Fits!$B$110))^2/(1-(1/Fits!$B$107+(IF(Fits!$B$38="Row",$AQ105,$AR105)-Fits!$B$108)^2/Fits!$B$109)))&lt;=0,"",($X105-(IF(Fits!$B$38="Row",Fits!$B$32,Fits!$B$35)*IF(Fits!$B$38="Row",$AQ105,$AR105)+Fits!$B$110))/(SQRT((Fits!$B$116-($X105-(IF(Fits!$B$38="Row",Fits!$B$32,Fits!$B$35)*IF(Fits!$B$38="Row",$AQ105,$AR105)+Fits!$B$110))^2/(1-(1/Fits!$B$107+(IF(Fits!$B$38="Row",$AQ105,$AR105)-Fits!$B$108)^2/Fits!$B$109)))/(Fits!$B$107-3))*SQRT(1-(1/Fits!$B$107+(IF(Fits!$B$38="Row",$AQ105,$AR105)-Fits!$B$108)^2/Fits!$B$109)))))))</f>
        <v/>
      </c>
      <c r="CC105" s="20" t="str">
        <f aca="false">IF(OR($D105&lt;&gt;"Drift",$AC105="",$A105&lt;IF(Setup!$B$14="",0,Setup!$B$14),Fits!$B$120&lt;3,Fits!$B$123="",Fits!$B$122=0,IF(Fits!$B$50="Row",$AQ105,$AR105)=""),"",IF($BY105=1,IF(OR(Fits!$B$124="",Fits!$B$124=0),"",($AC105-(IF(Fits!$B$50="Row",Fits!$B$44,Fits!$B$47)*IF(Fits!$B$50="Row",$AQ105,$AR105)+Fits!$B$123))/(Fits!$B$124*SQRT(1+(1/Fits!$B$120+(IF(Fits!$B$50="Row",$AQ105,$AR105)-Fits!$B$121)^2/Fits!$B$122)))),IF(OR(Fits!$B$120&lt;4,(1/Fits!$B$120+(IF(Fits!$B$50="Row",$AQ105,$AR105)-Fits!$B$121)^2/Fits!$B$122)&gt;=1),"",IF((Fits!$B$129-($AC105-(IF(Fits!$B$50="Row",Fits!$B$44,Fits!$B$47)*IF(Fits!$B$50="Row",$AQ105,$AR105)+Fits!$B$123))^2/(1-(1/Fits!$B$120+(IF(Fits!$B$50="Row",$AQ105,$AR105)-Fits!$B$121)^2/Fits!$B$122)))&lt;=0,"",($AC105-(IF(Fits!$B$50="Row",Fits!$B$44,Fits!$B$47)*IF(Fits!$B$50="Row",$AQ105,$AR105)+Fits!$B$123))/(SQRT((Fits!$B$129-($AC105-(IF(Fits!$B$50="Row",Fits!$B$44,Fits!$B$47)*IF(Fits!$B$50="Row",$AQ105,$AR105)+Fits!$B$123))^2/(1-(1/Fits!$B$120+(IF(Fits!$B$50="Row",$AQ105,$AR105)-Fits!$B$121)^2/Fits!$B$122)))/(Fits!$B$120-3))*SQRT(1-(1/Fits!$B$120+(IF(Fits!$B$50="Row",$AQ105,$AR105)-Fits!$B$121)^2/Fits!$B$122)))))))</f>
        <v/>
      </c>
      <c r="CD105" s="9" t="str">
        <f aca="false">IF($AU105="","",1)</f>
        <v/>
      </c>
      <c r="CE105" s="24" t="str">
        <f aca="false">IF($AU105="","",$AU105-Fits!$B$133)</f>
        <v/>
      </c>
      <c r="CF105" s="24" t="str">
        <f aca="false">IF($AU105="","",($AV105-(Fits!$B$56*$AU105+Fits!$B$57))-Fits!$B$56*($AU105-Fits!$B$133))</f>
        <v/>
      </c>
      <c r="CG105" s="25" t="str">
        <f aca="false">IF($AU105="","",$AU105^2)</f>
        <v/>
      </c>
      <c r="CH105" s="9" t="str">
        <f aca="false">IF($AW105="","",1)</f>
        <v/>
      </c>
      <c r="CI105" s="24" t="str">
        <f aca="false">IF($AW105="","",$AW105-Fits!$B$153)</f>
        <v/>
      </c>
      <c r="CJ105" s="24" t="str">
        <f aca="false">IF($AW105="","",($AX105-(Fits!$B$63*$AW105+Fits!$B$64))-Fits!$B$63*($AW105-Fits!$B$153))</f>
        <v/>
      </c>
      <c r="CK105" s="25" t="str">
        <f aca="false">IF($AW105="","",$AW105^2)</f>
        <v/>
      </c>
      <c r="CL105" s="26" t="str">
        <f aca="false">IF(OR($Z105="",Fits!$B$55&lt;3,Fits!$B$133="",Fits!$B$134="",Fits!$B$134=0,Fits!$B$136=""),"",SQRT((Fits!$B$136*Fits!$B$56)^2+SUMPRODUCT((Fits!$J$163:$J$175*(Fits!$B$163:$B$175/Fits!$B$55+Fits!$H$163:$H$175*($Z105-Fits!$B$133)/Fits!$B$134))^2)+SUMPRODUCT((Fits!$G$163:$G$175*(($Z105-Fits!$B$133)*Fits!$I$163:$I$175/Fits!$B$134-Fits!$B$163:$B$175*Fits!$B$56/Fits!$B$55))^2)))</f>
        <v/>
      </c>
      <c r="CM105" s="26" t="str">
        <f aca="false">IF($CL105="","",Setup!$B$32*$CL105)</f>
        <v/>
      </c>
      <c r="CN105" s="26" t="str">
        <f aca="false">IF(OR($AE105="",Fits!$B$62&lt;3,Fits!$B$153="",Fits!$B$154="",Fits!$B$154=0,Fits!$B$156=""),"",SQRT((Fits!$B$156*Fits!$B$63)^2+SUMPRODUCT((Fits!$J$183:$J$195*(Fits!$B$183:$B$195/Fits!$B$62+Fits!$H$183:$H$195*($AE105-Fits!$B$153)/Fits!$B$154))^2)+SUMPRODUCT((Fits!$G$183:$G$195*(($AE105-Fits!$B$153)*Fits!$I$183:$I$195/Fits!$B$154-Fits!$B$183:$B$195*Fits!$B$63/Fits!$B$62))^2)))</f>
        <v/>
      </c>
      <c r="CO105" s="26" t="str">
        <f aca="false">IF($CN105="","",Setup!$B$32*$CN105)</f>
        <v/>
      </c>
      <c r="CP105" s="9" t="n">
        <f aca="false">IF(OR(NOT(ISNUMBER($BJ105)),$EK105=1),$CP104,IF($BJ105&lt;=Setup!$B$26,$CP104+1,0))</f>
        <v>26</v>
      </c>
      <c r="CQ105" s="9" t="str">
        <f aca="false">IF($BT105="","",$A105)</f>
        <v/>
      </c>
      <c r="CR105" s="9" t="str">
        <f aca="false">IF($BW105="","",$A105)</f>
        <v/>
      </c>
      <c r="CS105" s="9" t="str">
        <f aca="false">IF($B105="","",IF(Setup!$A$37="",0,IF(ISNUMBER(SEARCH(Setup!$A$37,$B105)),37,0)))</f>
        <v/>
      </c>
      <c r="CT105" s="9" t="str">
        <f aca="false">IF($B105="","",IF(Setup!$A$38="",0,IF(ISNUMBER(SEARCH(Setup!$A$38,$B105)),38,0)))</f>
        <v/>
      </c>
      <c r="CU105" s="9" t="str">
        <f aca="false">IF($B105="","",IF(Setup!$A$39="",0,IF(ISNUMBER(SEARCH(Setup!$A$39,$B105)),39,0)))</f>
        <v/>
      </c>
      <c r="CV105" s="9" t="str">
        <f aca="false">IF($B105="","",IF(Setup!$A$40="",0,IF(ISNUMBER(SEARCH(Setup!$A$40,$B105)),40,0)))</f>
        <v/>
      </c>
      <c r="CW105" s="9" t="str">
        <f aca="false">IF($B105="","",IF(Setup!$A$41="",0,IF(ISNUMBER(SEARCH(Setup!$A$41,$B105)),41,0)))</f>
        <v/>
      </c>
      <c r="CX105" s="9" t="str">
        <f aca="false">IF($B105="","",IF(Setup!$A$42="",0,IF(ISNUMBER(SEARCH(Setup!$A$42,$B105)),42,0)))</f>
        <v/>
      </c>
      <c r="CY105" s="9" t="str">
        <f aca="false">IF($B105="","",IF(Setup!$A$43="",0,IF(ISNUMBER(SEARCH(Setup!$A$43,$B105)),43,0)))</f>
        <v/>
      </c>
      <c r="CZ105" s="9" t="str">
        <f aca="false">IF($B105="","",IF(Setup!$A$44="",0,IF(ISNUMBER(SEARCH(Setup!$A$44,$B105)),44,0)))</f>
        <v/>
      </c>
      <c r="DA105" s="9" t="str">
        <f aca="false">IF($B105="","",IF(Setup!$A$45="",0,IF(ISNUMBER(SEARCH(Setup!$A$45,$B105)),45,0)))</f>
        <v/>
      </c>
      <c r="DB105" s="9" t="str">
        <f aca="false">IF($B105="","",IF(Setup!$A$46="",0,IF(ISNUMBER(SEARCH(Setup!$A$46,$B105)),46,0)))</f>
        <v/>
      </c>
      <c r="DC105" s="9" t="str">
        <f aca="false">IF($B105="","",IF(Setup!$A$47="",0,IF(ISNUMBER(SEARCH(Setup!$A$47,$B105)),47,0)))</f>
        <v/>
      </c>
      <c r="DD105" s="9" t="str">
        <f aca="false">IF($B105="","",IF(Setup!$A$48="",0,IF(ISNUMBER(SEARCH(Setup!$A$48,$B105)),48,0)))</f>
        <v/>
      </c>
      <c r="DE105" s="9" t="str">
        <f aca="false">IF($B105="","",IF(Setup!$A$49="",0,IF(ISNUMBER(SEARCH(Setup!$A$49,$B105)),49,0)))</f>
        <v/>
      </c>
      <c r="DF105" s="9" t="e">
        <f aca="false">IF($B105="",NA(),$A105)</f>
        <v>#N/A</v>
      </c>
      <c r="DG105" s="9" t="e">
        <f aca="false">IF($BI105="",NA(),$BI105)</f>
        <v>#N/A</v>
      </c>
      <c r="DH105" s="9" t="e">
        <f aca="false">IF($N105="",NA(),$N105)</f>
        <v>#N/A</v>
      </c>
      <c r="DI105" s="9" t="e">
        <f aca="false">IF(AND($D105="Drift",$N105&lt;&gt;""),$N105,NA())</f>
        <v>#N/A</v>
      </c>
      <c r="DJ105" s="9" t="str">
        <f aca="false">IF(AND($D105="Drift",$N105&lt;&gt;""),$N105,"")</f>
        <v/>
      </c>
      <c r="DK105" s="9" t="str">
        <f aca="false">IF($DJ105="","",$A105)</f>
        <v/>
      </c>
      <c r="DL105" s="9" t="e">
        <f aca="false">IF($AN105="",NA(),$AM105)</f>
        <v>#N/A</v>
      </c>
      <c r="DM105" s="9" t="e">
        <f aca="false">IF($AN105="",NA(),$AN105)</f>
        <v>#N/A</v>
      </c>
      <c r="DN105" s="9" t="e">
        <f aca="false">IF(AND($D105="Sample",$L105&lt;&gt;""),$L105,NA())</f>
        <v>#N/A</v>
      </c>
      <c r="DO105" s="9" t="e">
        <f aca="false">IF(AND($D105="Sample",$L105&lt;&gt;"",Fits!$B$98&lt;&gt;""),Fits!$B$98,NA())</f>
        <v>#N/A</v>
      </c>
      <c r="DP105" s="9" t="e">
        <f aca="false">IF($AS105="",NA(),$AS105)</f>
        <v>#N/A</v>
      </c>
      <c r="DQ105" s="9" t="e">
        <f aca="false">IF(AND($D105="Drift",$AS105="",$X105&lt;&gt;""),$X105,NA())</f>
        <v>#N/A</v>
      </c>
      <c r="DR105" s="9" t="e">
        <f aca="false">IF(AND($D105="Drift",$Z105&lt;&gt;""),$Z105,NA())</f>
        <v>#N/A</v>
      </c>
      <c r="DS105" s="9" t="e">
        <f aca="false">IF(AND(OR($D105="Sample",$D105="Check"),$AA105&lt;&gt;""),$AA105,NA())</f>
        <v>#N/A</v>
      </c>
      <c r="DT105" s="9" t="e">
        <f aca="false">IF(OR($B105="",Fits!$B$138=""),NA(),Fits!$B$138)</f>
        <v>#N/A</v>
      </c>
      <c r="DU105" s="9" t="e">
        <f aca="false">IF(OR($B105="",Fits!$B$139=""),NA(),Fits!$B$139)</f>
        <v>#N/A</v>
      </c>
      <c r="DV105" s="9" t="e">
        <f aca="false">IF($BT105="",NA(),$BT105)</f>
        <v>#N/A</v>
      </c>
      <c r="DW105" s="9" t="e">
        <f aca="false">IF($AP105="",NA(),$AO105)</f>
        <v>#N/A</v>
      </c>
      <c r="DX105" s="9" t="e">
        <f aca="false">IF($AP105="",NA(),$AP105)</f>
        <v>#N/A</v>
      </c>
      <c r="DY105" s="9" t="e">
        <f aca="false">IF(AND($D105="Sample",$P105&lt;&gt;""),$P105,NA())</f>
        <v>#N/A</v>
      </c>
      <c r="DZ105" s="9" t="e">
        <f aca="false">IF(AND($D105="Sample",$P105&lt;&gt;"",Fits!$B$105&lt;&gt;""),Fits!$B$105,NA())</f>
        <v>#N/A</v>
      </c>
      <c r="EA105" s="9" t="e">
        <f aca="false">IF($AT105="",NA(),$AT105)</f>
        <v>#N/A</v>
      </c>
      <c r="EB105" s="9" t="e">
        <f aca="false">IF(AND($D105="Drift",$AT105="",$AC105&lt;&gt;""),$AC105,NA())</f>
        <v>#N/A</v>
      </c>
      <c r="EC105" s="9" t="e">
        <f aca="false">IF(AND($D105="Drift",$AE105&lt;&gt;""),$AE105,NA())</f>
        <v>#N/A</v>
      </c>
      <c r="ED105" s="9" t="e">
        <f aca="false">IF(AND(OR($D105="Sample",$D105="Check"),$AF105&lt;&gt;""),$AF105,NA())</f>
        <v>#N/A</v>
      </c>
      <c r="EE105" s="9" t="e">
        <f aca="false">IF(OR($B105="",Fits!$B$158=""),NA(),Fits!$B$158)</f>
        <v>#N/A</v>
      </c>
      <c r="EF105" s="9" t="e">
        <f aca="false">IF(OR($B105="",Fits!$B$159=""),NA(),Fits!$B$159)</f>
        <v>#N/A</v>
      </c>
      <c r="EG105" s="9" t="e">
        <f aca="false">IF($BW105="",NA(),$BW105)</f>
        <v>#N/A</v>
      </c>
      <c r="EH105" s="9" t="e">
        <f aca="false">IF(AND($EN105=1,ISNUMBER($N105)),$N105,NA())</f>
        <v>#N/A</v>
      </c>
      <c r="EI105" s="9" t="str">
        <f aca="false">IF($B105="","",$A105)</f>
        <v/>
      </c>
      <c r="EJ105" s="9" t="n">
        <f aca="false">IF(OR(AND(ISNUMBER($L105),Fits!$B$97&gt;0,$L105&gt;Fits!$B$97),AND(ISNUMBER($P105),Fits!$B$104&gt;0,$P105&gt;Fits!$B$104)),1,0)</f>
        <v>0</v>
      </c>
      <c r="EK105" s="9" t="n">
        <f aca="false">IF(OR($EJ104=1,$EJ103=1),1,0)</f>
        <v>0</v>
      </c>
      <c r="EL105" s="22" t="n">
        <f aca="false">IF(AND($EK105=0,ISNUMBER($N105)),$N105,$EL104)</f>
        <v>25.7</v>
      </c>
      <c r="EM105" s="9" t="str">
        <f aca="false">IF(AND($EK105=1,ISNUMBER($N105),ISNUMBER($EL105)),$N105-$EL105,"")</f>
        <v/>
      </c>
      <c r="EN105" s="9" t="n">
        <f aca="false">IF(Setup!$B$28="",0,IF(ISNUMBER($EM105),IF($EM105&gt;Setup!$B$28,1,0),0))</f>
        <v>0</v>
      </c>
      <c r="EO105" s="9" t="str">
        <f aca="false">IF($EN105=1,COUNTIF($EN$6:$EN105,1),"")</f>
        <v/>
      </c>
      <c r="EP105" s="9" t="n">
        <f aca="false">IF(AND($EJ104=1,OR($D105="Sample",$D105="Check")),1,0)</f>
        <v>0</v>
      </c>
      <c r="EQ105" s="9" t="str">
        <f aca="false">IF(ISNUMBER($BI105),IF(COUNT($BI$6:$BI105)&lt;=5,$BI105,""),"")</f>
        <v/>
      </c>
      <c r="ER105" s="9" t="n">
        <f aca="false">IF(OR(NOT(ISNUMBER($BJ105)),$EK105=1),$ER104,IF($BJ105&lt;=Setup!$B$26,IF($CP104=0,$A105,$ER104),""))</f>
        <v>27</v>
      </c>
    </row>
    <row r="106" customFormat="false" ht="15" hidden="false" customHeight="false" outlineLevel="0" collapsed="false">
      <c r="A106" s="8" t="n">
        <v>101</v>
      </c>
      <c r="B106" s="8" t="str">
        <f aca="false">IFERROR(INDEX(Raw!$B$2:$B$1001,MATCH($A106,Raw!$A$2:$A$1001,0)),"")</f>
        <v/>
      </c>
      <c r="C106" s="9" t="str">
        <f aca="false">IF($B106="","",MAX($CS106:$DE106))</f>
        <v/>
      </c>
      <c r="D106" s="8" t="str">
        <f aca="false">IF($B106="","",IF($C106=0,"Sample",INDEX(Setup!$B$37:$B$49,$C106-36)))</f>
        <v/>
      </c>
      <c r="E106" s="16" t="str">
        <f aca="false">IF($B106="","",IFERROR(IF(INDEX(Raw!$E$2:$E$1001,MATCH($A106,Raw!$A$2:$A$1001,0))=0,"",INDEX(Raw!$E$2:$E$1001,MATCH($A106,Raw!$A$2:$A$1001,0))),""))</f>
        <v/>
      </c>
      <c r="F106" s="18"/>
      <c r="G106" s="16" t="str">
        <f aca="false">IF($B106="","",IF($F106&lt;&gt;"",$F106,IF($E106="","",$E106)))</f>
        <v/>
      </c>
      <c r="H106" s="9" t="str">
        <f aca="false">IF($B106="","",SUMPRODUCT(MAX((Raw!$A$2:$A$1001=$A106)*(Raw!$R$2:$R$1001="N")*Raw!$D$2:$D$1001)))</f>
        <v/>
      </c>
      <c r="I106" s="9" t="str">
        <f aca="false">IF(OR($H106="",$H106=0),"",$A106&amp;"|N|"&amp;$H106)</f>
        <v/>
      </c>
      <c r="J106" s="9" t="str">
        <f aca="false">IF($B106="","",SUMPRODUCT(MIN((Raw!$A$2:$A$1001=$A106)*(Raw!$R$2:$R$1001="C")*Raw!$D$2:$D$1001+(1-(Raw!$A$2:$A$1001=$A106)*(Raw!$R$2:$R$1001="C"))*9999)))</f>
        <v/>
      </c>
      <c r="K106" s="9" t="str">
        <f aca="false">IF(OR($J106="",$J106=0,$J106=9999),"",$A106&amp;"|C|"&amp;$J106)</f>
        <v/>
      </c>
      <c r="L106" s="16" t="str">
        <f aca="false">IF($I106="","",IF(INDEX(Raw!$I$2:$I$1001,MATCH($I106,Raw!$S$2:$S$1001,0))&lt;&gt;0,"",INDEX(Raw!$H$2:$H$1001,MATCH($I106,Raw!$S$2:$S$1001,0))))</f>
        <v/>
      </c>
      <c r="M106" s="19" t="str">
        <f aca="false">IF($I106="","",IF(INDEX(Raw!$I$2:$I$1001,MATCH($I106,Raw!$S$2:$S$1001,0))&lt;&gt;0,"",INDEX(Raw!$F$2:$F$1001,MATCH($I106,Raw!$S$2:$S$1001,0))))</f>
        <v/>
      </c>
      <c r="N106" s="20" t="str">
        <f aca="false">IF($I106="","",IF(INDEX(Raw!$I$2:$I$1001,MATCH($I106,Raw!$S$2:$S$1001,0))&lt;&gt;0,"",INDEX(Raw!$G$2:$G$1001,MATCH($I106,Raw!$S$2:$S$1001,0))))</f>
        <v/>
      </c>
      <c r="O106" s="16" t="str">
        <f aca="false">IF($I106="","",IF(INDEX(Raw!$I$2:$I$1001,MATCH($I106,Raw!$S$2:$S$1001,0))&lt;&gt;0,"",INDEX(Raw!$N$2:$N$1001,MATCH($I106,Raw!$S$2:$S$1001,0))))</f>
        <v/>
      </c>
      <c r="P106" s="16" t="str">
        <f aca="false">IF($K106="","",IF(INDEX(Raw!$I$2:$I$1001,MATCH($K106,Raw!$S$2:$S$1001,0))&lt;&gt;0,"",INDEX(Raw!$K$2:$K$1001,MATCH($K106,Raw!$S$2:$S$1001,0))))</f>
        <v/>
      </c>
      <c r="Q106" s="19" t="str">
        <f aca="false">IF($K106="","",IF(INDEX(Raw!$I$2:$I$1001,MATCH($K106,Raw!$S$2:$S$1001,0))&lt;&gt;0,"",INDEX(Raw!$J$2:$J$1001,MATCH($K106,Raw!$S$2:$S$1001,0))))</f>
        <v/>
      </c>
      <c r="R106" s="16" t="str">
        <f aca="false">IF($K106="","",IF(INDEX(Raw!$I$2:$I$1001,MATCH($K106,Raw!$S$2:$S$1001,0))&lt;&gt;0,"",INDEX(Raw!$O$2:$O$1001,MATCH($K106,Raw!$S$2:$S$1001,0))))</f>
        <v/>
      </c>
      <c r="S106" s="21" t="str">
        <f aca="false">IF($B106="","",IF($C106=0,"",IF(INDEX(Setup!$D$37:$D$49,$C106-36)="","",INDEX(Setup!$D$37:$D$49,$C106-36))))</f>
        <v/>
      </c>
      <c r="T106" s="21" t="str">
        <f aca="false">IF($B106="","",IF($C106=0,"",IF(INDEX(Setup!$C$37:$C$49,$C106-36)="","",INDEX(Setup!$C$37:$C$49,$C106-36))))</f>
        <v/>
      </c>
      <c r="U106" s="21" t="str">
        <f aca="false">IF($B106="","",IF($C106=0,"",IF(INDEX(Setup!$F$37:$F$49,$C106-36)="","",INDEX(Setup!$F$37:$F$49,$C106-36))))</f>
        <v/>
      </c>
      <c r="V106" s="21" t="str">
        <f aca="false">IF($B106="","",IF($C106=0,"",IF(INDEX(Setup!$E$37:$E$49,$C106-36)="","",INDEX(Setup!$E$37:$E$49,$C106-36))))</f>
        <v/>
      </c>
      <c r="W106" s="16" t="str">
        <f aca="false">IF($O106="","",IF(OR(Fits!$C$5&lt;&gt;"Yes",$D106="Blank",$L106&lt;=Fits!$B$6),$O106,($L106*$O106-Fits!$B$6*Fits!$B$7)/($L106-Fits!$B$6)))</f>
        <v/>
      </c>
      <c r="X106" s="16" t="str">
        <f aca="false">IF($W106="","",$W106-Fits!$B$20*($L106-Fits!$B$16))</f>
        <v/>
      </c>
      <c r="Y106" s="22" t="str">
        <f aca="false">IF($W106="","",IF(OR(Fits!$B$38="Row",$BI106=""),$A106,$BI106))</f>
        <v/>
      </c>
      <c r="Z106" s="16" t="str">
        <f aca="false">IF($X106="","",$X106-Fits!$B$39*($Y106-Fits!$B$40))</f>
        <v/>
      </c>
      <c r="AA106" s="23" t="str">
        <f aca="false">IF(OR($Z106="",Fits!$B$55&lt;2),"",Fits!$B$56*$Z106+Fits!$B$57)</f>
        <v/>
      </c>
      <c r="AB106" s="16" t="str">
        <f aca="false">IF($R106="","",IF(OR(Fits!$C$9&lt;&gt;"Yes",$D106="Blank",$P106&lt;=Fits!$B$10),$R106,($P106*$R106-Fits!$B$10*Fits!$B$11)/($P106-Fits!$B$10)))</f>
        <v/>
      </c>
      <c r="AC106" s="16" t="str">
        <f aca="false">IF($AB106="","",$AB106-Fits!$B$28*($P106-Fits!$B$24))</f>
        <v/>
      </c>
      <c r="AD106" s="22" t="str">
        <f aca="false">IF($AB106="","",IF(OR(Fits!$B$50="Row",$BI106=""),$A106,$BI106))</f>
        <v/>
      </c>
      <c r="AE106" s="16" t="str">
        <f aca="false">IF($AC106="","",$AC106-Fits!$B$51*($AD106-Fits!$B$52))</f>
        <v/>
      </c>
      <c r="AF106" s="23" t="str">
        <f aca="false">IF(OR($AE106="",Fits!$B$62&lt;2),"",Fits!$B$63*$AE106+Fits!$B$64)</f>
        <v/>
      </c>
      <c r="AG106" s="21" t="str">
        <f aca="false">IF(OR($L106="",Fits!$B$69&lt;3),"",($L106-Fits!$B$71)/Fits!$B$70)</f>
        <v/>
      </c>
      <c r="AH106" s="21" t="str">
        <f aca="false">IF(OR($P106="",Fits!$B$75&lt;3),"",($P106-Fits!$B$77)/Fits!$B$76)</f>
        <v/>
      </c>
      <c r="AI106" s="23" t="str">
        <f aca="false">IF(OR($AG106="",$G106="",$G106=0),"",$AG106/($G106*1000)*100)</f>
        <v/>
      </c>
      <c r="AJ106" s="23" t="str">
        <f aca="false">IF(OR($AH106="",$G106="",$G106=0),"",$AH106/($G106*1000)*100)</f>
        <v/>
      </c>
      <c r="AK106" s="23" t="str">
        <f aca="false">IF(OR($AG106="",$AH106="",$AG106&lt;=0),"",($AH106/Setup!$B$52)/($AG106/Setup!$B$53))</f>
        <v/>
      </c>
      <c r="AL106" s="23" t="str">
        <f aca="false">IF(OR($AG106="",$AH106="",$AG106&lt;=0),"",$AH106/$AG106)</f>
        <v/>
      </c>
      <c r="AM106" s="9" t="str">
        <f aca="false">IF($D106="Linearity",IF($L106="","",$L106),"")</f>
        <v/>
      </c>
      <c r="AN106" s="9" t="str">
        <f aca="false">IF($D106="Linearity",IF($W106="","",$W106),"")</f>
        <v/>
      </c>
      <c r="AO106" s="9" t="str">
        <f aca="false">IF($D106="Linearity",IF($P106="","",$P106),"")</f>
        <v/>
      </c>
      <c r="AP106" s="9" t="str">
        <f aca="false">IF($D106="Linearity",IF($AB106="","",$AB106),"")</f>
        <v/>
      </c>
      <c r="AQ106" s="9" t="str">
        <f aca="false">IF($D106="Drift",IF($A106&lt;IF(Setup!$B$14="",0,Setup!$B$14),"",$A106),"")</f>
        <v/>
      </c>
      <c r="AR106" s="9" t="str">
        <f aca="false">IF($D106="Drift",IF($A106&lt;IF(Setup!$B$14="",0,Setup!$B$14),"",IF($BI106="","",$BI106)),"")</f>
        <v/>
      </c>
      <c r="AS106" s="9" t="str">
        <f aca="false">IF($D106="Drift",IF($A106&lt;IF(Setup!$B$14="",0,Setup!$B$14),"",IF(OR($X106="",$BX106=1),"",$X106)),"")</f>
        <v/>
      </c>
      <c r="AT106" s="9" t="str">
        <f aca="false">IF($D106="Drift",IF($A106&lt;IF(Setup!$B$14="",0,Setup!$B$14),"",IF(OR($AC106="",$BY106=1),"",$AC106)),"")</f>
        <v/>
      </c>
      <c r="AU106" s="9" t="str">
        <f aca="false">IF($D106="Anchor",IF(OR($Z106="",$S106=""),"",$Z106),"")</f>
        <v/>
      </c>
      <c r="AV106" s="9" t="str">
        <f aca="false">IF($D106="Anchor",IF(OR($Z106="",$S106=""),"",$S106),"")</f>
        <v/>
      </c>
      <c r="AW106" s="9" t="str">
        <f aca="false">IF($D106="Anchor",IF(OR($AE106="",$T106=""),"",$AE106),"")</f>
        <v/>
      </c>
      <c r="AX106" s="9" t="str">
        <f aca="false">IF($D106="Anchor",IF(OR($AE106="",$T106=""),"",$T106),"")</f>
        <v/>
      </c>
      <c r="AY106" s="9" t="str">
        <f aca="false">IF(OR($D106="Blank",$D106="Exclude",$D106="Sample",$D106="",$G106="",$U106="",$L106=""),"",$G106*1000*$U106/100)</f>
        <v/>
      </c>
      <c r="AZ106" s="9" t="str">
        <f aca="false">IF($AY106="","",$L106)</f>
        <v/>
      </c>
      <c r="BA106" s="9" t="str">
        <f aca="false">IF(OR($D106="Blank",$D106="Exclude",$D106="Sample",$D106="",$G106="",$V106="",$P106=""),"",$G106*1000*$V106/100)</f>
        <v/>
      </c>
      <c r="BB106" s="9" t="str">
        <f aca="false">IF($BA106="","",$P106)</f>
        <v/>
      </c>
      <c r="BC106" s="9" t="str">
        <f aca="false">IF(AND($D106="Blank",$L106&lt;&gt;""),$O106,"")</f>
        <v/>
      </c>
      <c r="BD106" s="9" t="str">
        <f aca="false">IF($BC106="","",$L106)</f>
        <v/>
      </c>
      <c r="BE106" s="9" t="str">
        <f aca="false">IF(AND($D106="Blank",$P106&lt;&gt;""),$R106,"")</f>
        <v/>
      </c>
      <c r="BF106" s="9" t="str">
        <f aca="false">IF($BE106="","",$P106)</f>
        <v/>
      </c>
      <c r="BG106" s="9" t="str">
        <f aca="false">IF(AND($D106="Drift",$BX106&lt;&gt;1),IF($AA106="","",$AA106),"")</f>
        <v/>
      </c>
      <c r="BH106" s="9" t="str">
        <f aca="false">IF(AND($D106="Drift",$BY106&lt;&gt;1),IF($AF106="","",$AF106),"")</f>
        <v/>
      </c>
      <c r="BI106" s="20" t="str">
        <f aca="false">IF($B106="","",IFERROR(INDEX(Raw!$G$2:$G$1001,MATCH($A106&amp;"|N|"&amp;SUMPRODUCT(MAX((Raw!$A$2:$A$1001=$A106)*(Raw!$R$2:$R$1001="N")*(Raw!$I$2:$I$1001=1)*Raw!$D$2:$D$1001)),Raw!$S$2:$S$1001,0)),""))</f>
        <v/>
      </c>
      <c r="BJ106" s="21" t="str">
        <f aca="false">IF(OR($BI106="",Fits!$B$85&lt;=0),"",($BI106-Fits!$B$83)/Fits!$B$85)</f>
        <v/>
      </c>
      <c r="BK106" s="9" t="str">
        <f aca="false">IF($AS106="","",IF($A106&gt;=Fits!$B$86,"",$A106))</f>
        <v/>
      </c>
      <c r="BL106" s="9" t="str">
        <f aca="false">IF($BK106="","",$X106)</f>
        <v/>
      </c>
      <c r="BM106" s="9" t="str">
        <f aca="false">IF($AS106="","",IF($A106&lt;Fits!$B$86,"",$A106))</f>
        <v/>
      </c>
      <c r="BN106" s="9" t="str">
        <f aca="false">IF($BM106="","",$X106)</f>
        <v/>
      </c>
      <c r="BO106" s="9" t="str">
        <f aca="false">IF(AND($D106="Drift",$BX106&lt;&gt;1),IF($O106="","",$O106),"")</f>
        <v/>
      </c>
      <c r="BP106" s="9" t="str">
        <f aca="false">IF(AND($D106="Drift",$BX106&lt;&gt;1),IF($W106="","",$W106),"")</f>
        <v/>
      </c>
      <c r="BQ106" s="9" t="str">
        <f aca="false">IF(AND($D106="Drift",$BX106&lt;&gt;1),IF($X106="","",$X106),"")</f>
        <v/>
      </c>
      <c r="BR106" s="9" t="str">
        <f aca="false">IF(AND($D106="Drift",$BX106&lt;&gt;1),IF($Z106="","",$Z106),"")</f>
        <v/>
      </c>
      <c r="BS106" s="9" t="str">
        <f aca="false">IF(OR($B106="",$H106=""),"",SUMPRODUCT(MIN((Raw!$A$2:$A$1001=$A106)*(Raw!$R$2:$R$1001="N")*(Raw!$I$2:$I$1001=0)*(Raw!$D$2:$D$1001&lt;$H106)*Raw!$D$2:$D$1001+(1-(Raw!$A$2:$A$1001=$A106)*(Raw!$R$2:$R$1001="N")*(Raw!$I$2:$I$1001=0)*(Raw!$D$2:$D$1001&lt;$H106))*9999)))</f>
        <v/>
      </c>
      <c r="BT106" s="16" t="str">
        <f aca="false">IF(OR($BS106="",$BS106=9999,$BS106=0),"",IFERROR(INDEX(Raw!$N$2:$N$1001,MATCH($A106&amp;"|N|"&amp;$BS106,Raw!$S$2:$S$1001,0)),""))</f>
        <v/>
      </c>
      <c r="BU106" s="9" t="str">
        <f aca="false">IF($B106="","",SUMPRODUCT(MIN((Raw!$A$2:$A$1001=$A106)*(Raw!$R$2:$R$1001="C")*(Raw!$I$2:$I$1001=1)*Raw!$D$2:$D$1001+(1-(Raw!$A$2:$A$1001=$A106)*(Raw!$R$2:$R$1001="C")*(Raw!$I$2:$I$1001=1))*9999)))</f>
        <v/>
      </c>
      <c r="BV106" s="9" t="str">
        <f aca="false">IF(OR($BU106="",$BU106=9999),"",SUMPRODUCT(MIN((Raw!$A$2:$A$1001=$A106)*(Raw!$R$2:$R$1001="C")*(Raw!$I$2:$I$1001=0)*(Raw!$D$2:$D$1001&gt;$BU106)*Raw!$D$2:$D$1001+(1-(Raw!$A$2:$A$1001=$A106)*(Raw!$R$2:$R$1001="C")*(Raw!$I$2:$I$1001=0)*(Raw!$D$2:$D$1001&gt;$BU106))*9999)))</f>
        <v/>
      </c>
      <c r="BW106" s="16" t="str">
        <f aca="false">IF(OR($BV106="",$BV106=9999,$BV106=0),"",IFERROR(INDEX(Raw!$O$2:$O$1001,MATCH($A106&amp;"|C|"&amp;$BV106,Raw!$S$2:$S$1001,0)),""))</f>
        <v/>
      </c>
      <c r="BX106" s="9" t="str">
        <f aca="false">IF($B106="","",IF(ISNUMBER(SEARCH(","&amp;$A106&amp;",",","&amp;SUBSTITUTE(Setup!$B$16," ","")&amp;",")),1,0))</f>
        <v/>
      </c>
      <c r="BY106" s="9" t="str">
        <f aca="false">IF($B106="","",IF(ISNUMBER(SEARCH(","&amp;$A106&amp;",",","&amp;SUBSTITUTE(Setup!$B$17," ","")&amp;",")),1,0))</f>
        <v/>
      </c>
      <c r="BZ106" s="22" t="str">
        <f aca="false">IF($AS106="","",IF(Fits!$B$38="Row",$AQ106,IF($AR106="","",$AR106)))</f>
        <v/>
      </c>
      <c r="CA106" s="22" t="str">
        <f aca="false">IF($AT106="","",IF(Fits!$B$50="Row",$AQ106,IF($AR106="","",$AR106)))</f>
        <v/>
      </c>
      <c r="CB106" s="20" t="str">
        <f aca="false">IF(OR($D106&lt;&gt;"Drift",$X106="",$A106&lt;IF(Setup!$B$14="",0,Setup!$B$14),Fits!$B$107&lt;3,Fits!$B$110="",Fits!$B$109=0,IF(Fits!$B$38="Row",$AQ106,$AR106)=""),"",IF($BX106=1,IF(OR(Fits!$B$111="",Fits!$B$111=0),"",($X106-(IF(Fits!$B$38="Row",Fits!$B$32,Fits!$B$35)*IF(Fits!$B$38="Row",$AQ106,$AR106)+Fits!$B$110))/(Fits!$B$111*SQRT(1+(1/Fits!$B$107+(IF(Fits!$B$38="Row",$AQ106,$AR106)-Fits!$B$108)^2/Fits!$B$109)))),IF(OR(Fits!$B$107&lt;4,(1/Fits!$B$107+(IF(Fits!$B$38="Row",$AQ106,$AR106)-Fits!$B$108)^2/Fits!$B$109)&gt;=1),"",IF((Fits!$B$116-($X106-(IF(Fits!$B$38="Row",Fits!$B$32,Fits!$B$35)*IF(Fits!$B$38="Row",$AQ106,$AR106)+Fits!$B$110))^2/(1-(1/Fits!$B$107+(IF(Fits!$B$38="Row",$AQ106,$AR106)-Fits!$B$108)^2/Fits!$B$109)))&lt;=0,"",($X106-(IF(Fits!$B$38="Row",Fits!$B$32,Fits!$B$35)*IF(Fits!$B$38="Row",$AQ106,$AR106)+Fits!$B$110))/(SQRT((Fits!$B$116-($X106-(IF(Fits!$B$38="Row",Fits!$B$32,Fits!$B$35)*IF(Fits!$B$38="Row",$AQ106,$AR106)+Fits!$B$110))^2/(1-(1/Fits!$B$107+(IF(Fits!$B$38="Row",$AQ106,$AR106)-Fits!$B$108)^2/Fits!$B$109)))/(Fits!$B$107-3))*SQRT(1-(1/Fits!$B$107+(IF(Fits!$B$38="Row",$AQ106,$AR106)-Fits!$B$108)^2/Fits!$B$109)))))))</f>
        <v/>
      </c>
      <c r="CC106" s="20" t="str">
        <f aca="false">IF(OR($D106&lt;&gt;"Drift",$AC106="",$A106&lt;IF(Setup!$B$14="",0,Setup!$B$14),Fits!$B$120&lt;3,Fits!$B$123="",Fits!$B$122=0,IF(Fits!$B$50="Row",$AQ106,$AR106)=""),"",IF($BY106=1,IF(OR(Fits!$B$124="",Fits!$B$124=0),"",($AC106-(IF(Fits!$B$50="Row",Fits!$B$44,Fits!$B$47)*IF(Fits!$B$50="Row",$AQ106,$AR106)+Fits!$B$123))/(Fits!$B$124*SQRT(1+(1/Fits!$B$120+(IF(Fits!$B$50="Row",$AQ106,$AR106)-Fits!$B$121)^2/Fits!$B$122)))),IF(OR(Fits!$B$120&lt;4,(1/Fits!$B$120+(IF(Fits!$B$50="Row",$AQ106,$AR106)-Fits!$B$121)^2/Fits!$B$122)&gt;=1),"",IF((Fits!$B$129-($AC106-(IF(Fits!$B$50="Row",Fits!$B$44,Fits!$B$47)*IF(Fits!$B$50="Row",$AQ106,$AR106)+Fits!$B$123))^2/(1-(1/Fits!$B$120+(IF(Fits!$B$50="Row",$AQ106,$AR106)-Fits!$B$121)^2/Fits!$B$122)))&lt;=0,"",($AC106-(IF(Fits!$B$50="Row",Fits!$B$44,Fits!$B$47)*IF(Fits!$B$50="Row",$AQ106,$AR106)+Fits!$B$123))/(SQRT((Fits!$B$129-($AC106-(IF(Fits!$B$50="Row",Fits!$B$44,Fits!$B$47)*IF(Fits!$B$50="Row",$AQ106,$AR106)+Fits!$B$123))^2/(1-(1/Fits!$B$120+(IF(Fits!$B$50="Row",$AQ106,$AR106)-Fits!$B$121)^2/Fits!$B$122)))/(Fits!$B$120-3))*SQRT(1-(1/Fits!$B$120+(IF(Fits!$B$50="Row",$AQ106,$AR106)-Fits!$B$121)^2/Fits!$B$122)))))))</f>
        <v/>
      </c>
      <c r="CD106" s="9" t="str">
        <f aca="false">IF($AU106="","",1)</f>
        <v/>
      </c>
      <c r="CE106" s="24" t="str">
        <f aca="false">IF($AU106="","",$AU106-Fits!$B$133)</f>
        <v/>
      </c>
      <c r="CF106" s="24" t="str">
        <f aca="false">IF($AU106="","",($AV106-(Fits!$B$56*$AU106+Fits!$B$57))-Fits!$B$56*($AU106-Fits!$B$133))</f>
        <v/>
      </c>
      <c r="CG106" s="25" t="str">
        <f aca="false">IF($AU106="","",$AU106^2)</f>
        <v/>
      </c>
      <c r="CH106" s="9" t="str">
        <f aca="false">IF($AW106="","",1)</f>
        <v/>
      </c>
      <c r="CI106" s="24" t="str">
        <f aca="false">IF($AW106="","",$AW106-Fits!$B$153)</f>
        <v/>
      </c>
      <c r="CJ106" s="24" t="str">
        <f aca="false">IF($AW106="","",($AX106-(Fits!$B$63*$AW106+Fits!$B$64))-Fits!$B$63*($AW106-Fits!$B$153))</f>
        <v/>
      </c>
      <c r="CK106" s="25" t="str">
        <f aca="false">IF($AW106="","",$AW106^2)</f>
        <v/>
      </c>
      <c r="CL106" s="26" t="str">
        <f aca="false">IF(OR($Z106="",Fits!$B$55&lt;3,Fits!$B$133="",Fits!$B$134="",Fits!$B$134=0,Fits!$B$136=""),"",SQRT((Fits!$B$136*Fits!$B$56)^2+SUMPRODUCT((Fits!$J$163:$J$175*(Fits!$B$163:$B$175/Fits!$B$55+Fits!$H$163:$H$175*($Z106-Fits!$B$133)/Fits!$B$134))^2)+SUMPRODUCT((Fits!$G$163:$G$175*(($Z106-Fits!$B$133)*Fits!$I$163:$I$175/Fits!$B$134-Fits!$B$163:$B$175*Fits!$B$56/Fits!$B$55))^2)))</f>
        <v/>
      </c>
      <c r="CM106" s="26" t="str">
        <f aca="false">IF($CL106="","",Setup!$B$32*$CL106)</f>
        <v/>
      </c>
      <c r="CN106" s="26" t="str">
        <f aca="false">IF(OR($AE106="",Fits!$B$62&lt;3,Fits!$B$153="",Fits!$B$154="",Fits!$B$154=0,Fits!$B$156=""),"",SQRT((Fits!$B$156*Fits!$B$63)^2+SUMPRODUCT((Fits!$J$183:$J$195*(Fits!$B$183:$B$195/Fits!$B$62+Fits!$H$183:$H$195*($AE106-Fits!$B$153)/Fits!$B$154))^2)+SUMPRODUCT((Fits!$G$183:$G$195*(($AE106-Fits!$B$153)*Fits!$I$183:$I$195/Fits!$B$154-Fits!$B$183:$B$195*Fits!$B$63/Fits!$B$62))^2)))</f>
        <v/>
      </c>
      <c r="CO106" s="26" t="str">
        <f aca="false">IF($CN106="","",Setup!$B$32*$CN106)</f>
        <v/>
      </c>
      <c r="CP106" s="9" t="n">
        <f aca="false">IF(OR(NOT(ISNUMBER($BJ106)),$EK106=1),$CP105,IF($BJ106&lt;=Setup!$B$26,$CP105+1,0))</f>
        <v>26</v>
      </c>
      <c r="CQ106" s="9" t="str">
        <f aca="false">IF($BT106="","",$A106)</f>
        <v/>
      </c>
      <c r="CR106" s="9" t="str">
        <f aca="false">IF($BW106="","",$A106)</f>
        <v/>
      </c>
      <c r="CS106" s="9" t="str">
        <f aca="false">IF($B106="","",IF(Setup!$A$37="",0,IF(ISNUMBER(SEARCH(Setup!$A$37,$B106)),37,0)))</f>
        <v/>
      </c>
      <c r="CT106" s="9" t="str">
        <f aca="false">IF($B106="","",IF(Setup!$A$38="",0,IF(ISNUMBER(SEARCH(Setup!$A$38,$B106)),38,0)))</f>
        <v/>
      </c>
      <c r="CU106" s="9" t="str">
        <f aca="false">IF($B106="","",IF(Setup!$A$39="",0,IF(ISNUMBER(SEARCH(Setup!$A$39,$B106)),39,0)))</f>
        <v/>
      </c>
      <c r="CV106" s="9" t="str">
        <f aca="false">IF($B106="","",IF(Setup!$A$40="",0,IF(ISNUMBER(SEARCH(Setup!$A$40,$B106)),40,0)))</f>
        <v/>
      </c>
      <c r="CW106" s="9" t="str">
        <f aca="false">IF($B106="","",IF(Setup!$A$41="",0,IF(ISNUMBER(SEARCH(Setup!$A$41,$B106)),41,0)))</f>
        <v/>
      </c>
      <c r="CX106" s="9" t="str">
        <f aca="false">IF($B106="","",IF(Setup!$A$42="",0,IF(ISNUMBER(SEARCH(Setup!$A$42,$B106)),42,0)))</f>
        <v/>
      </c>
      <c r="CY106" s="9" t="str">
        <f aca="false">IF($B106="","",IF(Setup!$A$43="",0,IF(ISNUMBER(SEARCH(Setup!$A$43,$B106)),43,0)))</f>
        <v/>
      </c>
      <c r="CZ106" s="9" t="str">
        <f aca="false">IF($B106="","",IF(Setup!$A$44="",0,IF(ISNUMBER(SEARCH(Setup!$A$44,$B106)),44,0)))</f>
        <v/>
      </c>
      <c r="DA106" s="9" t="str">
        <f aca="false">IF($B106="","",IF(Setup!$A$45="",0,IF(ISNUMBER(SEARCH(Setup!$A$45,$B106)),45,0)))</f>
        <v/>
      </c>
      <c r="DB106" s="9" t="str">
        <f aca="false">IF($B106="","",IF(Setup!$A$46="",0,IF(ISNUMBER(SEARCH(Setup!$A$46,$B106)),46,0)))</f>
        <v/>
      </c>
      <c r="DC106" s="9" t="str">
        <f aca="false">IF($B106="","",IF(Setup!$A$47="",0,IF(ISNUMBER(SEARCH(Setup!$A$47,$B106)),47,0)))</f>
        <v/>
      </c>
      <c r="DD106" s="9" t="str">
        <f aca="false">IF($B106="","",IF(Setup!$A$48="",0,IF(ISNUMBER(SEARCH(Setup!$A$48,$B106)),48,0)))</f>
        <v/>
      </c>
      <c r="DE106" s="9" t="str">
        <f aca="false">IF($B106="","",IF(Setup!$A$49="",0,IF(ISNUMBER(SEARCH(Setup!$A$49,$B106)),49,0)))</f>
        <v/>
      </c>
      <c r="DF106" s="9" t="e">
        <f aca="false">IF($B106="",NA(),$A106)</f>
        <v>#N/A</v>
      </c>
      <c r="DG106" s="9" t="e">
        <f aca="false">IF($BI106="",NA(),$BI106)</f>
        <v>#N/A</v>
      </c>
      <c r="DH106" s="9" t="e">
        <f aca="false">IF($N106="",NA(),$N106)</f>
        <v>#N/A</v>
      </c>
      <c r="DI106" s="9" t="e">
        <f aca="false">IF(AND($D106="Drift",$N106&lt;&gt;""),$N106,NA())</f>
        <v>#N/A</v>
      </c>
      <c r="DJ106" s="9" t="str">
        <f aca="false">IF(AND($D106="Drift",$N106&lt;&gt;""),$N106,"")</f>
        <v/>
      </c>
      <c r="DK106" s="9" t="str">
        <f aca="false">IF($DJ106="","",$A106)</f>
        <v/>
      </c>
      <c r="DL106" s="9" t="e">
        <f aca="false">IF($AN106="",NA(),$AM106)</f>
        <v>#N/A</v>
      </c>
      <c r="DM106" s="9" t="e">
        <f aca="false">IF($AN106="",NA(),$AN106)</f>
        <v>#N/A</v>
      </c>
      <c r="DN106" s="9" t="e">
        <f aca="false">IF(AND($D106="Sample",$L106&lt;&gt;""),$L106,NA())</f>
        <v>#N/A</v>
      </c>
      <c r="DO106" s="9" t="e">
        <f aca="false">IF(AND($D106="Sample",$L106&lt;&gt;"",Fits!$B$98&lt;&gt;""),Fits!$B$98,NA())</f>
        <v>#N/A</v>
      </c>
      <c r="DP106" s="9" t="e">
        <f aca="false">IF($AS106="",NA(),$AS106)</f>
        <v>#N/A</v>
      </c>
      <c r="DQ106" s="9" t="e">
        <f aca="false">IF(AND($D106="Drift",$AS106="",$X106&lt;&gt;""),$X106,NA())</f>
        <v>#N/A</v>
      </c>
      <c r="DR106" s="9" t="e">
        <f aca="false">IF(AND($D106="Drift",$Z106&lt;&gt;""),$Z106,NA())</f>
        <v>#N/A</v>
      </c>
      <c r="DS106" s="9" t="e">
        <f aca="false">IF(AND(OR($D106="Sample",$D106="Check"),$AA106&lt;&gt;""),$AA106,NA())</f>
        <v>#N/A</v>
      </c>
      <c r="DT106" s="9" t="e">
        <f aca="false">IF(OR($B106="",Fits!$B$138=""),NA(),Fits!$B$138)</f>
        <v>#N/A</v>
      </c>
      <c r="DU106" s="9" t="e">
        <f aca="false">IF(OR($B106="",Fits!$B$139=""),NA(),Fits!$B$139)</f>
        <v>#N/A</v>
      </c>
      <c r="DV106" s="9" t="e">
        <f aca="false">IF($BT106="",NA(),$BT106)</f>
        <v>#N/A</v>
      </c>
      <c r="DW106" s="9" t="e">
        <f aca="false">IF($AP106="",NA(),$AO106)</f>
        <v>#N/A</v>
      </c>
      <c r="DX106" s="9" t="e">
        <f aca="false">IF($AP106="",NA(),$AP106)</f>
        <v>#N/A</v>
      </c>
      <c r="DY106" s="9" t="e">
        <f aca="false">IF(AND($D106="Sample",$P106&lt;&gt;""),$P106,NA())</f>
        <v>#N/A</v>
      </c>
      <c r="DZ106" s="9" t="e">
        <f aca="false">IF(AND($D106="Sample",$P106&lt;&gt;"",Fits!$B$105&lt;&gt;""),Fits!$B$105,NA())</f>
        <v>#N/A</v>
      </c>
      <c r="EA106" s="9" t="e">
        <f aca="false">IF($AT106="",NA(),$AT106)</f>
        <v>#N/A</v>
      </c>
      <c r="EB106" s="9" t="e">
        <f aca="false">IF(AND($D106="Drift",$AT106="",$AC106&lt;&gt;""),$AC106,NA())</f>
        <v>#N/A</v>
      </c>
      <c r="EC106" s="9" t="e">
        <f aca="false">IF(AND($D106="Drift",$AE106&lt;&gt;""),$AE106,NA())</f>
        <v>#N/A</v>
      </c>
      <c r="ED106" s="9" t="e">
        <f aca="false">IF(AND(OR($D106="Sample",$D106="Check"),$AF106&lt;&gt;""),$AF106,NA())</f>
        <v>#N/A</v>
      </c>
      <c r="EE106" s="9" t="e">
        <f aca="false">IF(OR($B106="",Fits!$B$158=""),NA(),Fits!$B$158)</f>
        <v>#N/A</v>
      </c>
      <c r="EF106" s="9" t="e">
        <f aca="false">IF(OR($B106="",Fits!$B$159=""),NA(),Fits!$B$159)</f>
        <v>#N/A</v>
      </c>
      <c r="EG106" s="9" t="e">
        <f aca="false">IF($BW106="",NA(),$BW106)</f>
        <v>#N/A</v>
      </c>
      <c r="EH106" s="9" t="e">
        <f aca="false">IF(AND($EN106=1,ISNUMBER($N106)),$N106,NA())</f>
        <v>#N/A</v>
      </c>
      <c r="EI106" s="9" t="str">
        <f aca="false">IF($B106="","",$A106)</f>
        <v/>
      </c>
      <c r="EJ106" s="9" t="n">
        <f aca="false">IF(OR(AND(ISNUMBER($L106),Fits!$B$97&gt;0,$L106&gt;Fits!$B$97),AND(ISNUMBER($P106),Fits!$B$104&gt;0,$P106&gt;Fits!$B$104)),1,0)</f>
        <v>0</v>
      </c>
      <c r="EK106" s="9" t="n">
        <f aca="false">IF(OR($EJ105=1,$EJ104=1),1,0)</f>
        <v>0</v>
      </c>
      <c r="EL106" s="22" t="n">
        <f aca="false">IF(AND($EK106=0,ISNUMBER($N106)),$N106,$EL105)</f>
        <v>25.7</v>
      </c>
      <c r="EM106" s="9" t="str">
        <f aca="false">IF(AND($EK106=1,ISNUMBER($N106),ISNUMBER($EL106)),$N106-$EL106,"")</f>
        <v/>
      </c>
      <c r="EN106" s="9" t="n">
        <f aca="false">IF(Setup!$B$28="",0,IF(ISNUMBER($EM106),IF($EM106&gt;Setup!$B$28,1,0),0))</f>
        <v>0</v>
      </c>
      <c r="EO106" s="9" t="str">
        <f aca="false">IF($EN106=1,COUNTIF($EN$6:$EN106,1),"")</f>
        <v/>
      </c>
      <c r="EP106" s="9" t="n">
        <f aca="false">IF(AND($EJ105=1,OR($D106="Sample",$D106="Check")),1,0)</f>
        <v>0</v>
      </c>
      <c r="EQ106" s="9" t="str">
        <f aca="false">IF(ISNUMBER($BI106),IF(COUNT($BI$6:$BI106)&lt;=5,$BI106,""),"")</f>
        <v/>
      </c>
      <c r="ER106" s="9" t="n">
        <f aca="false">IF(OR(NOT(ISNUMBER($BJ106)),$EK106=1),$ER105,IF($BJ106&lt;=Setup!$B$26,IF($CP105=0,$A106,$ER105),""))</f>
        <v>27</v>
      </c>
    </row>
    <row r="107" customFormat="false" ht="15" hidden="false" customHeight="false" outlineLevel="0" collapsed="false">
      <c r="A107" s="8" t="n">
        <v>102</v>
      </c>
      <c r="B107" s="8" t="str">
        <f aca="false">IFERROR(INDEX(Raw!$B$2:$B$1001,MATCH($A107,Raw!$A$2:$A$1001,0)),"")</f>
        <v/>
      </c>
      <c r="C107" s="9" t="str">
        <f aca="false">IF($B107="","",MAX($CS107:$DE107))</f>
        <v/>
      </c>
      <c r="D107" s="8" t="str">
        <f aca="false">IF($B107="","",IF($C107=0,"Sample",INDEX(Setup!$B$37:$B$49,$C107-36)))</f>
        <v/>
      </c>
      <c r="E107" s="16" t="str">
        <f aca="false">IF($B107="","",IFERROR(IF(INDEX(Raw!$E$2:$E$1001,MATCH($A107,Raw!$A$2:$A$1001,0))=0,"",INDEX(Raw!$E$2:$E$1001,MATCH($A107,Raw!$A$2:$A$1001,0))),""))</f>
        <v/>
      </c>
      <c r="F107" s="18"/>
      <c r="G107" s="16" t="str">
        <f aca="false">IF($B107="","",IF($F107&lt;&gt;"",$F107,IF($E107="","",$E107)))</f>
        <v/>
      </c>
      <c r="H107" s="9" t="str">
        <f aca="false">IF($B107="","",SUMPRODUCT(MAX((Raw!$A$2:$A$1001=$A107)*(Raw!$R$2:$R$1001="N")*Raw!$D$2:$D$1001)))</f>
        <v/>
      </c>
      <c r="I107" s="9" t="str">
        <f aca="false">IF(OR($H107="",$H107=0),"",$A107&amp;"|N|"&amp;$H107)</f>
        <v/>
      </c>
      <c r="J107" s="9" t="str">
        <f aca="false">IF($B107="","",SUMPRODUCT(MIN((Raw!$A$2:$A$1001=$A107)*(Raw!$R$2:$R$1001="C")*Raw!$D$2:$D$1001+(1-(Raw!$A$2:$A$1001=$A107)*(Raw!$R$2:$R$1001="C"))*9999)))</f>
        <v/>
      </c>
      <c r="K107" s="9" t="str">
        <f aca="false">IF(OR($J107="",$J107=0,$J107=9999),"",$A107&amp;"|C|"&amp;$J107)</f>
        <v/>
      </c>
      <c r="L107" s="16" t="str">
        <f aca="false">IF($I107="","",IF(INDEX(Raw!$I$2:$I$1001,MATCH($I107,Raw!$S$2:$S$1001,0))&lt;&gt;0,"",INDEX(Raw!$H$2:$H$1001,MATCH($I107,Raw!$S$2:$S$1001,0))))</f>
        <v/>
      </c>
      <c r="M107" s="19" t="str">
        <f aca="false">IF($I107="","",IF(INDEX(Raw!$I$2:$I$1001,MATCH($I107,Raw!$S$2:$S$1001,0))&lt;&gt;0,"",INDEX(Raw!$F$2:$F$1001,MATCH($I107,Raw!$S$2:$S$1001,0))))</f>
        <v/>
      </c>
      <c r="N107" s="20" t="str">
        <f aca="false">IF($I107="","",IF(INDEX(Raw!$I$2:$I$1001,MATCH($I107,Raw!$S$2:$S$1001,0))&lt;&gt;0,"",INDEX(Raw!$G$2:$G$1001,MATCH($I107,Raw!$S$2:$S$1001,0))))</f>
        <v/>
      </c>
      <c r="O107" s="16" t="str">
        <f aca="false">IF($I107="","",IF(INDEX(Raw!$I$2:$I$1001,MATCH($I107,Raw!$S$2:$S$1001,0))&lt;&gt;0,"",INDEX(Raw!$N$2:$N$1001,MATCH($I107,Raw!$S$2:$S$1001,0))))</f>
        <v/>
      </c>
      <c r="P107" s="16" t="str">
        <f aca="false">IF($K107="","",IF(INDEX(Raw!$I$2:$I$1001,MATCH($K107,Raw!$S$2:$S$1001,0))&lt;&gt;0,"",INDEX(Raw!$K$2:$K$1001,MATCH($K107,Raw!$S$2:$S$1001,0))))</f>
        <v/>
      </c>
      <c r="Q107" s="19" t="str">
        <f aca="false">IF($K107="","",IF(INDEX(Raw!$I$2:$I$1001,MATCH($K107,Raw!$S$2:$S$1001,0))&lt;&gt;0,"",INDEX(Raw!$J$2:$J$1001,MATCH($K107,Raw!$S$2:$S$1001,0))))</f>
        <v/>
      </c>
      <c r="R107" s="16" t="str">
        <f aca="false">IF($K107="","",IF(INDEX(Raw!$I$2:$I$1001,MATCH($K107,Raw!$S$2:$S$1001,0))&lt;&gt;0,"",INDEX(Raw!$O$2:$O$1001,MATCH($K107,Raw!$S$2:$S$1001,0))))</f>
        <v/>
      </c>
      <c r="S107" s="21" t="str">
        <f aca="false">IF($B107="","",IF($C107=0,"",IF(INDEX(Setup!$D$37:$D$49,$C107-36)="","",INDEX(Setup!$D$37:$D$49,$C107-36))))</f>
        <v/>
      </c>
      <c r="T107" s="21" t="str">
        <f aca="false">IF($B107="","",IF($C107=0,"",IF(INDEX(Setup!$C$37:$C$49,$C107-36)="","",INDEX(Setup!$C$37:$C$49,$C107-36))))</f>
        <v/>
      </c>
      <c r="U107" s="21" t="str">
        <f aca="false">IF($B107="","",IF($C107=0,"",IF(INDEX(Setup!$F$37:$F$49,$C107-36)="","",INDEX(Setup!$F$37:$F$49,$C107-36))))</f>
        <v/>
      </c>
      <c r="V107" s="21" t="str">
        <f aca="false">IF($B107="","",IF($C107=0,"",IF(INDEX(Setup!$E$37:$E$49,$C107-36)="","",INDEX(Setup!$E$37:$E$49,$C107-36))))</f>
        <v/>
      </c>
      <c r="W107" s="16" t="str">
        <f aca="false">IF($O107="","",IF(OR(Fits!$C$5&lt;&gt;"Yes",$D107="Blank",$L107&lt;=Fits!$B$6),$O107,($L107*$O107-Fits!$B$6*Fits!$B$7)/($L107-Fits!$B$6)))</f>
        <v/>
      </c>
      <c r="X107" s="16" t="str">
        <f aca="false">IF($W107="","",$W107-Fits!$B$20*($L107-Fits!$B$16))</f>
        <v/>
      </c>
      <c r="Y107" s="22" t="str">
        <f aca="false">IF($W107="","",IF(OR(Fits!$B$38="Row",$BI107=""),$A107,$BI107))</f>
        <v/>
      </c>
      <c r="Z107" s="16" t="str">
        <f aca="false">IF($X107="","",$X107-Fits!$B$39*($Y107-Fits!$B$40))</f>
        <v/>
      </c>
      <c r="AA107" s="23" t="str">
        <f aca="false">IF(OR($Z107="",Fits!$B$55&lt;2),"",Fits!$B$56*$Z107+Fits!$B$57)</f>
        <v/>
      </c>
      <c r="AB107" s="16" t="str">
        <f aca="false">IF($R107="","",IF(OR(Fits!$C$9&lt;&gt;"Yes",$D107="Blank",$P107&lt;=Fits!$B$10),$R107,($P107*$R107-Fits!$B$10*Fits!$B$11)/($P107-Fits!$B$10)))</f>
        <v/>
      </c>
      <c r="AC107" s="16" t="str">
        <f aca="false">IF($AB107="","",$AB107-Fits!$B$28*($P107-Fits!$B$24))</f>
        <v/>
      </c>
      <c r="AD107" s="22" t="str">
        <f aca="false">IF($AB107="","",IF(OR(Fits!$B$50="Row",$BI107=""),$A107,$BI107))</f>
        <v/>
      </c>
      <c r="AE107" s="16" t="str">
        <f aca="false">IF($AC107="","",$AC107-Fits!$B$51*($AD107-Fits!$B$52))</f>
        <v/>
      </c>
      <c r="AF107" s="23" t="str">
        <f aca="false">IF(OR($AE107="",Fits!$B$62&lt;2),"",Fits!$B$63*$AE107+Fits!$B$64)</f>
        <v/>
      </c>
      <c r="AG107" s="21" t="str">
        <f aca="false">IF(OR($L107="",Fits!$B$69&lt;3),"",($L107-Fits!$B$71)/Fits!$B$70)</f>
        <v/>
      </c>
      <c r="AH107" s="21" t="str">
        <f aca="false">IF(OR($P107="",Fits!$B$75&lt;3),"",($P107-Fits!$B$77)/Fits!$B$76)</f>
        <v/>
      </c>
      <c r="AI107" s="23" t="str">
        <f aca="false">IF(OR($AG107="",$G107="",$G107=0),"",$AG107/($G107*1000)*100)</f>
        <v/>
      </c>
      <c r="AJ107" s="23" t="str">
        <f aca="false">IF(OR($AH107="",$G107="",$G107=0),"",$AH107/($G107*1000)*100)</f>
        <v/>
      </c>
      <c r="AK107" s="23" t="str">
        <f aca="false">IF(OR($AG107="",$AH107="",$AG107&lt;=0),"",($AH107/Setup!$B$52)/($AG107/Setup!$B$53))</f>
        <v/>
      </c>
      <c r="AL107" s="23" t="str">
        <f aca="false">IF(OR($AG107="",$AH107="",$AG107&lt;=0),"",$AH107/$AG107)</f>
        <v/>
      </c>
      <c r="AM107" s="9" t="str">
        <f aca="false">IF($D107="Linearity",IF($L107="","",$L107),"")</f>
        <v/>
      </c>
      <c r="AN107" s="9" t="str">
        <f aca="false">IF($D107="Linearity",IF($W107="","",$W107),"")</f>
        <v/>
      </c>
      <c r="AO107" s="9" t="str">
        <f aca="false">IF($D107="Linearity",IF($P107="","",$P107),"")</f>
        <v/>
      </c>
      <c r="AP107" s="9" t="str">
        <f aca="false">IF($D107="Linearity",IF($AB107="","",$AB107),"")</f>
        <v/>
      </c>
      <c r="AQ107" s="9" t="str">
        <f aca="false">IF($D107="Drift",IF($A107&lt;IF(Setup!$B$14="",0,Setup!$B$14),"",$A107),"")</f>
        <v/>
      </c>
      <c r="AR107" s="9" t="str">
        <f aca="false">IF($D107="Drift",IF($A107&lt;IF(Setup!$B$14="",0,Setup!$B$14),"",IF($BI107="","",$BI107)),"")</f>
        <v/>
      </c>
      <c r="AS107" s="9" t="str">
        <f aca="false">IF($D107="Drift",IF($A107&lt;IF(Setup!$B$14="",0,Setup!$B$14),"",IF(OR($X107="",$BX107=1),"",$X107)),"")</f>
        <v/>
      </c>
      <c r="AT107" s="9" t="str">
        <f aca="false">IF($D107="Drift",IF($A107&lt;IF(Setup!$B$14="",0,Setup!$B$14),"",IF(OR($AC107="",$BY107=1),"",$AC107)),"")</f>
        <v/>
      </c>
      <c r="AU107" s="9" t="str">
        <f aca="false">IF($D107="Anchor",IF(OR($Z107="",$S107=""),"",$Z107),"")</f>
        <v/>
      </c>
      <c r="AV107" s="9" t="str">
        <f aca="false">IF($D107="Anchor",IF(OR($Z107="",$S107=""),"",$S107),"")</f>
        <v/>
      </c>
      <c r="AW107" s="9" t="str">
        <f aca="false">IF($D107="Anchor",IF(OR($AE107="",$T107=""),"",$AE107),"")</f>
        <v/>
      </c>
      <c r="AX107" s="9" t="str">
        <f aca="false">IF($D107="Anchor",IF(OR($AE107="",$T107=""),"",$T107),"")</f>
        <v/>
      </c>
      <c r="AY107" s="9" t="str">
        <f aca="false">IF(OR($D107="Blank",$D107="Exclude",$D107="Sample",$D107="",$G107="",$U107="",$L107=""),"",$G107*1000*$U107/100)</f>
        <v/>
      </c>
      <c r="AZ107" s="9" t="str">
        <f aca="false">IF($AY107="","",$L107)</f>
        <v/>
      </c>
      <c r="BA107" s="9" t="str">
        <f aca="false">IF(OR($D107="Blank",$D107="Exclude",$D107="Sample",$D107="",$G107="",$V107="",$P107=""),"",$G107*1000*$V107/100)</f>
        <v/>
      </c>
      <c r="BB107" s="9" t="str">
        <f aca="false">IF($BA107="","",$P107)</f>
        <v/>
      </c>
      <c r="BC107" s="9" t="str">
        <f aca="false">IF(AND($D107="Blank",$L107&lt;&gt;""),$O107,"")</f>
        <v/>
      </c>
      <c r="BD107" s="9" t="str">
        <f aca="false">IF($BC107="","",$L107)</f>
        <v/>
      </c>
      <c r="BE107" s="9" t="str">
        <f aca="false">IF(AND($D107="Blank",$P107&lt;&gt;""),$R107,"")</f>
        <v/>
      </c>
      <c r="BF107" s="9" t="str">
        <f aca="false">IF($BE107="","",$P107)</f>
        <v/>
      </c>
      <c r="BG107" s="9" t="str">
        <f aca="false">IF(AND($D107="Drift",$BX107&lt;&gt;1),IF($AA107="","",$AA107),"")</f>
        <v/>
      </c>
      <c r="BH107" s="9" t="str">
        <f aca="false">IF(AND($D107="Drift",$BY107&lt;&gt;1),IF($AF107="","",$AF107),"")</f>
        <v/>
      </c>
      <c r="BI107" s="20" t="str">
        <f aca="false">IF($B107="","",IFERROR(INDEX(Raw!$G$2:$G$1001,MATCH($A107&amp;"|N|"&amp;SUMPRODUCT(MAX((Raw!$A$2:$A$1001=$A107)*(Raw!$R$2:$R$1001="N")*(Raw!$I$2:$I$1001=1)*Raw!$D$2:$D$1001)),Raw!$S$2:$S$1001,0)),""))</f>
        <v/>
      </c>
      <c r="BJ107" s="21" t="str">
        <f aca="false">IF(OR($BI107="",Fits!$B$85&lt;=0),"",($BI107-Fits!$B$83)/Fits!$B$85)</f>
        <v/>
      </c>
      <c r="BK107" s="9" t="str">
        <f aca="false">IF($AS107="","",IF($A107&gt;=Fits!$B$86,"",$A107))</f>
        <v/>
      </c>
      <c r="BL107" s="9" t="str">
        <f aca="false">IF($BK107="","",$X107)</f>
        <v/>
      </c>
      <c r="BM107" s="9" t="str">
        <f aca="false">IF($AS107="","",IF($A107&lt;Fits!$B$86,"",$A107))</f>
        <v/>
      </c>
      <c r="BN107" s="9" t="str">
        <f aca="false">IF($BM107="","",$X107)</f>
        <v/>
      </c>
      <c r="BO107" s="9" t="str">
        <f aca="false">IF(AND($D107="Drift",$BX107&lt;&gt;1),IF($O107="","",$O107),"")</f>
        <v/>
      </c>
      <c r="BP107" s="9" t="str">
        <f aca="false">IF(AND($D107="Drift",$BX107&lt;&gt;1),IF($W107="","",$W107),"")</f>
        <v/>
      </c>
      <c r="BQ107" s="9" t="str">
        <f aca="false">IF(AND($D107="Drift",$BX107&lt;&gt;1),IF($X107="","",$X107),"")</f>
        <v/>
      </c>
      <c r="BR107" s="9" t="str">
        <f aca="false">IF(AND($D107="Drift",$BX107&lt;&gt;1),IF($Z107="","",$Z107),"")</f>
        <v/>
      </c>
      <c r="BS107" s="9" t="str">
        <f aca="false">IF(OR($B107="",$H107=""),"",SUMPRODUCT(MIN((Raw!$A$2:$A$1001=$A107)*(Raw!$R$2:$R$1001="N")*(Raw!$I$2:$I$1001=0)*(Raw!$D$2:$D$1001&lt;$H107)*Raw!$D$2:$D$1001+(1-(Raw!$A$2:$A$1001=$A107)*(Raw!$R$2:$R$1001="N")*(Raw!$I$2:$I$1001=0)*(Raw!$D$2:$D$1001&lt;$H107))*9999)))</f>
        <v/>
      </c>
      <c r="BT107" s="16" t="str">
        <f aca="false">IF(OR($BS107="",$BS107=9999,$BS107=0),"",IFERROR(INDEX(Raw!$N$2:$N$1001,MATCH($A107&amp;"|N|"&amp;$BS107,Raw!$S$2:$S$1001,0)),""))</f>
        <v/>
      </c>
      <c r="BU107" s="9" t="str">
        <f aca="false">IF($B107="","",SUMPRODUCT(MIN((Raw!$A$2:$A$1001=$A107)*(Raw!$R$2:$R$1001="C")*(Raw!$I$2:$I$1001=1)*Raw!$D$2:$D$1001+(1-(Raw!$A$2:$A$1001=$A107)*(Raw!$R$2:$R$1001="C")*(Raw!$I$2:$I$1001=1))*9999)))</f>
        <v/>
      </c>
      <c r="BV107" s="9" t="str">
        <f aca="false">IF(OR($BU107="",$BU107=9999),"",SUMPRODUCT(MIN((Raw!$A$2:$A$1001=$A107)*(Raw!$R$2:$R$1001="C")*(Raw!$I$2:$I$1001=0)*(Raw!$D$2:$D$1001&gt;$BU107)*Raw!$D$2:$D$1001+(1-(Raw!$A$2:$A$1001=$A107)*(Raw!$R$2:$R$1001="C")*(Raw!$I$2:$I$1001=0)*(Raw!$D$2:$D$1001&gt;$BU107))*9999)))</f>
        <v/>
      </c>
      <c r="BW107" s="16" t="str">
        <f aca="false">IF(OR($BV107="",$BV107=9999,$BV107=0),"",IFERROR(INDEX(Raw!$O$2:$O$1001,MATCH($A107&amp;"|C|"&amp;$BV107,Raw!$S$2:$S$1001,0)),""))</f>
        <v/>
      </c>
      <c r="BX107" s="9" t="str">
        <f aca="false">IF($B107="","",IF(ISNUMBER(SEARCH(","&amp;$A107&amp;",",","&amp;SUBSTITUTE(Setup!$B$16," ","")&amp;",")),1,0))</f>
        <v/>
      </c>
      <c r="BY107" s="9" t="str">
        <f aca="false">IF($B107="","",IF(ISNUMBER(SEARCH(","&amp;$A107&amp;",",","&amp;SUBSTITUTE(Setup!$B$17," ","")&amp;",")),1,0))</f>
        <v/>
      </c>
      <c r="BZ107" s="22" t="str">
        <f aca="false">IF($AS107="","",IF(Fits!$B$38="Row",$AQ107,IF($AR107="","",$AR107)))</f>
        <v/>
      </c>
      <c r="CA107" s="22" t="str">
        <f aca="false">IF($AT107="","",IF(Fits!$B$50="Row",$AQ107,IF($AR107="","",$AR107)))</f>
        <v/>
      </c>
      <c r="CB107" s="20" t="str">
        <f aca="false">IF(OR($D107&lt;&gt;"Drift",$X107="",$A107&lt;IF(Setup!$B$14="",0,Setup!$B$14),Fits!$B$107&lt;3,Fits!$B$110="",Fits!$B$109=0,IF(Fits!$B$38="Row",$AQ107,$AR107)=""),"",IF($BX107=1,IF(OR(Fits!$B$111="",Fits!$B$111=0),"",($X107-(IF(Fits!$B$38="Row",Fits!$B$32,Fits!$B$35)*IF(Fits!$B$38="Row",$AQ107,$AR107)+Fits!$B$110))/(Fits!$B$111*SQRT(1+(1/Fits!$B$107+(IF(Fits!$B$38="Row",$AQ107,$AR107)-Fits!$B$108)^2/Fits!$B$109)))),IF(OR(Fits!$B$107&lt;4,(1/Fits!$B$107+(IF(Fits!$B$38="Row",$AQ107,$AR107)-Fits!$B$108)^2/Fits!$B$109)&gt;=1),"",IF((Fits!$B$116-($X107-(IF(Fits!$B$38="Row",Fits!$B$32,Fits!$B$35)*IF(Fits!$B$38="Row",$AQ107,$AR107)+Fits!$B$110))^2/(1-(1/Fits!$B$107+(IF(Fits!$B$38="Row",$AQ107,$AR107)-Fits!$B$108)^2/Fits!$B$109)))&lt;=0,"",($X107-(IF(Fits!$B$38="Row",Fits!$B$32,Fits!$B$35)*IF(Fits!$B$38="Row",$AQ107,$AR107)+Fits!$B$110))/(SQRT((Fits!$B$116-($X107-(IF(Fits!$B$38="Row",Fits!$B$32,Fits!$B$35)*IF(Fits!$B$38="Row",$AQ107,$AR107)+Fits!$B$110))^2/(1-(1/Fits!$B$107+(IF(Fits!$B$38="Row",$AQ107,$AR107)-Fits!$B$108)^2/Fits!$B$109)))/(Fits!$B$107-3))*SQRT(1-(1/Fits!$B$107+(IF(Fits!$B$38="Row",$AQ107,$AR107)-Fits!$B$108)^2/Fits!$B$109)))))))</f>
        <v/>
      </c>
      <c r="CC107" s="20" t="str">
        <f aca="false">IF(OR($D107&lt;&gt;"Drift",$AC107="",$A107&lt;IF(Setup!$B$14="",0,Setup!$B$14),Fits!$B$120&lt;3,Fits!$B$123="",Fits!$B$122=0,IF(Fits!$B$50="Row",$AQ107,$AR107)=""),"",IF($BY107=1,IF(OR(Fits!$B$124="",Fits!$B$124=0),"",($AC107-(IF(Fits!$B$50="Row",Fits!$B$44,Fits!$B$47)*IF(Fits!$B$50="Row",$AQ107,$AR107)+Fits!$B$123))/(Fits!$B$124*SQRT(1+(1/Fits!$B$120+(IF(Fits!$B$50="Row",$AQ107,$AR107)-Fits!$B$121)^2/Fits!$B$122)))),IF(OR(Fits!$B$120&lt;4,(1/Fits!$B$120+(IF(Fits!$B$50="Row",$AQ107,$AR107)-Fits!$B$121)^2/Fits!$B$122)&gt;=1),"",IF((Fits!$B$129-($AC107-(IF(Fits!$B$50="Row",Fits!$B$44,Fits!$B$47)*IF(Fits!$B$50="Row",$AQ107,$AR107)+Fits!$B$123))^2/(1-(1/Fits!$B$120+(IF(Fits!$B$50="Row",$AQ107,$AR107)-Fits!$B$121)^2/Fits!$B$122)))&lt;=0,"",($AC107-(IF(Fits!$B$50="Row",Fits!$B$44,Fits!$B$47)*IF(Fits!$B$50="Row",$AQ107,$AR107)+Fits!$B$123))/(SQRT((Fits!$B$129-($AC107-(IF(Fits!$B$50="Row",Fits!$B$44,Fits!$B$47)*IF(Fits!$B$50="Row",$AQ107,$AR107)+Fits!$B$123))^2/(1-(1/Fits!$B$120+(IF(Fits!$B$50="Row",$AQ107,$AR107)-Fits!$B$121)^2/Fits!$B$122)))/(Fits!$B$120-3))*SQRT(1-(1/Fits!$B$120+(IF(Fits!$B$50="Row",$AQ107,$AR107)-Fits!$B$121)^2/Fits!$B$122)))))))</f>
        <v/>
      </c>
      <c r="CD107" s="9" t="str">
        <f aca="false">IF($AU107="","",1)</f>
        <v/>
      </c>
      <c r="CE107" s="24" t="str">
        <f aca="false">IF($AU107="","",$AU107-Fits!$B$133)</f>
        <v/>
      </c>
      <c r="CF107" s="24" t="str">
        <f aca="false">IF($AU107="","",($AV107-(Fits!$B$56*$AU107+Fits!$B$57))-Fits!$B$56*($AU107-Fits!$B$133))</f>
        <v/>
      </c>
      <c r="CG107" s="25" t="str">
        <f aca="false">IF($AU107="","",$AU107^2)</f>
        <v/>
      </c>
      <c r="CH107" s="9" t="str">
        <f aca="false">IF($AW107="","",1)</f>
        <v/>
      </c>
      <c r="CI107" s="24" t="str">
        <f aca="false">IF($AW107="","",$AW107-Fits!$B$153)</f>
        <v/>
      </c>
      <c r="CJ107" s="24" t="str">
        <f aca="false">IF($AW107="","",($AX107-(Fits!$B$63*$AW107+Fits!$B$64))-Fits!$B$63*($AW107-Fits!$B$153))</f>
        <v/>
      </c>
      <c r="CK107" s="25" t="str">
        <f aca="false">IF($AW107="","",$AW107^2)</f>
        <v/>
      </c>
      <c r="CL107" s="26" t="str">
        <f aca="false">IF(OR($Z107="",Fits!$B$55&lt;3,Fits!$B$133="",Fits!$B$134="",Fits!$B$134=0,Fits!$B$136=""),"",SQRT((Fits!$B$136*Fits!$B$56)^2+SUMPRODUCT((Fits!$J$163:$J$175*(Fits!$B$163:$B$175/Fits!$B$55+Fits!$H$163:$H$175*($Z107-Fits!$B$133)/Fits!$B$134))^2)+SUMPRODUCT((Fits!$G$163:$G$175*(($Z107-Fits!$B$133)*Fits!$I$163:$I$175/Fits!$B$134-Fits!$B$163:$B$175*Fits!$B$56/Fits!$B$55))^2)))</f>
        <v/>
      </c>
      <c r="CM107" s="26" t="str">
        <f aca="false">IF($CL107="","",Setup!$B$32*$CL107)</f>
        <v/>
      </c>
      <c r="CN107" s="26" t="str">
        <f aca="false">IF(OR($AE107="",Fits!$B$62&lt;3,Fits!$B$153="",Fits!$B$154="",Fits!$B$154=0,Fits!$B$156=""),"",SQRT((Fits!$B$156*Fits!$B$63)^2+SUMPRODUCT((Fits!$J$183:$J$195*(Fits!$B$183:$B$195/Fits!$B$62+Fits!$H$183:$H$195*($AE107-Fits!$B$153)/Fits!$B$154))^2)+SUMPRODUCT((Fits!$G$183:$G$195*(($AE107-Fits!$B$153)*Fits!$I$183:$I$195/Fits!$B$154-Fits!$B$183:$B$195*Fits!$B$63/Fits!$B$62))^2)))</f>
        <v/>
      </c>
      <c r="CO107" s="26" t="str">
        <f aca="false">IF($CN107="","",Setup!$B$32*$CN107)</f>
        <v/>
      </c>
      <c r="CP107" s="9" t="n">
        <f aca="false">IF(OR(NOT(ISNUMBER($BJ107)),$EK107=1),$CP106,IF($BJ107&lt;=Setup!$B$26,$CP106+1,0))</f>
        <v>26</v>
      </c>
      <c r="CQ107" s="9" t="str">
        <f aca="false">IF($BT107="","",$A107)</f>
        <v/>
      </c>
      <c r="CR107" s="9" t="str">
        <f aca="false">IF($BW107="","",$A107)</f>
        <v/>
      </c>
      <c r="CS107" s="9" t="str">
        <f aca="false">IF($B107="","",IF(Setup!$A$37="",0,IF(ISNUMBER(SEARCH(Setup!$A$37,$B107)),37,0)))</f>
        <v/>
      </c>
      <c r="CT107" s="9" t="str">
        <f aca="false">IF($B107="","",IF(Setup!$A$38="",0,IF(ISNUMBER(SEARCH(Setup!$A$38,$B107)),38,0)))</f>
        <v/>
      </c>
      <c r="CU107" s="9" t="str">
        <f aca="false">IF($B107="","",IF(Setup!$A$39="",0,IF(ISNUMBER(SEARCH(Setup!$A$39,$B107)),39,0)))</f>
        <v/>
      </c>
      <c r="CV107" s="9" t="str">
        <f aca="false">IF($B107="","",IF(Setup!$A$40="",0,IF(ISNUMBER(SEARCH(Setup!$A$40,$B107)),40,0)))</f>
        <v/>
      </c>
      <c r="CW107" s="9" t="str">
        <f aca="false">IF($B107="","",IF(Setup!$A$41="",0,IF(ISNUMBER(SEARCH(Setup!$A$41,$B107)),41,0)))</f>
        <v/>
      </c>
      <c r="CX107" s="9" t="str">
        <f aca="false">IF($B107="","",IF(Setup!$A$42="",0,IF(ISNUMBER(SEARCH(Setup!$A$42,$B107)),42,0)))</f>
        <v/>
      </c>
      <c r="CY107" s="9" t="str">
        <f aca="false">IF($B107="","",IF(Setup!$A$43="",0,IF(ISNUMBER(SEARCH(Setup!$A$43,$B107)),43,0)))</f>
        <v/>
      </c>
      <c r="CZ107" s="9" t="str">
        <f aca="false">IF($B107="","",IF(Setup!$A$44="",0,IF(ISNUMBER(SEARCH(Setup!$A$44,$B107)),44,0)))</f>
        <v/>
      </c>
      <c r="DA107" s="9" t="str">
        <f aca="false">IF($B107="","",IF(Setup!$A$45="",0,IF(ISNUMBER(SEARCH(Setup!$A$45,$B107)),45,0)))</f>
        <v/>
      </c>
      <c r="DB107" s="9" t="str">
        <f aca="false">IF($B107="","",IF(Setup!$A$46="",0,IF(ISNUMBER(SEARCH(Setup!$A$46,$B107)),46,0)))</f>
        <v/>
      </c>
      <c r="DC107" s="9" t="str">
        <f aca="false">IF($B107="","",IF(Setup!$A$47="",0,IF(ISNUMBER(SEARCH(Setup!$A$47,$B107)),47,0)))</f>
        <v/>
      </c>
      <c r="DD107" s="9" t="str">
        <f aca="false">IF($B107="","",IF(Setup!$A$48="",0,IF(ISNUMBER(SEARCH(Setup!$A$48,$B107)),48,0)))</f>
        <v/>
      </c>
      <c r="DE107" s="9" t="str">
        <f aca="false">IF($B107="","",IF(Setup!$A$49="",0,IF(ISNUMBER(SEARCH(Setup!$A$49,$B107)),49,0)))</f>
        <v/>
      </c>
      <c r="DF107" s="9" t="e">
        <f aca="false">IF($B107="",NA(),$A107)</f>
        <v>#N/A</v>
      </c>
      <c r="DG107" s="9" t="e">
        <f aca="false">IF($BI107="",NA(),$BI107)</f>
        <v>#N/A</v>
      </c>
      <c r="DH107" s="9" t="e">
        <f aca="false">IF($N107="",NA(),$N107)</f>
        <v>#N/A</v>
      </c>
      <c r="DI107" s="9" t="e">
        <f aca="false">IF(AND($D107="Drift",$N107&lt;&gt;""),$N107,NA())</f>
        <v>#N/A</v>
      </c>
      <c r="DJ107" s="9" t="str">
        <f aca="false">IF(AND($D107="Drift",$N107&lt;&gt;""),$N107,"")</f>
        <v/>
      </c>
      <c r="DK107" s="9" t="str">
        <f aca="false">IF($DJ107="","",$A107)</f>
        <v/>
      </c>
      <c r="DL107" s="9" t="e">
        <f aca="false">IF($AN107="",NA(),$AM107)</f>
        <v>#N/A</v>
      </c>
      <c r="DM107" s="9" t="e">
        <f aca="false">IF($AN107="",NA(),$AN107)</f>
        <v>#N/A</v>
      </c>
      <c r="DN107" s="9" t="e">
        <f aca="false">IF(AND($D107="Sample",$L107&lt;&gt;""),$L107,NA())</f>
        <v>#N/A</v>
      </c>
      <c r="DO107" s="9" t="e">
        <f aca="false">IF(AND($D107="Sample",$L107&lt;&gt;"",Fits!$B$98&lt;&gt;""),Fits!$B$98,NA())</f>
        <v>#N/A</v>
      </c>
      <c r="DP107" s="9" t="e">
        <f aca="false">IF($AS107="",NA(),$AS107)</f>
        <v>#N/A</v>
      </c>
      <c r="DQ107" s="9" t="e">
        <f aca="false">IF(AND($D107="Drift",$AS107="",$X107&lt;&gt;""),$X107,NA())</f>
        <v>#N/A</v>
      </c>
      <c r="DR107" s="9" t="e">
        <f aca="false">IF(AND($D107="Drift",$Z107&lt;&gt;""),$Z107,NA())</f>
        <v>#N/A</v>
      </c>
      <c r="DS107" s="9" t="e">
        <f aca="false">IF(AND(OR($D107="Sample",$D107="Check"),$AA107&lt;&gt;""),$AA107,NA())</f>
        <v>#N/A</v>
      </c>
      <c r="DT107" s="9" t="e">
        <f aca="false">IF(OR($B107="",Fits!$B$138=""),NA(),Fits!$B$138)</f>
        <v>#N/A</v>
      </c>
      <c r="DU107" s="9" t="e">
        <f aca="false">IF(OR($B107="",Fits!$B$139=""),NA(),Fits!$B$139)</f>
        <v>#N/A</v>
      </c>
      <c r="DV107" s="9" t="e">
        <f aca="false">IF($BT107="",NA(),$BT107)</f>
        <v>#N/A</v>
      </c>
      <c r="DW107" s="9" t="e">
        <f aca="false">IF($AP107="",NA(),$AO107)</f>
        <v>#N/A</v>
      </c>
      <c r="DX107" s="9" t="e">
        <f aca="false">IF($AP107="",NA(),$AP107)</f>
        <v>#N/A</v>
      </c>
      <c r="DY107" s="9" t="e">
        <f aca="false">IF(AND($D107="Sample",$P107&lt;&gt;""),$P107,NA())</f>
        <v>#N/A</v>
      </c>
      <c r="DZ107" s="9" t="e">
        <f aca="false">IF(AND($D107="Sample",$P107&lt;&gt;"",Fits!$B$105&lt;&gt;""),Fits!$B$105,NA())</f>
        <v>#N/A</v>
      </c>
      <c r="EA107" s="9" t="e">
        <f aca="false">IF($AT107="",NA(),$AT107)</f>
        <v>#N/A</v>
      </c>
      <c r="EB107" s="9" t="e">
        <f aca="false">IF(AND($D107="Drift",$AT107="",$AC107&lt;&gt;""),$AC107,NA())</f>
        <v>#N/A</v>
      </c>
      <c r="EC107" s="9" t="e">
        <f aca="false">IF(AND($D107="Drift",$AE107&lt;&gt;""),$AE107,NA())</f>
        <v>#N/A</v>
      </c>
      <c r="ED107" s="9" t="e">
        <f aca="false">IF(AND(OR($D107="Sample",$D107="Check"),$AF107&lt;&gt;""),$AF107,NA())</f>
        <v>#N/A</v>
      </c>
      <c r="EE107" s="9" t="e">
        <f aca="false">IF(OR($B107="",Fits!$B$158=""),NA(),Fits!$B$158)</f>
        <v>#N/A</v>
      </c>
      <c r="EF107" s="9" t="e">
        <f aca="false">IF(OR($B107="",Fits!$B$159=""),NA(),Fits!$B$159)</f>
        <v>#N/A</v>
      </c>
      <c r="EG107" s="9" t="e">
        <f aca="false">IF($BW107="",NA(),$BW107)</f>
        <v>#N/A</v>
      </c>
      <c r="EH107" s="9" t="e">
        <f aca="false">IF(AND($EN107=1,ISNUMBER($N107)),$N107,NA())</f>
        <v>#N/A</v>
      </c>
      <c r="EI107" s="9" t="str">
        <f aca="false">IF($B107="","",$A107)</f>
        <v/>
      </c>
      <c r="EJ107" s="9" t="n">
        <f aca="false">IF(OR(AND(ISNUMBER($L107),Fits!$B$97&gt;0,$L107&gt;Fits!$B$97),AND(ISNUMBER($P107),Fits!$B$104&gt;0,$P107&gt;Fits!$B$104)),1,0)</f>
        <v>0</v>
      </c>
      <c r="EK107" s="9" t="n">
        <f aca="false">IF(OR($EJ106=1,$EJ105=1),1,0)</f>
        <v>0</v>
      </c>
      <c r="EL107" s="22" t="n">
        <f aca="false">IF(AND($EK107=0,ISNUMBER($N107)),$N107,$EL106)</f>
        <v>25.7</v>
      </c>
      <c r="EM107" s="9" t="str">
        <f aca="false">IF(AND($EK107=1,ISNUMBER($N107),ISNUMBER($EL107)),$N107-$EL107,"")</f>
        <v/>
      </c>
      <c r="EN107" s="9" t="n">
        <f aca="false">IF(Setup!$B$28="",0,IF(ISNUMBER($EM107),IF($EM107&gt;Setup!$B$28,1,0),0))</f>
        <v>0</v>
      </c>
      <c r="EO107" s="9" t="str">
        <f aca="false">IF($EN107=1,COUNTIF($EN$6:$EN107,1),"")</f>
        <v/>
      </c>
      <c r="EP107" s="9" t="n">
        <f aca="false">IF(AND($EJ106=1,OR($D107="Sample",$D107="Check")),1,0)</f>
        <v>0</v>
      </c>
      <c r="EQ107" s="9" t="str">
        <f aca="false">IF(ISNUMBER($BI107),IF(COUNT($BI$6:$BI107)&lt;=5,$BI107,""),"")</f>
        <v/>
      </c>
      <c r="ER107" s="9" t="n">
        <f aca="false">IF(OR(NOT(ISNUMBER($BJ107)),$EK107=1),$ER106,IF($BJ107&lt;=Setup!$B$26,IF($CP106=0,$A107,$ER106),""))</f>
        <v>27</v>
      </c>
    </row>
    <row r="108" customFormat="false" ht="15" hidden="false" customHeight="false" outlineLevel="0" collapsed="false">
      <c r="A108" s="8" t="n">
        <v>103</v>
      </c>
      <c r="B108" s="8" t="str">
        <f aca="false">IFERROR(INDEX(Raw!$B$2:$B$1001,MATCH($A108,Raw!$A$2:$A$1001,0)),"")</f>
        <v/>
      </c>
      <c r="C108" s="9" t="str">
        <f aca="false">IF($B108="","",MAX($CS108:$DE108))</f>
        <v/>
      </c>
      <c r="D108" s="8" t="str">
        <f aca="false">IF($B108="","",IF($C108=0,"Sample",INDEX(Setup!$B$37:$B$49,$C108-36)))</f>
        <v/>
      </c>
      <c r="E108" s="16" t="str">
        <f aca="false">IF($B108="","",IFERROR(IF(INDEX(Raw!$E$2:$E$1001,MATCH($A108,Raw!$A$2:$A$1001,0))=0,"",INDEX(Raw!$E$2:$E$1001,MATCH($A108,Raw!$A$2:$A$1001,0))),""))</f>
        <v/>
      </c>
      <c r="F108" s="18"/>
      <c r="G108" s="16" t="str">
        <f aca="false">IF($B108="","",IF($F108&lt;&gt;"",$F108,IF($E108="","",$E108)))</f>
        <v/>
      </c>
      <c r="H108" s="9" t="str">
        <f aca="false">IF($B108="","",SUMPRODUCT(MAX((Raw!$A$2:$A$1001=$A108)*(Raw!$R$2:$R$1001="N")*Raw!$D$2:$D$1001)))</f>
        <v/>
      </c>
      <c r="I108" s="9" t="str">
        <f aca="false">IF(OR($H108="",$H108=0),"",$A108&amp;"|N|"&amp;$H108)</f>
        <v/>
      </c>
      <c r="J108" s="9" t="str">
        <f aca="false">IF($B108="","",SUMPRODUCT(MIN((Raw!$A$2:$A$1001=$A108)*(Raw!$R$2:$R$1001="C")*Raw!$D$2:$D$1001+(1-(Raw!$A$2:$A$1001=$A108)*(Raw!$R$2:$R$1001="C"))*9999)))</f>
        <v/>
      </c>
      <c r="K108" s="9" t="str">
        <f aca="false">IF(OR($J108="",$J108=0,$J108=9999),"",$A108&amp;"|C|"&amp;$J108)</f>
        <v/>
      </c>
      <c r="L108" s="16" t="str">
        <f aca="false">IF($I108="","",IF(INDEX(Raw!$I$2:$I$1001,MATCH($I108,Raw!$S$2:$S$1001,0))&lt;&gt;0,"",INDEX(Raw!$H$2:$H$1001,MATCH($I108,Raw!$S$2:$S$1001,0))))</f>
        <v/>
      </c>
      <c r="M108" s="19" t="str">
        <f aca="false">IF($I108="","",IF(INDEX(Raw!$I$2:$I$1001,MATCH($I108,Raw!$S$2:$S$1001,0))&lt;&gt;0,"",INDEX(Raw!$F$2:$F$1001,MATCH($I108,Raw!$S$2:$S$1001,0))))</f>
        <v/>
      </c>
      <c r="N108" s="20" t="str">
        <f aca="false">IF($I108="","",IF(INDEX(Raw!$I$2:$I$1001,MATCH($I108,Raw!$S$2:$S$1001,0))&lt;&gt;0,"",INDEX(Raw!$G$2:$G$1001,MATCH($I108,Raw!$S$2:$S$1001,0))))</f>
        <v/>
      </c>
      <c r="O108" s="16" t="str">
        <f aca="false">IF($I108="","",IF(INDEX(Raw!$I$2:$I$1001,MATCH($I108,Raw!$S$2:$S$1001,0))&lt;&gt;0,"",INDEX(Raw!$N$2:$N$1001,MATCH($I108,Raw!$S$2:$S$1001,0))))</f>
        <v/>
      </c>
      <c r="P108" s="16" t="str">
        <f aca="false">IF($K108="","",IF(INDEX(Raw!$I$2:$I$1001,MATCH($K108,Raw!$S$2:$S$1001,0))&lt;&gt;0,"",INDEX(Raw!$K$2:$K$1001,MATCH($K108,Raw!$S$2:$S$1001,0))))</f>
        <v/>
      </c>
      <c r="Q108" s="19" t="str">
        <f aca="false">IF($K108="","",IF(INDEX(Raw!$I$2:$I$1001,MATCH($K108,Raw!$S$2:$S$1001,0))&lt;&gt;0,"",INDEX(Raw!$J$2:$J$1001,MATCH($K108,Raw!$S$2:$S$1001,0))))</f>
        <v/>
      </c>
      <c r="R108" s="16" t="str">
        <f aca="false">IF($K108="","",IF(INDEX(Raw!$I$2:$I$1001,MATCH($K108,Raw!$S$2:$S$1001,0))&lt;&gt;0,"",INDEX(Raw!$O$2:$O$1001,MATCH($K108,Raw!$S$2:$S$1001,0))))</f>
        <v/>
      </c>
      <c r="S108" s="21" t="str">
        <f aca="false">IF($B108="","",IF($C108=0,"",IF(INDEX(Setup!$D$37:$D$49,$C108-36)="","",INDEX(Setup!$D$37:$D$49,$C108-36))))</f>
        <v/>
      </c>
      <c r="T108" s="21" t="str">
        <f aca="false">IF($B108="","",IF($C108=0,"",IF(INDEX(Setup!$C$37:$C$49,$C108-36)="","",INDEX(Setup!$C$37:$C$49,$C108-36))))</f>
        <v/>
      </c>
      <c r="U108" s="21" t="str">
        <f aca="false">IF($B108="","",IF($C108=0,"",IF(INDEX(Setup!$F$37:$F$49,$C108-36)="","",INDEX(Setup!$F$37:$F$49,$C108-36))))</f>
        <v/>
      </c>
      <c r="V108" s="21" t="str">
        <f aca="false">IF($B108="","",IF($C108=0,"",IF(INDEX(Setup!$E$37:$E$49,$C108-36)="","",INDEX(Setup!$E$37:$E$49,$C108-36))))</f>
        <v/>
      </c>
      <c r="W108" s="16" t="str">
        <f aca="false">IF($O108="","",IF(OR(Fits!$C$5&lt;&gt;"Yes",$D108="Blank",$L108&lt;=Fits!$B$6),$O108,($L108*$O108-Fits!$B$6*Fits!$B$7)/($L108-Fits!$B$6)))</f>
        <v/>
      </c>
      <c r="X108" s="16" t="str">
        <f aca="false">IF($W108="","",$W108-Fits!$B$20*($L108-Fits!$B$16))</f>
        <v/>
      </c>
      <c r="Y108" s="22" t="str">
        <f aca="false">IF($W108="","",IF(OR(Fits!$B$38="Row",$BI108=""),$A108,$BI108))</f>
        <v/>
      </c>
      <c r="Z108" s="16" t="str">
        <f aca="false">IF($X108="","",$X108-Fits!$B$39*($Y108-Fits!$B$40))</f>
        <v/>
      </c>
      <c r="AA108" s="23" t="str">
        <f aca="false">IF(OR($Z108="",Fits!$B$55&lt;2),"",Fits!$B$56*$Z108+Fits!$B$57)</f>
        <v/>
      </c>
      <c r="AB108" s="16" t="str">
        <f aca="false">IF($R108="","",IF(OR(Fits!$C$9&lt;&gt;"Yes",$D108="Blank",$P108&lt;=Fits!$B$10),$R108,($P108*$R108-Fits!$B$10*Fits!$B$11)/($P108-Fits!$B$10)))</f>
        <v/>
      </c>
      <c r="AC108" s="16" t="str">
        <f aca="false">IF($AB108="","",$AB108-Fits!$B$28*($P108-Fits!$B$24))</f>
        <v/>
      </c>
      <c r="AD108" s="22" t="str">
        <f aca="false">IF($AB108="","",IF(OR(Fits!$B$50="Row",$BI108=""),$A108,$BI108))</f>
        <v/>
      </c>
      <c r="AE108" s="16" t="str">
        <f aca="false">IF($AC108="","",$AC108-Fits!$B$51*($AD108-Fits!$B$52))</f>
        <v/>
      </c>
      <c r="AF108" s="23" t="str">
        <f aca="false">IF(OR($AE108="",Fits!$B$62&lt;2),"",Fits!$B$63*$AE108+Fits!$B$64)</f>
        <v/>
      </c>
      <c r="AG108" s="21" t="str">
        <f aca="false">IF(OR($L108="",Fits!$B$69&lt;3),"",($L108-Fits!$B$71)/Fits!$B$70)</f>
        <v/>
      </c>
      <c r="AH108" s="21" t="str">
        <f aca="false">IF(OR($P108="",Fits!$B$75&lt;3),"",($P108-Fits!$B$77)/Fits!$B$76)</f>
        <v/>
      </c>
      <c r="AI108" s="23" t="str">
        <f aca="false">IF(OR($AG108="",$G108="",$G108=0),"",$AG108/($G108*1000)*100)</f>
        <v/>
      </c>
      <c r="AJ108" s="23" t="str">
        <f aca="false">IF(OR($AH108="",$G108="",$G108=0),"",$AH108/($G108*1000)*100)</f>
        <v/>
      </c>
      <c r="AK108" s="23" t="str">
        <f aca="false">IF(OR($AG108="",$AH108="",$AG108&lt;=0),"",($AH108/Setup!$B$52)/($AG108/Setup!$B$53))</f>
        <v/>
      </c>
      <c r="AL108" s="23" t="str">
        <f aca="false">IF(OR($AG108="",$AH108="",$AG108&lt;=0),"",$AH108/$AG108)</f>
        <v/>
      </c>
      <c r="AM108" s="9" t="str">
        <f aca="false">IF($D108="Linearity",IF($L108="","",$L108),"")</f>
        <v/>
      </c>
      <c r="AN108" s="9" t="str">
        <f aca="false">IF($D108="Linearity",IF($W108="","",$W108),"")</f>
        <v/>
      </c>
      <c r="AO108" s="9" t="str">
        <f aca="false">IF($D108="Linearity",IF($P108="","",$P108),"")</f>
        <v/>
      </c>
      <c r="AP108" s="9" t="str">
        <f aca="false">IF($D108="Linearity",IF($AB108="","",$AB108),"")</f>
        <v/>
      </c>
      <c r="AQ108" s="9" t="str">
        <f aca="false">IF($D108="Drift",IF($A108&lt;IF(Setup!$B$14="",0,Setup!$B$14),"",$A108),"")</f>
        <v/>
      </c>
      <c r="AR108" s="9" t="str">
        <f aca="false">IF($D108="Drift",IF($A108&lt;IF(Setup!$B$14="",0,Setup!$B$14),"",IF($BI108="","",$BI108)),"")</f>
        <v/>
      </c>
      <c r="AS108" s="9" t="str">
        <f aca="false">IF($D108="Drift",IF($A108&lt;IF(Setup!$B$14="",0,Setup!$B$14),"",IF(OR($X108="",$BX108=1),"",$X108)),"")</f>
        <v/>
      </c>
      <c r="AT108" s="9" t="str">
        <f aca="false">IF($D108="Drift",IF($A108&lt;IF(Setup!$B$14="",0,Setup!$B$14),"",IF(OR($AC108="",$BY108=1),"",$AC108)),"")</f>
        <v/>
      </c>
      <c r="AU108" s="9" t="str">
        <f aca="false">IF($D108="Anchor",IF(OR($Z108="",$S108=""),"",$Z108),"")</f>
        <v/>
      </c>
      <c r="AV108" s="9" t="str">
        <f aca="false">IF($D108="Anchor",IF(OR($Z108="",$S108=""),"",$S108),"")</f>
        <v/>
      </c>
      <c r="AW108" s="9" t="str">
        <f aca="false">IF($D108="Anchor",IF(OR($AE108="",$T108=""),"",$AE108),"")</f>
        <v/>
      </c>
      <c r="AX108" s="9" t="str">
        <f aca="false">IF($D108="Anchor",IF(OR($AE108="",$T108=""),"",$T108),"")</f>
        <v/>
      </c>
      <c r="AY108" s="9" t="str">
        <f aca="false">IF(OR($D108="Blank",$D108="Exclude",$D108="Sample",$D108="",$G108="",$U108="",$L108=""),"",$G108*1000*$U108/100)</f>
        <v/>
      </c>
      <c r="AZ108" s="9" t="str">
        <f aca="false">IF($AY108="","",$L108)</f>
        <v/>
      </c>
      <c r="BA108" s="9" t="str">
        <f aca="false">IF(OR($D108="Blank",$D108="Exclude",$D108="Sample",$D108="",$G108="",$V108="",$P108=""),"",$G108*1000*$V108/100)</f>
        <v/>
      </c>
      <c r="BB108" s="9" t="str">
        <f aca="false">IF($BA108="","",$P108)</f>
        <v/>
      </c>
      <c r="BC108" s="9" t="str">
        <f aca="false">IF(AND($D108="Blank",$L108&lt;&gt;""),$O108,"")</f>
        <v/>
      </c>
      <c r="BD108" s="9" t="str">
        <f aca="false">IF($BC108="","",$L108)</f>
        <v/>
      </c>
      <c r="BE108" s="9" t="str">
        <f aca="false">IF(AND($D108="Blank",$P108&lt;&gt;""),$R108,"")</f>
        <v/>
      </c>
      <c r="BF108" s="9" t="str">
        <f aca="false">IF($BE108="","",$P108)</f>
        <v/>
      </c>
      <c r="BG108" s="9" t="str">
        <f aca="false">IF(AND($D108="Drift",$BX108&lt;&gt;1),IF($AA108="","",$AA108),"")</f>
        <v/>
      </c>
      <c r="BH108" s="9" t="str">
        <f aca="false">IF(AND($D108="Drift",$BY108&lt;&gt;1),IF($AF108="","",$AF108),"")</f>
        <v/>
      </c>
      <c r="BI108" s="20" t="str">
        <f aca="false">IF($B108="","",IFERROR(INDEX(Raw!$G$2:$G$1001,MATCH($A108&amp;"|N|"&amp;SUMPRODUCT(MAX((Raw!$A$2:$A$1001=$A108)*(Raw!$R$2:$R$1001="N")*(Raw!$I$2:$I$1001=1)*Raw!$D$2:$D$1001)),Raw!$S$2:$S$1001,0)),""))</f>
        <v/>
      </c>
      <c r="BJ108" s="21" t="str">
        <f aca="false">IF(OR($BI108="",Fits!$B$85&lt;=0),"",($BI108-Fits!$B$83)/Fits!$B$85)</f>
        <v/>
      </c>
      <c r="BK108" s="9" t="str">
        <f aca="false">IF($AS108="","",IF($A108&gt;=Fits!$B$86,"",$A108))</f>
        <v/>
      </c>
      <c r="BL108" s="9" t="str">
        <f aca="false">IF($BK108="","",$X108)</f>
        <v/>
      </c>
      <c r="BM108" s="9" t="str">
        <f aca="false">IF($AS108="","",IF($A108&lt;Fits!$B$86,"",$A108))</f>
        <v/>
      </c>
      <c r="BN108" s="9" t="str">
        <f aca="false">IF($BM108="","",$X108)</f>
        <v/>
      </c>
      <c r="BO108" s="9" t="str">
        <f aca="false">IF(AND($D108="Drift",$BX108&lt;&gt;1),IF($O108="","",$O108),"")</f>
        <v/>
      </c>
      <c r="BP108" s="9" t="str">
        <f aca="false">IF(AND($D108="Drift",$BX108&lt;&gt;1),IF($W108="","",$W108),"")</f>
        <v/>
      </c>
      <c r="BQ108" s="9" t="str">
        <f aca="false">IF(AND($D108="Drift",$BX108&lt;&gt;1),IF($X108="","",$X108),"")</f>
        <v/>
      </c>
      <c r="BR108" s="9" t="str">
        <f aca="false">IF(AND($D108="Drift",$BX108&lt;&gt;1),IF($Z108="","",$Z108),"")</f>
        <v/>
      </c>
      <c r="BS108" s="9" t="str">
        <f aca="false">IF(OR($B108="",$H108=""),"",SUMPRODUCT(MIN((Raw!$A$2:$A$1001=$A108)*(Raw!$R$2:$R$1001="N")*(Raw!$I$2:$I$1001=0)*(Raw!$D$2:$D$1001&lt;$H108)*Raw!$D$2:$D$1001+(1-(Raw!$A$2:$A$1001=$A108)*(Raw!$R$2:$R$1001="N")*(Raw!$I$2:$I$1001=0)*(Raw!$D$2:$D$1001&lt;$H108))*9999)))</f>
        <v/>
      </c>
      <c r="BT108" s="16" t="str">
        <f aca="false">IF(OR($BS108="",$BS108=9999,$BS108=0),"",IFERROR(INDEX(Raw!$N$2:$N$1001,MATCH($A108&amp;"|N|"&amp;$BS108,Raw!$S$2:$S$1001,0)),""))</f>
        <v/>
      </c>
      <c r="BU108" s="9" t="str">
        <f aca="false">IF($B108="","",SUMPRODUCT(MIN((Raw!$A$2:$A$1001=$A108)*(Raw!$R$2:$R$1001="C")*(Raw!$I$2:$I$1001=1)*Raw!$D$2:$D$1001+(1-(Raw!$A$2:$A$1001=$A108)*(Raw!$R$2:$R$1001="C")*(Raw!$I$2:$I$1001=1))*9999)))</f>
        <v/>
      </c>
      <c r="BV108" s="9" t="str">
        <f aca="false">IF(OR($BU108="",$BU108=9999),"",SUMPRODUCT(MIN((Raw!$A$2:$A$1001=$A108)*(Raw!$R$2:$R$1001="C")*(Raw!$I$2:$I$1001=0)*(Raw!$D$2:$D$1001&gt;$BU108)*Raw!$D$2:$D$1001+(1-(Raw!$A$2:$A$1001=$A108)*(Raw!$R$2:$R$1001="C")*(Raw!$I$2:$I$1001=0)*(Raw!$D$2:$D$1001&gt;$BU108))*9999)))</f>
        <v/>
      </c>
      <c r="BW108" s="16" t="str">
        <f aca="false">IF(OR($BV108="",$BV108=9999,$BV108=0),"",IFERROR(INDEX(Raw!$O$2:$O$1001,MATCH($A108&amp;"|C|"&amp;$BV108,Raw!$S$2:$S$1001,0)),""))</f>
        <v/>
      </c>
      <c r="BX108" s="9" t="str">
        <f aca="false">IF($B108="","",IF(ISNUMBER(SEARCH(","&amp;$A108&amp;",",","&amp;SUBSTITUTE(Setup!$B$16," ","")&amp;",")),1,0))</f>
        <v/>
      </c>
      <c r="BY108" s="9" t="str">
        <f aca="false">IF($B108="","",IF(ISNUMBER(SEARCH(","&amp;$A108&amp;",",","&amp;SUBSTITUTE(Setup!$B$17," ","")&amp;",")),1,0))</f>
        <v/>
      </c>
      <c r="BZ108" s="22" t="str">
        <f aca="false">IF($AS108="","",IF(Fits!$B$38="Row",$AQ108,IF($AR108="","",$AR108)))</f>
        <v/>
      </c>
      <c r="CA108" s="22" t="str">
        <f aca="false">IF($AT108="","",IF(Fits!$B$50="Row",$AQ108,IF($AR108="","",$AR108)))</f>
        <v/>
      </c>
      <c r="CB108" s="20" t="str">
        <f aca="false">IF(OR($D108&lt;&gt;"Drift",$X108="",$A108&lt;IF(Setup!$B$14="",0,Setup!$B$14),Fits!$B$107&lt;3,Fits!$B$110="",Fits!$B$109=0,IF(Fits!$B$38="Row",$AQ108,$AR108)=""),"",IF($BX108=1,IF(OR(Fits!$B$111="",Fits!$B$111=0),"",($X108-(IF(Fits!$B$38="Row",Fits!$B$32,Fits!$B$35)*IF(Fits!$B$38="Row",$AQ108,$AR108)+Fits!$B$110))/(Fits!$B$111*SQRT(1+(1/Fits!$B$107+(IF(Fits!$B$38="Row",$AQ108,$AR108)-Fits!$B$108)^2/Fits!$B$109)))),IF(OR(Fits!$B$107&lt;4,(1/Fits!$B$107+(IF(Fits!$B$38="Row",$AQ108,$AR108)-Fits!$B$108)^2/Fits!$B$109)&gt;=1),"",IF((Fits!$B$116-($X108-(IF(Fits!$B$38="Row",Fits!$B$32,Fits!$B$35)*IF(Fits!$B$38="Row",$AQ108,$AR108)+Fits!$B$110))^2/(1-(1/Fits!$B$107+(IF(Fits!$B$38="Row",$AQ108,$AR108)-Fits!$B$108)^2/Fits!$B$109)))&lt;=0,"",($X108-(IF(Fits!$B$38="Row",Fits!$B$32,Fits!$B$35)*IF(Fits!$B$38="Row",$AQ108,$AR108)+Fits!$B$110))/(SQRT((Fits!$B$116-($X108-(IF(Fits!$B$38="Row",Fits!$B$32,Fits!$B$35)*IF(Fits!$B$38="Row",$AQ108,$AR108)+Fits!$B$110))^2/(1-(1/Fits!$B$107+(IF(Fits!$B$38="Row",$AQ108,$AR108)-Fits!$B$108)^2/Fits!$B$109)))/(Fits!$B$107-3))*SQRT(1-(1/Fits!$B$107+(IF(Fits!$B$38="Row",$AQ108,$AR108)-Fits!$B$108)^2/Fits!$B$109)))))))</f>
        <v/>
      </c>
      <c r="CC108" s="20" t="str">
        <f aca="false">IF(OR($D108&lt;&gt;"Drift",$AC108="",$A108&lt;IF(Setup!$B$14="",0,Setup!$B$14),Fits!$B$120&lt;3,Fits!$B$123="",Fits!$B$122=0,IF(Fits!$B$50="Row",$AQ108,$AR108)=""),"",IF($BY108=1,IF(OR(Fits!$B$124="",Fits!$B$124=0),"",($AC108-(IF(Fits!$B$50="Row",Fits!$B$44,Fits!$B$47)*IF(Fits!$B$50="Row",$AQ108,$AR108)+Fits!$B$123))/(Fits!$B$124*SQRT(1+(1/Fits!$B$120+(IF(Fits!$B$50="Row",$AQ108,$AR108)-Fits!$B$121)^2/Fits!$B$122)))),IF(OR(Fits!$B$120&lt;4,(1/Fits!$B$120+(IF(Fits!$B$50="Row",$AQ108,$AR108)-Fits!$B$121)^2/Fits!$B$122)&gt;=1),"",IF((Fits!$B$129-($AC108-(IF(Fits!$B$50="Row",Fits!$B$44,Fits!$B$47)*IF(Fits!$B$50="Row",$AQ108,$AR108)+Fits!$B$123))^2/(1-(1/Fits!$B$120+(IF(Fits!$B$50="Row",$AQ108,$AR108)-Fits!$B$121)^2/Fits!$B$122)))&lt;=0,"",($AC108-(IF(Fits!$B$50="Row",Fits!$B$44,Fits!$B$47)*IF(Fits!$B$50="Row",$AQ108,$AR108)+Fits!$B$123))/(SQRT((Fits!$B$129-($AC108-(IF(Fits!$B$50="Row",Fits!$B$44,Fits!$B$47)*IF(Fits!$B$50="Row",$AQ108,$AR108)+Fits!$B$123))^2/(1-(1/Fits!$B$120+(IF(Fits!$B$50="Row",$AQ108,$AR108)-Fits!$B$121)^2/Fits!$B$122)))/(Fits!$B$120-3))*SQRT(1-(1/Fits!$B$120+(IF(Fits!$B$50="Row",$AQ108,$AR108)-Fits!$B$121)^2/Fits!$B$122)))))))</f>
        <v/>
      </c>
      <c r="CD108" s="9" t="str">
        <f aca="false">IF($AU108="","",1)</f>
        <v/>
      </c>
      <c r="CE108" s="24" t="str">
        <f aca="false">IF($AU108="","",$AU108-Fits!$B$133)</f>
        <v/>
      </c>
      <c r="CF108" s="24" t="str">
        <f aca="false">IF($AU108="","",($AV108-(Fits!$B$56*$AU108+Fits!$B$57))-Fits!$B$56*($AU108-Fits!$B$133))</f>
        <v/>
      </c>
      <c r="CG108" s="25" t="str">
        <f aca="false">IF($AU108="","",$AU108^2)</f>
        <v/>
      </c>
      <c r="CH108" s="9" t="str">
        <f aca="false">IF($AW108="","",1)</f>
        <v/>
      </c>
      <c r="CI108" s="24" t="str">
        <f aca="false">IF($AW108="","",$AW108-Fits!$B$153)</f>
        <v/>
      </c>
      <c r="CJ108" s="24" t="str">
        <f aca="false">IF($AW108="","",($AX108-(Fits!$B$63*$AW108+Fits!$B$64))-Fits!$B$63*($AW108-Fits!$B$153))</f>
        <v/>
      </c>
      <c r="CK108" s="25" t="str">
        <f aca="false">IF($AW108="","",$AW108^2)</f>
        <v/>
      </c>
      <c r="CL108" s="26" t="str">
        <f aca="false">IF(OR($Z108="",Fits!$B$55&lt;3,Fits!$B$133="",Fits!$B$134="",Fits!$B$134=0,Fits!$B$136=""),"",SQRT((Fits!$B$136*Fits!$B$56)^2+SUMPRODUCT((Fits!$J$163:$J$175*(Fits!$B$163:$B$175/Fits!$B$55+Fits!$H$163:$H$175*($Z108-Fits!$B$133)/Fits!$B$134))^2)+SUMPRODUCT((Fits!$G$163:$G$175*(($Z108-Fits!$B$133)*Fits!$I$163:$I$175/Fits!$B$134-Fits!$B$163:$B$175*Fits!$B$56/Fits!$B$55))^2)))</f>
        <v/>
      </c>
      <c r="CM108" s="26" t="str">
        <f aca="false">IF($CL108="","",Setup!$B$32*$CL108)</f>
        <v/>
      </c>
      <c r="CN108" s="26" t="str">
        <f aca="false">IF(OR($AE108="",Fits!$B$62&lt;3,Fits!$B$153="",Fits!$B$154="",Fits!$B$154=0,Fits!$B$156=""),"",SQRT((Fits!$B$156*Fits!$B$63)^2+SUMPRODUCT((Fits!$J$183:$J$195*(Fits!$B$183:$B$195/Fits!$B$62+Fits!$H$183:$H$195*($AE108-Fits!$B$153)/Fits!$B$154))^2)+SUMPRODUCT((Fits!$G$183:$G$195*(($AE108-Fits!$B$153)*Fits!$I$183:$I$195/Fits!$B$154-Fits!$B$183:$B$195*Fits!$B$63/Fits!$B$62))^2)))</f>
        <v/>
      </c>
      <c r="CO108" s="26" t="str">
        <f aca="false">IF($CN108="","",Setup!$B$32*$CN108)</f>
        <v/>
      </c>
      <c r="CP108" s="9" t="n">
        <f aca="false">IF(OR(NOT(ISNUMBER($BJ108)),$EK108=1),$CP107,IF($BJ108&lt;=Setup!$B$26,$CP107+1,0))</f>
        <v>26</v>
      </c>
      <c r="CQ108" s="9" t="str">
        <f aca="false">IF($BT108="","",$A108)</f>
        <v/>
      </c>
      <c r="CR108" s="9" t="str">
        <f aca="false">IF($BW108="","",$A108)</f>
        <v/>
      </c>
      <c r="CS108" s="9" t="str">
        <f aca="false">IF($B108="","",IF(Setup!$A$37="",0,IF(ISNUMBER(SEARCH(Setup!$A$37,$B108)),37,0)))</f>
        <v/>
      </c>
      <c r="CT108" s="9" t="str">
        <f aca="false">IF($B108="","",IF(Setup!$A$38="",0,IF(ISNUMBER(SEARCH(Setup!$A$38,$B108)),38,0)))</f>
        <v/>
      </c>
      <c r="CU108" s="9" t="str">
        <f aca="false">IF($B108="","",IF(Setup!$A$39="",0,IF(ISNUMBER(SEARCH(Setup!$A$39,$B108)),39,0)))</f>
        <v/>
      </c>
      <c r="CV108" s="9" t="str">
        <f aca="false">IF($B108="","",IF(Setup!$A$40="",0,IF(ISNUMBER(SEARCH(Setup!$A$40,$B108)),40,0)))</f>
        <v/>
      </c>
      <c r="CW108" s="9" t="str">
        <f aca="false">IF($B108="","",IF(Setup!$A$41="",0,IF(ISNUMBER(SEARCH(Setup!$A$41,$B108)),41,0)))</f>
        <v/>
      </c>
      <c r="CX108" s="9" t="str">
        <f aca="false">IF($B108="","",IF(Setup!$A$42="",0,IF(ISNUMBER(SEARCH(Setup!$A$42,$B108)),42,0)))</f>
        <v/>
      </c>
      <c r="CY108" s="9" t="str">
        <f aca="false">IF($B108="","",IF(Setup!$A$43="",0,IF(ISNUMBER(SEARCH(Setup!$A$43,$B108)),43,0)))</f>
        <v/>
      </c>
      <c r="CZ108" s="9" t="str">
        <f aca="false">IF($B108="","",IF(Setup!$A$44="",0,IF(ISNUMBER(SEARCH(Setup!$A$44,$B108)),44,0)))</f>
        <v/>
      </c>
      <c r="DA108" s="9" t="str">
        <f aca="false">IF($B108="","",IF(Setup!$A$45="",0,IF(ISNUMBER(SEARCH(Setup!$A$45,$B108)),45,0)))</f>
        <v/>
      </c>
      <c r="DB108" s="9" t="str">
        <f aca="false">IF($B108="","",IF(Setup!$A$46="",0,IF(ISNUMBER(SEARCH(Setup!$A$46,$B108)),46,0)))</f>
        <v/>
      </c>
      <c r="DC108" s="9" t="str">
        <f aca="false">IF($B108="","",IF(Setup!$A$47="",0,IF(ISNUMBER(SEARCH(Setup!$A$47,$B108)),47,0)))</f>
        <v/>
      </c>
      <c r="DD108" s="9" t="str">
        <f aca="false">IF($B108="","",IF(Setup!$A$48="",0,IF(ISNUMBER(SEARCH(Setup!$A$48,$B108)),48,0)))</f>
        <v/>
      </c>
      <c r="DE108" s="9" t="str">
        <f aca="false">IF($B108="","",IF(Setup!$A$49="",0,IF(ISNUMBER(SEARCH(Setup!$A$49,$B108)),49,0)))</f>
        <v/>
      </c>
      <c r="DF108" s="9" t="e">
        <f aca="false">IF($B108="",NA(),$A108)</f>
        <v>#N/A</v>
      </c>
      <c r="DG108" s="9" t="e">
        <f aca="false">IF($BI108="",NA(),$BI108)</f>
        <v>#N/A</v>
      </c>
      <c r="DH108" s="9" t="e">
        <f aca="false">IF($N108="",NA(),$N108)</f>
        <v>#N/A</v>
      </c>
      <c r="DI108" s="9" t="e">
        <f aca="false">IF(AND($D108="Drift",$N108&lt;&gt;""),$N108,NA())</f>
        <v>#N/A</v>
      </c>
      <c r="DJ108" s="9" t="str">
        <f aca="false">IF(AND($D108="Drift",$N108&lt;&gt;""),$N108,"")</f>
        <v/>
      </c>
      <c r="DK108" s="9" t="str">
        <f aca="false">IF($DJ108="","",$A108)</f>
        <v/>
      </c>
      <c r="DL108" s="9" t="e">
        <f aca="false">IF($AN108="",NA(),$AM108)</f>
        <v>#N/A</v>
      </c>
      <c r="DM108" s="9" t="e">
        <f aca="false">IF($AN108="",NA(),$AN108)</f>
        <v>#N/A</v>
      </c>
      <c r="DN108" s="9" t="e">
        <f aca="false">IF(AND($D108="Sample",$L108&lt;&gt;""),$L108,NA())</f>
        <v>#N/A</v>
      </c>
      <c r="DO108" s="9" t="e">
        <f aca="false">IF(AND($D108="Sample",$L108&lt;&gt;"",Fits!$B$98&lt;&gt;""),Fits!$B$98,NA())</f>
        <v>#N/A</v>
      </c>
      <c r="DP108" s="9" t="e">
        <f aca="false">IF($AS108="",NA(),$AS108)</f>
        <v>#N/A</v>
      </c>
      <c r="DQ108" s="9" t="e">
        <f aca="false">IF(AND($D108="Drift",$AS108="",$X108&lt;&gt;""),$X108,NA())</f>
        <v>#N/A</v>
      </c>
      <c r="DR108" s="9" t="e">
        <f aca="false">IF(AND($D108="Drift",$Z108&lt;&gt;""),$Z108,NA())</f>
        <v>#N/A</v>
      </c>
      <c r="DS108" s="9" t="e">
        <f aca="false">IF(AND(OR($D108="Sample",$D108="Check"),$AA108&lt;&gt;""),$AA108,NA())</f>
        <v>#N/A</v>
      </c>
      <c r="DT108" s="9" t="e">
        <f aca="false">IF(OR($B108="",Fits!$B$138=""),NA(),Fits!$B$138)</f>
        <v>#N/A</v>
      </c>
      <c r="DU108" s="9" t="e">
        <f aca="false">IF(OR($B108="",Fits!$B$139=""),NA(),Fits!$B$139)</f>
        <v>#N/A</v>
      </c>
      <c r="DV108" s="9" t="e">
        <f aca="false">IF($BT108="",NA(),$BT108)</f>
        <v>#N/A</v>
      </c>
      <c r="DW108" s="9" t="e">
        <f aca="false">IF($AP108="",NA(),$AO108)</f>
        <v>#N/A</v>
      </c>
      <c r="DX108" s="9" t="e">
        <f aca="false">IF($AP108="",NA(),$AP108)</f>
        <v>#N/A</v>
      </c>
      <c r="DY108" s="9" t="e">
        <f aca="false">IF(AND($D108="Sample",$P108&lt;&gt;""),$P108,NA())</f>
        <v>#N/A</v>
      </c>
      <c r="DZ108" s="9" t="e">
        <f aca="false">IF(AND($D108="Sample",$P108&lt;&gt;"",Fits!$B$105&lt;&gt;""),Fits!$B$105,NA())</f>
        <v>#N/A</v>
      </c>
      <c r="EA108" s="9" t="e">
        <f aca="false">IF($AT108="",NA(),$AT108)</f>
        <v>#N/A</v>
      </c>
      <c r="EB108" s="9" t="e">
        <f aca="false">IF(AND($D108="Drift",$AT108="",$AC108&lt;&gt;""),$AC108,NA())</f>
        <v>#N/A</v>
      </c>
      <c r="EC108" s="9" t="e">
        <f aca="false">IF(AND($D108="Drift",$AE108&lt;&gt;""),$AE108,NA())</f>
        <v>#N/A</v>
      </c>
      <c r="ED108" s="9" t="e">
        <f aca="false">IF(AND(OR($D108="Sample",$D108="Check"),$AF108&lt;&gt;""),$AF108,NA())</f>
        <v>#N/A</v>
      </c>
      <c r="EE108" s="9" t="e">
        <f aca="false">IF(OR($B108="",Fits!$B$158=""),NA(),Fits!$B$158)</f>
        <v>#N/A</v>
      </c>
      <c r="EF108" s="9" t="e">
        <f aca="false">IF(OR($B108="",Fits!$B$159=""),NA(),Fits!$B$159)</f>
        <v>#N/A</v>
      </c>
      <c r="EG108" s="9" t="e">
        <f aca="false">IF($BW108="",NA(),$BW108)</f>
        <v>#N/A</v>
      </c>
      <c r="EH108" s="9" t="e">
        <f aca="false">IF(AND($EN108=1,ISNUMBER($N108)),$N108,NA())</f>
        <v>#N/A</v>
      </c>
      <c r="EI108" s="9" t="str">
        <f aca="false">IF($B108="","",$A108)</f>
        <v/>
      </c>
      <c r="EJ108" s="9" t="n">
        <f aca="false">IF(OR(AND(ISNUMBER($L108),Fits!$B$97&gt;0,$L108&gt;Fits!$B$97),AND(ISNUMBER($P108),Fits!$B$104&gt;0,$P108&gt;Fits!$B$104)),1,0)</f>
        <v>0</v>
      </c>
      <c r="EK108" s="9" t="n">
        <f aca="false">IF(OR($EJ107=1,$EJ106=1),1,0)</f>
        <v>0</v>
      </c>
      <c r="EL108" s="22" t="n">
        <f aca="false">IF(AND($EK108=0,ISNUMBER($N108)),$N108,$EL107)</f>
        <v>25.7</v>
      </c>
      <c r="EM108" s="9" t="str">
        <f aca="false">IF(AND($EK108=1,ISNUMBER($N108),ISNUMBER($EL108)),$N108-$EL108,"")</f>
        <v/>
      </c>
      <c r="EN108" s="9" t="n">
        <f aca="false">IF(Setup!$B$28="",0,IF(ISNUMBER($EM108),IF($EM108&gt;Setup!$B$28,1,0),0))</f>
        <v>0</v>
      </c>
      <c r="EO108" s="9" t="str">
        <f aca="false">IF($EN108=1,COUNTIF($EN$6:$EN108,1),"")</f>
        <v/>
      </c>
      <c r="EP108" s="9" t="n">
        <f aca="false">IF(AND($EJ107=1,OR($D108="Sample",$D108="Check")),1,0)</f>
        <v>0</v>
      </c>
      <c r="EQ108" s="9" t="str">
        <f aca="false">IF(ISNUMBER($BI108),IF(COUNT($BI$6:$BI108)&lt;=5,$BI108,""),"")</f>
        <v/>
      </c>
      <c r="ER108" s="9" t="n">
        <f aca="false">IF(OR(NOT(ISNUMBER($BJ108)),$EK108=1),$ER107,IF($BJ108&lt;=Setup!$B$26,IF($CP107=0,$A108,$ER107),""))</f>
        <v>27</v>
      </c>
    </row>
    <row r="109" customFormat="false" ht="15" hidden="false" customHeight="false" outlineLevel="0" collapsed="false">
      <c r="A109" s="8" t="n">
        <v>104</v>
      </c>
      <c r="B109" s="8" t="str">
        <f aca="false">IFERROR(INDEX(Raw!$B$2:$B$1001,MATCH($A109,Raw!$A$2:$A$1001,0)),"")</f>
        <v/>
      </c>
      <c r="C109" s="9" t="str">
        <f aca="false">IF($B109="","",MAX($CS109:$DE109))</f>
        <v/>
      </c>
      <c r="D109" s="8" t="str">
        <f aca="false">IF($B109="","",IF($C109=0,"Sample",INDEX(Setup!$B$37:$B$49,$C109-36)))</f>
        <v/>
      </c>
      <c r="E109" s="16" t="str">
        <f aca="false">IF($B109="","",IFERROR(IF(INDEX(Raw!$E$2:$E$1001,MATCH($A109,Raw!$A$2:$A$1001,0))=0,"",INDEX(Raw!$E$2:$E$1001,MATCH($A109,Raw!$A$2:$A$1001,0))),""))</f>
        <v/>
      </c>
      <c r="F109" s="18"/>
      <c r="G109" s="16" t="str">
        <f aca="false">IF($B109="","",IF($F109&lt;&gt;"",$F109,IF($E109="","",$E109)))</f>
        <v/>
      </c>
      <c r="H109" s="9" t="str">
        <f aca="false">IF($B109="","",SUMPRODUCT(MAX((Raw!$A$2:$A$1001=$A109)*(Raw!$R$2:$R$1001="N")*Raw!$D$2:$D$1001)))</f>
        <v/>
      </c>
      <c r="I109" s="9" t="str">
        <f aca="false">IF(OR($H109="",$H109=0),"",$A109&amp;"|N|"&amp;$H109)</f>
        <v/>
      </c>
      <c r="J109" s="9" t="str">
        <f aca="false">IF($B109="","",SUMPRODUCT(MIN((Raw!$A$2:$A$1001=$A109)*(Raw!$R$2:$R$1001="C")*Raw!$D$2:$D$1001+(1-(Raw!$A$2:$A$1001=$A109)*(Raw!$R$2:$R$1001="C"))*9999)))</f>
        <v/>
      </c>
      <c r="K109" s="9" t="str">
        <f aca="false">IF(OR($J109="",$J109=0,$J109=9999),"",$A109&amp;"|C|"&amp;$J109)</f>
        <v/>
      </c>
      <c r="L109" s="16" t="str">
        <f aca="false">IF($I109="","",IF(INDEX(Raw!$I$2:$I$1001,MATCH($I109,Raw!$S$2:$S$1001,0))&lt;&gt;0,"",INDEX(Raw!$H$2:$H$1001,MATCH($I109,Raw!$S$2:$S$1001,0))))</f>
        <v/>
      </c>
      <c r="M109" s="19" t="str">
        <f aca="false">IF($I109="","",IF(INDEX(Raw!$I$2:$I$1001,MATCH($I109,Raw!$S$2:$S$1001,0))&lt;&gt;0,"",INDEX(Raw!$F$2:$F$1001,MATCH($I109,Raw!$S$2:$S$1001,0))))</f>
        <v/>
      </c>
      <c r="N109" s="20" t="str">
        <f aca="false">IF($I109="","",IF(INDEX(Raw!$I$2:$I$1001,MATCH($I109,Raw!$S$2:$S$1001,0))&lt;&gt;0,"",INDEX(Raw!$G$2:$G$1001,MATCH($I109,Raw!$S$2:$S$1001,0))))</f>
        <v/>
      </c>
      <c r="O109" s="16" t="str">
        <f aca="false">IF($I109="","",IF(INDEX(Raw!$I$2:$I$1001,MATCH($I109,Raw!$S$2:$S$1001,0))&lt;&gt;0,"",INDEX(Raw!$N$2:$N$1001,MATCH($I109,Raw!$S$2:$S$1001,0))))</f>
        <v/>
      </c>
      <c r="P109" s="16" t="str">
        <f aca="false">IF($K109="","",IF(INDEX(Raw!$I$2:$I$1001,MATCH($K109,Raw!$S$2:$S$1001,0))&lt;&gt;0,"",INDEX(Raw!$K$2:$K$1001,MATCH($K109,Raw!$S$2:$S$1001,0))))</f>
        <v/>
      </c>
      <c r="Q109" s="19" t="str">
        <f aca="false">IF($K109="","",IF(INDEX(Raw!$I$2:$I$1001,MATCH($K109,Raw!$S$2:$S$1001,0))&lt;&gt;0,"",INDEX(Raw!$J$2:$J$1001,MATCH($K109,Raw!$S$2:$S$1001,0))))</f>
        <v/>
      </c>
      <c r="R109" s="16" t="str">
        <f aca="false">IF($K109="","",IF(INDEX(Raw!$I$2:$I$1001,MATCH($K109,Raw!$S$2:$S$1001,0))&lt;&gt;0,"",INDEX(Raw!$O$2:$O$1001,MATCH($K109,Raw!$S$2:$S$1001,0))))</f>
        <v/>
      </c>
      <c r="S109" s="21" t="str">
        <f aca="false">IF($B109="","",IF($C109=0,"",IF(INDEX(Setup!$D$37:$D$49,$C109-36)="","",INDEX(Setup!$D$37:$D$49,$C109-36))))</f>
        <v/>
      </c>
      <c r="T109" s="21" t="str">
        <f aca="false">IF($B109="","",IF($C109=0,"",IF(INDEX(Setup!$C$37:$C$49,$C109-36)="","",INDEX(Setup!$C$37:$C$49,$C109-36))))</f>
        <v/>
      </c>
      <c r="U109" s="21" t="str">
        <f aca="false">IF($B109="","",IF($C109=0,"",IF(INDEX(Setup!$F$37:$F$49,$C109-36)="","",INDEX(Setup!$F$37:$F$49,$C109-36))))</f>
        <v/>
      </c>
      <c r="V109" s="21" t="str">
        <f aca="false">IF($B109="","",IF($C109=0,"",IF(INDEX(Setup!$E$37:$E$49,$C109-36)="","",INDEX(Setup!$E$37:$E$49,$C109-36))))</f>
        <v/>
      </c>
      <c r="W109" s="16" t="str">
        <f aca="false">IF($O109="","",IF(OR(Fits!$C$5&lt;&gt;"Yes",$D109="Blank",$L109&lt;=Fits!$B$6),$O109,($L109*$O109-Fits!$B$6*Fits!$B$7)/($L109-Fits!$B$6)))</f>
        <v/>
      </c>
      <c r="X109" s="16" t="str">
        <f aca="false">IF($W109="","",$W109-Fits!$B$20*($L109-Fits!$B$16))</f>
        <v/>
      </c>
      <c r="Y109" s="22" t="str">
        <f aca="false">IF($W109="","",IF(OR(Fits!$B$38="Row",$BI109=""),$A109,$BI109))</f>
        <v/>
      </c>
      <c r="Z109" s="16" t="str">
        <f aca="false">IF($X109="","",$X109-Fits!$B$39*($Y109-Fits!$B$40))</f>
        <v/>
      </c>
      <c r="AA109" s="23" t="str">
        <f aca="false">IF(OR($Z109="",Fits!$B$55&lt;2),"",Fits!$B$56*$Z109+Fits!$B$57)</f>
        <v/>
      </c>
      <c r="AB109" s="16" t="str">
        <f aca="false">IF($R109="","",IF(OR(Fits!$C$9&lt;&gt;"Yes",$D109="Blank",$P109&lt;=Fits!$B$10),$R109,($P109*$R109-Fits!$B$10*Fits!$B$11)/($P109-Fits!$B$10)))</f>
        <v/>
      </c>
      <c r="AC109" s="16" t="str">
        <f aca="false">IF($AB109="","",$AB109-Fits!$B$28*($P109-Fits!$B$24))</f>
        <v/>
      </c>
      <c r="AD109" s="22" t="str">
        <f aca="false">IF($AB109="","",IF(OR(Fits!$B$50="Row",$BI109=""),$A109,$BI109))</f>
        <v/>
      </c>
      <c r="AE109" s="16" t="str">
        <f aca="false">IF($AC109="","",$AC109-Fits!$B$51*($AD109-Fits!$B$52))</f>
        <v/>
      </c>
      <c r="AF109" s="23" t="str">
        <f aca="false">IF(OR($AE109="",Fits!$B$62&lt;2),"",Fits!$B$63*$AE109+Fits!$B$64)</f>
        <v/>
      </c>
      <c r="AG109" s="21" t="str">
        <f aca="false">IF(OR($L109="",Fits!$B$69&lt;3),"",($L109-Fits!$B$71)/Fits!$B$70)</f>
        <v/>
      </c>
      <c r="AH109" s="21" t="str">
        <f aca="false">IF(OR($P109="",Fits!$B$75&lt;3),"",($P109-Fits!$B$77)/Fits!$B$76)</f>
        <v/>
      </c>
      <c r="AI109" s="23" t="str">
        <f aca="false">IF(OR($AG109="",$G109="",$G109=0),"",$AG109/($G109*1000)*100)</f>
        <v/>
      </c>
      <c r="AJ109" s="23" t="str">
        <f aca="false">IF(OR($AH109="",$G109="",$G109=0),"",$AH109/($G109*1000)*100)</f>
        <v/>
      </c>
      <c r="AK109" s="23" t="str">
        <f aca="false">IF(OR($AG109="",$AH109="",$AG109&lt;=0),"",($AH109/Setup!$B$52)/($AG109/Setup!$B$53))</f>
        <v/>
      </c>
      <c r="AL109" s="23" t="str">
        <f aca="false">IF(OR($AG109="",$AH109="",$AG109&lt;=0),"",$AH109/$AG109)</f>
        <v/>
      </c>
      <c r="AM109" s="9" t="str">
        <f aca="false">IF($D109="Linearity",IF($L109="","",$L109),"")</f>
        <v/>
      </c>
      <c r="AN109" s="9" t="str">
        <f aca="false">IF($D109="Linearity",IF($W109="","",$W109),"")</f>
        <v/>
      </c>
      <c r="AO109" s="9" t="str">
        <f aca="false">IF($D109="Linearity",IF($P109="","",$P109),"")</f>
        <v/>
      </c>
      <c r="AP109" s="9" t="str">
        <f aca="false">IF($D109="Linearity",IF($AB109="","",$AB109),"")</f>
        <v/>
      </c>
      <c r="AQ109" s="9" t="str">
        <f aca="false">IF($D109="Drift",IF($A109&lt;IF(Setup!$B$14="",0,Setup!$B$14),"",$A109),"")</f>
        <v/>
      </c>
      <c r="AR109" s="9" t="str">
        <f aca="false">IF($D109="Drift",IF($A109&lt;IF(Setup!$B$14="",0,Setup!$B$14),"",IF($BI109="","",$BI109)),"")</f>
        <v/>
      </c>
      <c r="AS109" s="9" t="str">
        <f aca="false">IF($D109="Drift",IF($A109&lt;IF(Setup!$B$14="",0,Setup!$B$14),"",IF(OR($X109="",$BX109=1),"",$X109)),"")</f>
        <v/>
      </c>
      <c r="AT109" s="9" t="str">
        <f aca="false">IF($D109="Drift",IF($A109&lt;IF(Setup!$B$14="",0,Setup!$B$14),"",IF(OR($AC109="",$BY109=1),"",$AC109)),"")</f>
        <v/>
      </c>
      <c r="AU109" s="9" t="str">
        <f aca="false">IF($D109="Anchor",IF(OR($Z109="",$S109=""),"",$Z109),"")</f>
        <v/>
      </c>
      <c r="AV109" s="9" t="str">
        <f aca="false">IF($D109="Anchor",IF(OR($Z109="",$S109=""),"",$S109),"")</f>
        <v/>
      </c>
      <c r="AW109" s="9" t="str">
        <f aca="false">IF($D109="Anchor",IF(OR($AE109="",$T109=""),"",$AE109),"")</f>
        <v/>
      </c>
      <c r="AX109" s="9" t="str">
        <f aca="false">IF($D109="Anchor",IF(OR($AE109="",$T109=""),"",$T109),"")</f>
        <v/>
      </c>
      <c r="AY109" s="9" t="str">
        <f aca="false">IF(OR($D109="Blank",$D109="Exclude",$D109="Sample",$D109="",$G109="",$U109="",$L109=""),"",$G109*1000*$U109/100)</f>
        <v/>
      </c>
      <c r="AZ109" s="9" t="str">
        <f aca="false">IF($AY109="","",$L109)</f>
        <v/>
      </c>
      <c r="BA109" s="9" t="str">
        <f aca="false">IF(OR($D109="Blank",$D109="Exclude",$D109="Sample",$D109="",$G109="",$V109="",$P109=""),"",$G109*1000*$V109/100)</f>
        <v/>
      </c>
      <c r="BB109" s="9" t="str">
        <f aca="false">IF($BA109="","",$P109)</f>
        <v/>
      </c>
      <c r="BC109" s="9" t="str">
        <f aca="false">IF(AND($D109="Blank",$L109&lt;&gt;""),$O109,"")</f>
        <v/>
      </c>
      <c r="BD109" s="9" t="str">
        <f aca="false">IF($BC109="","",$L109)</f>
        <v/>
      </c>
      <c r="BE109" s="9" t="str">
        <f aca="false">IF(AND($D109="Blank",$P109&lt;&gt;""),$R109,"")</f>
        <v/>
      </c>
      <c r="BF109" s="9" t="str">
        <f aca="false">IF($BE109="","",$P109)</f>
        <v/>
      </c>
      <c r="BG109" s="9" t="str">
        <f aca="false">IF(AND($D109="Drift",$BX109&lt;&gt;1),IF($AA109="","",$AA109),"")</f>
        <v/>
      </c>
      <c r="BH109" s="9" t="str">
        <f aca="false">IF(AND($D109="Drift",$BY109&lt;&gt;1),IF($AF109="","",$AF109),"")</f>
        <v/>
      </c>
      <c r="BI109" s="20" t="str">
        <f aca="false">IF($B109="","",IFERROR(INDEX(Raw!$G$2:$G$1001,MATCH($A109&amp;"|N|"&amp;SUMPRODUCT(MAX((Raw!$A$2:$A$1001=$A109)*(Raw!$R$2:$R$1001="N")*(Raw!$I$2:$I$1001=1)*Raw!$D$2:$D$1001)),Raw!$S$2:$S$1001,0)),""))</f>
        <v/>
      </c>
      <c r="BJ109" s="21" t="str">
        <f aca="false">IF(OR($BI109="",Fits!$B$85&lt;=0),"",($BI109-Fits!$B$83)/Fits!$B$85)</f>
        <v/>
      </c>
      <c r="BK109" s="9" t="str">
        <f aca="false">IF($AS109="","",IF($A109&gt;=Fits!$B$86,"",$A109))</f>
        <v/>
      </c>
      <c r="BL109" s="9" t="str">
        <f aca="false">IF($BK109="","",$X109)</f>
        <v/>
      </c>
      <c r="BM109" s="9" t="str">
        <f aca="false">IF($AS109="","",IF($A109&lt;Fits!$B$86,"",$A109))</f>
        <v/>
      </c>
      <c r="BN109" s="9" t="str">
        <f aca="false">IF($BM109="","",$X109)</f>
        <v/>
      </c>
      <c r="BO109" s="9" t="str">
        <f aca="false">IF(AND($D109="Drift",$BX109&lt;&gt;1),IF($O109="","",$O109),"")</f>
        <v/>
      </c>
      <c r="BP109" s="9" t="str">
        <f aca="false">IF(AND($D109="Drift",$BX109&lt;&gt;1),IF($W109="","",$W109),"")</f>
        <v/>
      </c>
      <c r="BQ109" s="9" t="str">
        <f aca="false">IF(AND($D109="Drift",$BX109&lt;&gt;1),IF($X109="","",$X109),"")</f>
        <v/>
      </c>
      <c r="BR109" s="9" t="str">
        <f aca="false">IF(AND($D109="Drift",$BX109&lt;&gt;1),IF($Z109="","",$Z109),"")</f>
        <v/>
      </c>
      <c r="BS109" s="9" t="str">
        <f aca="false">IF(OR($B109="",$H109=""),"",SUMPRODUCT(MIN((Raw!$A$2:$A$1001=$A109)*(Raw!$R$2:$R$1001="N")*(Raw!$I$2:$I$1001=0)*(Raw!$D$2:$D$1001&lt;$H109)*Raw!$D$2:$D$1001+(1-(Raw!$A$2:$A$1001=$A109)*(Raw!$R$2:$R$1001="N")*(Raw!$I$2:$I$1001=0)*(Raw!$D$2:$D$1001&lt;$H109))*9999)))</f>
        <v/>
      </c>
      <c r="BT109" s="16" t="str">
        <f aca="false">IF(OR($BS109="",$BS109=9999,$BS109=0),"",IFERROR(INDEX(Raw!$N$2:$N$1001,MATCH($A109&amp;"|N|"&amp;$BS109,Raw!$S$2:$S$1001,0)),""))</f>
        <v/>
      </c>
      <c r="BU109" s="9" t="str">
        <f aca="false">IF($B109="","",SUMPRODUCT(MIN((Raw!$A$2:$A$1001=$A109)*(Raw!$R$2:$R$1001="C")*(Raw!$I$2:$I$1001=1)*Raw!$D$2:$D$1001+(1-(Raw!$A$2:$A$1001=$A109)*(Raw!$R$2:$R$1001="C")*(Raw!$I$2:$I$1001=1))*9999)))</f>
        <v/>
      </c>
      <c r="BV109" s="9" t="str">
        <f aca="false">IF(OR($BU109="",$BU109=9999),"",SUMPRODUCT(MIN((Raw!$A$2:$A$1001=$A109)*(Raw!$R$2:$R$1001="C")*(Raw!$I$2:$I$1001=0)*(Raw!$D$2:$D$1001&gt;$BU109)*Raw!$D$2:$D$1001+(1-(Raw!$A$2:$A$1001=$A109)*(Raw!$R$2:$R$1001="C")*(Raw!$I$2:$I$1001=0)*(Raw!$D$2:$D$1001&gt;$BU109))*9999)))</f>
        <v/>
      </c>
      <c r="BW109" s="16" t="str">
        <f aca="false">IF(OR($BV109="",$BV109=9999,$BV109=0),"",IFERROR(INDEX(Raw!$O$2:$O$1001,MATCH($A109&amp;"|C|"&amp;$BV109,Raw!$S$2:$S$1001,0)),""))</f>
        <v/>
      </c>
      <c r="BX109" s="9" t="str">
        <f aca="false">IF($B109="","",IF(ISNUMBER(SEARCH(","&amp;$A109&amp;",",","&amp;SUBSTITUTE(Setup!$B$16," ","")&amp;",")),1,0))</f>
        <v/>
      </c>
      <c r="BY109" s="9" t="str">
        <f aca="false">IF($B109="","",IF(ISNUMBER(SEARCH(","&amp;$A109&amp;",",","&amp;SUBSTITUTE(Setup!$B$17," ","")&amp;",")),1,0))</f>
        <v/>
      </c>
      <c r="BZ109" s="22" t="str">
        <f aca="false">IF($AS109="","",IF(Fits!$B$38="Row",$AQ109,IF($AR109="","",$AR109)))</f>
        <v/>
      </c>
      <c r="CA109" s="22" t="str">
        <f aca="false">IF($AT109="","",IF(Fits!$B$50="Row",$AQ109,IF($AR109="","",$AR109)))</f>
        <v/>
      </c>
      <c r="CB109" s="20" t="str">
        <f aca="false">IF(OR($D109&lt;&gt;"Drift",$X109="",$A109&lt;IF(Setup!$B$14="",0,Setup!$B$14),Fits!$B$107&lt;3,Fits!$B$110="",Fits!$B$109=0,IF(Fits!$B$38="Row",$AQ109,$AR109)=""),"",IF($BX109=1,IF(OR(Fits!$B$111="",Fits!$B$111=0),"",($X109-(IF(Fits!$B$38="Row",Fits!$B$32,Fits!$B$35)*IF(Fits!$B$38="Row",$AQ109,$AR109)+Fits!$B$110))/(Fits!$B$111*SQRT(1+(1/Fits!$B$107+(IF(Fits!$B$38="Row",$AQ109,$AR109)-Fits!$B$108)^2/Fits!$B$109)))),IF(OR(Fits!$B$107&lt;4,(1/Fits!$B$107+(IF(Fits!$B$38="Row",$AQ109,$AR109)-Fits!$B$108)^2/Fits!$B$109)&gt;=1),"",IF((Fits!$B$116-($X109-(IF(Fits!$B$38="Row",Fits!$B$32,Fits!$B$35)*IF(Fits!$B$38="Row",$AQ109,$AR109)+Fits!$B$110))^2/(1-(1/Fits!$B$107+(IF(Fits!$B$38="Row",$AQ109,$AR109)-Fits!$B$108)^2/Fits!$B$109)))&lt;=0,"",($X109-(IF(Fits!$B$38="Row",Fits!$B$32,Fits!$B$35)*IF(Fits!$B$38="Row",$AQ109,$AR109)+Fits!$B$110))/(SQRT((Fits!$B$116-($X109-(IF(Fits!$B$38="Row",Fits!$B$32,Fits!$B$35)*IF(Fits!$B$38="Row",$AQ109,$AR109)+Fits!$B$110))^2/(1-(1/Fits!$B$107+(IF(Fits!$B$38="Row",$AQ109,$AR109)-Fits!$B$108)^2/Fits!$B$109)))/(Fits!$B$107-3))*SQRT(1-(1/Fits!$B$107+(IF(Fits!$B$38="Row",$AQ109,$AR109)-Fits!$B$108)^2/Fits!$B$109)))))))</f>
        <v/>
      </c>
      <c r="CC109" s="20" t="str">
        <f aca="false">IF(OR($D109&lt;&gt;"Drift",$AC109="",$A109&lt;IF(Setup!$B$14="",0,Setup!$B$14),Fits!$B$120&lt;3,Fits!$B$123="",Fits!$B$122=0,IF(Fits!$B$50="Row",$AQ109,$AR109)=""),"",IF($BY109=1,IF(OR(Fits!$B$124="",Fits!$B$124=0),"",($AC109-(IF(Fits!$B$50="Row",Fits!$B$44,Fits!$B$47)*IF(Fits!$B$50="Row",$AQ109,$AR109)+Fits!$B$123))/(Fits!$B$124*SQRT(1+(1/Fits!$B$120+(IF(Fits!$B$50="Row",$AQ109,$AR109)-Fits!$B$121)^2/Fits!$B$122)))),IF(OR(Fits!$B$120&lt;4,(1/Fits!$B$120+(IF(Fits!$B$50="Row",$AQ109,$AR109)-Fits!$B$121)^2/Fits!$B$122)&gt;=1),"",IF((Fits!$B$129-($AC109-(IF(Fits!$B$50="Row",Fits!$B$44,Fits!$B$47)*IF(Fits!$B$50="Row",$AQ109,$AR109)+Fits!$B$123))^2/(1-(1/Fits!$B$120+(IF(Fits!$B$50="Row",$AQ109,$AR109)-Fits!$B$121)^2/Fits!$B$122)))&lt;=0,"",($AC109-(IF(Fits!$B$50="Row",Fits!$B$44,Fits!$B$47)*IF(Fits!$B$50="Row",$AQ109,$AR109)+Fits!$B$123))/(SQRT((Fits!$B$129-($AC109-(IF(Fits!$B$50="Row",Fits!$B$44,Fits!$B$47)*IF(Fits!$B$50="Row",$AQ109,$AR109)+Fits!$B$123))^2/(1-(1/Fits!$B$120+(IF(Fits!$B$50="Row",$AQ109,$AR109)-Fits!$B$121)^2/Fits!$B$122)))/(Fits!$B$120-3))*SQRT(1-(1/Fits!$B$120+(IF(Fits!$B$50="Row",$AQ109,$AR109)-Fits!$B$121)^2/Fits!$B$122)))))))</f>
        <v/>
      </c>
      <c r="CD109" s="9" t="str">
        <f aca="false">IF($AU109="","",1)</f>
        <v/>
      </c>
      <c r="CE109" s="24" t="str">
        <f aca="false">IF($AU109="","",$AU109-Fits!$B$133)</f>
        <v/>
      </c>
      <c r="CF109" s="24" t="str">
        <f aca="false">IF($AU109="","",($AV109-(Fits!$B$56*$AU109+Fits!$B$57))-Fits!$B$56*($AU109-Fits!$B$133))</f>
        <v/>
      </c>
      <c r="CG109" s="25" t="str">
        <f aca="false">IF($AU109="","",$AU109^2)</f>
        <v/>
      </c>
      <c r="CH109" s="9" t="str">
        <f aca="false">IF($AW109="","",1)</f>
        <v/>
      </c>
      <c r="CI109" s="24" t="str">
        <f aca="false">IF($AW109="","",$AW109-Fits!$B$153)</f>
        <v/>
      </c>
      <c r="CJ109" s="24" t="str">
        <f aca="false">IF($AW109="","",($AX109-(Fits!$B$63*$AW109+Fits!$B$64))-Fits!$B$63*($AW109-Fits!$B$153))</f>
        <v/>
      </c>
      <c r="CK109" s="25" t="str">
        <f aca="false">IF($AW109="","",$AW109^2)</f>
        <v/>
      </c>
      <c r="CL109" s="26" t="str">
        <f aca="false">IF(OR($Z109="",Fits!$B$55&lt;3,Fits!$B$133="",Fits!$B$134="",Fits!$B$134=0,Fits!$B$136=""),"",SQRT((Fits!$B$136*Fits!$B$56)^2+SUMPRODUCT((Fits!$J$163:$J$175*(Fits!$B$163:$B$175/Fits!$B$55+Fits!$H$163:$H$175*($Z109-Fits!$B$133)/Fits!$B$134))^2)+SUMPRODUCT((Fits!$G$163:$G$175*(($Z109-Fits!$B$133)*Fits!$I$163:$I$175/Fits!$B$134-Fits!$B$163:$B$175*Fits!$B$56/Fits!$B$55))^2)))</f>
        <v/>
      </c>
      <c r="CM109" s="26" t="str">
        <f aca="false">IF($CL109="","",Setup!$B$32*$CL109)</f>
        <v/>
      </c>
      <c r="CN109" s="26" t="str">
        <f aca="false">IF(OR($AE109="",Fits!$B$62&lt;3,Fits!$B$153="",Fits!$B$154="",Fits!$B$154=0,Fits!$B$156=""),"",SQRT((Fits!$B$156*Fits!$B$63)^2+SUMPRODUCT((Fits!$J$183:$J$195*(Fits!$B$183:$B$195/Fits!$B$62+Fits!$H$183:$H$195*($AE109-Fits!$B$153)/Fits!$B$154))^2)+SUMPRODUCT((Fits!$G$183:$G$195*(($AE109-Fits!$B$153)*Fits!$I$183:$I$195/Fits!$B$154-Fits!$B$183:$B$195*Fits!$B$63/Fits!$B$62))^2)))</f>
        <v/>
      </c>
      <c r="CO109" s="26" t="str">
        <f aca="false">IF($CN109="","",Setup!$B$32*$CN109)</f>
        <v/>
      </c>
      <c r="CP109" s="9" t="n">
        <f aca="false">IF(OR(NOT(ISNUMBER($BJ109)),$EK109=1),$CP108,IF($BJ109&lt;=Setup!$B$26,$CP108+1,0))</f>
        <v>26</v>
      </c>
      <c r="CQ109" s="9" t="str">
        <f aca="false">IF($BT109="","",$A109)</f>
        <v/>
      </c>
      <c r="CR109" s="9" t="str">
        <f aca="false">IF($BW109="","",$A109)</f>
        <v/>
      </c>
      <c r="CS109" s="9" t="str">
        <f aca="false">IF($B109="","",IF(Setup!$A$37="",0,IF(ISNUMBER(SEARCH(Setup!$A$37,$B109)),37,0)))</f>
        <v/>
      </c>
      <c r="CT109" s="9" t="str">
        <f aca="false">IF($B109="","",IF(Setup!$A$38="",0,IF(ISNUMBER(SEARCH(Setup!$A$38,$B109)),38,0)))</f>
        <v/>
      </c>
      <c r="CU109" s="9" t="str">
        <f aca="false">IF($B109="","",IF(Setup!$A$39="",0,IF(ISNUMBER(SEARCH(Setup!$A$39,$B109)),39,0)))</f>
        <v/>
      </c>
      <c r="CV109" s="9" t="str">
        <f aca="false">IF($B109="","",IF(Setup!$A$40="",0,IF(ISNUMBER(SEARCH(Setup!$A$40,$B109)),40,0)))</f>
        <v/>
      </c>
      <c r="CW109" s="9" t="str">
        <f aca="false">IF($B109="","",IF(Setup!$A$41="",0,IF(ISNUMBER(SEARCH(Setup!$A$41,$B109)),41,0)))</f>
        <v/>
      </c>
      <c r="CX109" s="9" t="str">
        <f aca="false">IF($B109="","",IF(Setup!$A$42="",0,IF(ISNUMBER(SEARCH(Setup!$A$42,$B109)),42,0)))</f>
        <v/>
      </c>
      <c r="CY109" s="9" t="str">
        <f aca="false">IF($B109="","",IF(Setup!$A$43="",0,IF(ISNUMBER(SEARCH(Setup!$A$43,$B109)),43,0)))</f>
        <v/>
      </c>
      <c r="CZ109" s="9" t="str">
        <f aca="false">IF($B109="","",IF(Setup!$A$44="",0,IF(ISNUMBER(SEARCH(Setup!$A$44,$B109)),44,0)))</f>
        <v/>
      </c>
      <c r="DA109" s="9" t="str">
        <f aca="false">IF($B109="","",IF(Setup!$A$45="",0,IF(ISNUMBER(SEARCH(Setup!$A$45,$B109)),45,0)))</f>
        <v/>
      </c>
      <c r="DB109" s="9" t="str">
        <f aca="false">IF($B109="","",IF(Setup!$A$46="",0,IF(ISNUMBER(SEARCH(Setup!$A$46,$B109)),46,0)))</f>
        <v/>
      </c>
      <c r="DC109" s="9" t="str">
        <f aca="false">IF($B109="","",IF(Setup!$A$47="",0,IF(ISNUMBER(SEARCH(Setup!$A$47,$B109)),47,0)))</f>
        <v/>
      </c>
      <c r="DD109" s="9" t="str">
        <f aca="false">IF($B109="","",IF(Setup!$A$48="",0,IF(ISNUMBER(SEARCH(Setup!$A$48,$B109)),48,0)))</f>
        <v/>
      </c>
      <c r="DE109" s="9" t="str">
        <f aca="false">IF($B109="","",IF(Setup!$A$49="",0,IF(ISNUMBER(SEARCH(Setup!$A$49,$B109)),49,0)))</f>
        <v/>
      </c>
      <c r="DF109" s="9" t="e">
        <f aca="false">IF($B109="",NA(),$A109)</f>
        <v>#N/A</v>
      </c>
      <c r="DG109" s="9" t="e">
        <f aca="false">IF($BI109="",NA(),$BI109)</f>
        <v>#N/A</v>
      </c>
      <c r="DH109" s="9" t="e">
        <f aca="false">IF($N109="",NA(),$N109)</f>
        <v>#N/A</v>
      </c>
      <c r="DI109" s="9" t="e">
        <f aca="false">IF(AND($D109="Drift",$N109&lt;&gt;""),$N109,NA())</f>
        <v>#N/A</v>
      </c>
      <c r="DJ109" s="9" t="str">
        <f aca="false">IF(AND($D109="Drift",$N109&lt;&gt;""),$N109,"")</f>
        <v/>
      </c>
      <c r="DK109" s="9" t="str">
        <f aca="false">IF($DJ109="","",$A109)</f>
        <v/>
      </c>
      <c r="DL109" s="9" t="e">
        <f aca="false">IF($AN109="",NA(),$AM109)</f>
        <v>#N/A</v>
      </c>
      <c r="DM109" s="9" t="e">
        <f aca="false">IF($AN109="",NA(),$AN109)</f>
        <v>#N/A</v>
      </c>
      <c r="DN109" s="9" t="e">
        <f aca="false">IF(AND($D109="Sample",$L109&lt;&gt;""),$L109,NA())</f>
        <v>#N/A</v>
      </c>
      <c r="DO109" s="9" t="e">
        <f aca="false">IF(AND($D109="Sample",$L109&lt;&gt;"",Fits!$B$98&lt;&gt;""),Fits!$B$98,NA())</f>
        <v>#N/A</v>
      </c>
      <c r="DP109" s="9" t="e">
        <f aca="false">IF($AS109="",NA(),$AS109)</f>
        <v>#N/A</v>
      </c>
      <c r="DQ109" s="9" t="e">
        <f aca="false">IF(AND($D109="Drift",$AS109="",$X109&lt;&gt;""),$X109,NA())</f>
        <v>#N/A</v>
      </c>
      <c r="DR109" s="9" t="e">
        <f aca="false">IF(AND($D109="Drift",$Z109&lt;&gt;""),$Z109,NA())</f>
        <v>#N/A</v>
      </c>
      <c r="DS109" s="9" t="e">
        <f aca="false">IF(AND(OR($D109="Sample",$D109="Check"),$AA109&lt;&gt;""),$AA109,NA())</f>
        <v>#N/A</v>
      </c>
      <c r="DT109" s="9" t="e">
        <f aca="false">IF(OR($B109="",Fits!$B$138=""),NA(),Fits!$B$138)</f>
        <v>#N/A</v>
      </c>
      <c r="DU109" s="9" t="e">
        <f aca="false">IF(OR($B109="",Fits!$B$139=""),NA(),Fits!$B$139)</f>
        <v>#N/A</v>
      </c>
      <c r="DV109" s="9" t="e">
        <f aca="false">IF($BT109="",NA(),$BT109)</f>
        <v>#N/A</v>
      </c>
      <c r="DW109" s="9" t="e">
        <f aca="false">IF($AP109="",NA(),$AO109)</f>
        <v>#N/A</v>
      </c>
      <c r="DX109" s="9" t="e">
        <f aca="false">IF($AP109="",NA(),$AP109)</f>
        <v>#N/A</v>
      </c>
      <c r="DY109" s="9" t="e">
        <f aca="false">IF(AND($D109="Sample",$P109&lt;&gt;""),$P109,NA())</f>
        <v>#N/A</v>
      </c>
      <c r="DZ109" s="9" t="e">
        <f aca="false">IF(AND($D109="Sample",$P109&lt;&gt;"",Fits!$B$105&lt;&gt;""),Fits!$B$105,NA())</f>
        <v>#N/A</v>
      </c>
      <c r="EA109" s="9" t="e">
        <f aca="false">IF($AT109="",NA(),$AT109)</f>
        <v>#N/A</v>
      </c>
      <c r="EB109" s="9" t="e">
        <f aca="false">IF(AND($D109="Drift",$AT109="",$AC109&lt;&gt;""),$AC109,NA())</f>
        <v>#N/A</v>
      </c>
      <c r="EC109" s="9" t="e">
        <f aca="false">IF(AND($D109="Drift",$AE109&lt;&gt;""),$AE109,NA())</f>
        <v>#N/A</v>
      </c>
      <c r="ED109" s="9" t="e">
        <f aca="false">IF(AND(OR($D109="Sample",$D109="Check"),$AF109&lt;&gt;""),$AF109,NA())</f>
        <v>#N/A</v>
      </c>
      <c r="EE109" s="9" t="e">
        <f aca="false">IF(OR($B109="",Fits!$B$158=""),NA(),Fits!$B$158)</f>
        <v>#N/A</v>
      </c>
      <c r="EF109" s="9" t="e">
        <f aca="false">IF(OR($B109="",Fits!$B$159=""),NA(),Fits!$B$159)</f>
        <v>#N/A</v>
      </c>
      <c r="EG109" s="9" t="e">
        <f aca="false">IF($BW109="",NA(),$BW109)</f>
        <v>#N/A</v>
      </c>
      <c r="EH109" s="9" t="e">
        <f aca="false">IF(AND($EN109=1,ISNUMBER($N109)),$N109,NA())</f>
        <v>#N/A</v>
      </c>
      <c r="EI109" s="9" t="str">
        <f aca="false">IF($B109="","",$A109)</f>
        <v/>
      </c>
      <c r="EJ109" s="9" t="n">
        <f aca="false">IF(OR(AND(ISNUMBER($L109),Fits!$B$97&gt;0,$L109&gt;Fits!$B$97),AND(ISNUMBER($P109),Fits!$B$104&gt;0,$P109&gt;Fits!$B$104)),1,0)</f>
        <v>0</v>
      </c>
      <c r="EK109" s="9" t="n">
        <f aca="false">IF(OR($EJ108=1,$EJ107=1),1,0)</f>
        <v>0</v>
      </c>
      <c r="EL109" s="22" t="n">
        <f aca="false">IF(AND($EK109=0,ISNUMBER($N109)),$N109,$EL108)</f>
        <v>25.7</v>
      </c>
      <c r="EM109" s="9" t="str">
        <f aca="false">IF(AND($EK109=1,ISNUMBER($N109),ISNUMBER($EL109)),$N109-$EL109,"")</f>
        <v/>
      </c>
      <c r="EN109" s="9" t="n">
        <f aca="false">IF(Setup!$B$28="",0,IF(ISNUMBER($EM109),IF($EM109&gt;Setup!$B$28,1,0),0))</f>
        <v>0</v>
      </c>
      <c r="EO109" s="9" t="str">
        <f aca="false">IF($EN109=1,COUNTIF($EN$6:$EN109,1),"")</f>
        <v/>
      </c>
      <c r="EP109" s="9" t="n">
        <f aca="false">IF(AND($EJ108=1,OR($D109="Sample",$D109="Check")),1,0)</f>
        <v>0</v>
      </c>
      <c r="EQ109" s="9" t="str">
        <f aca="false">IF(ISNUMBER($BI109),IF(COUNT($BI$6:$BI109)&lt;=5,$BI109,""),"")</f>
        <v/>
      </c>
      <c r="ER109" s="9" t="n">
        <f aca="false">IF(OR(NOT(ISNUMBER($BJ109)),$EK109=1),$ER108,IF($BJ109&lt;=Setup!$B$26,IF($CP108=0,$A109,$ER108),""))</f>
        <v>27</v>
      </c>
    </row>
    <row r="110" customFormat="false" ht="15" hidden="false" customHeight="false" outlineLevel="0" collapsed="false">
      <c r="A110" s="8" t="n">
        <v>105</v>
      </c>
      <c r="B110" s="8" t="str">
        <f aca="false">IFERROR(INDEX(Raw!$B$2:$B$1001,MATCH($A110,Raw!$A$2:$A$1001,0)),"")</f>
        <v/>
      </c>
      <c r="C110" s="9" t="str">
        <f aca="false">IF($B110="","",MAX($CS110:$DE110))</f>
        <v/>
      </c>
      <c r="D110" s="8" t="str">
        <f aca="false">IF($B110="","",IF($C110=0,"Sample",INDEX(Setup!$B$37:$B$49,$C110-36)))</f>
        <v/>
      </c>
      <c r="E110" s="16" t="str">
        <f aca="false">IF($B110="","",IFERROR(IF(INDEX(Raw!$E$2:$E$1001,MATCH($A110,Raw!$A$2:$A$1001,0))=0,"",INDEX(Raw!$E$2:$E$1001,MATCH($A110,Raw!$A$2:$A$1001,0))),""))</f>
        <v/>
      </c>
      <c r="F110" s="18"/>
      <c r="G110" s="16" t="str">
        <f aca="false">IF($B110="","",IF($F110&lt;&gt;"",$F110,IF($E110="","",$E110)))</f>
        <v/>
      </c>
      <c r="H110" s="9" t="str">
        <f aca="false">IF($B110="","",SUMPRODUCT(MAX((Raw!$A$2:$A$1001=$A110)*(Raw!$R$2:$R$1001="N")*Raw!$D$2:$D$1001)))</f>
        <v/>
      </c>
      <c r="I110" s="9" t="str">
        <f aca="false">IF(OR($H110="",$H110=0),"",$A110&amp;"|N|"&amp;$H110)</f>
        <v/>
      </c>
      <c r="J110" s="9" t="str">
        <f aca="false">IF($B110="","",SUMPRODUCT(MIN((Raw!$A$2:$A$1001=$A110)*(Raw!$R$2:$R$1001="C")*Raw!$D$2:$D$1001+(1-(Raw!$A$2:$A$1001=$A110)*(Raw!$R$2:$R$1001="C"))*9999)))</f>
        <v/>
      </c>
      <c r="K110" s="9" t="str">
        <f aca="false">IF(OR($J110="",$J110=0,$J110=9999),"",$A110&amp;"|C|"&amp;$J110)</f>
        <v/>
      </c>
      <c r="L110" s="16" t="str">
        <f aca="false">IF($I110="","",IF(INDEX(Raw!$I$2:$I$1001,MATCH($I110,Raw!$S$2:$S$1001,0))&lt;&gt;0,"",INDEX(Raw!$H$2:$H$1001,MATCH($I110,Raw!$S$2:$S$1001,0))))</f>
        <v/>
      </c>
      <c r="M110" s="19" t="str">
        <f aca="false">IF($I110="","",IF(INDEX(Raw!$I$2:$I$1001,MATCH($I110,Raw!$S$2:$S$1001,0))&lt;&gt;0,"",INDEX(Raw!$F$2:$F$1001,MATCH($I110,Raw!$S$2:$S$1001,0))))</f>
        <v/>
      </c>
      <c r="N110" s="20" t="str">
        <f aca="false">IF($I110="","",IF(INDEX(Raw!$I$2:$I$1001,MATCH($I110,Raw!$S$2:$S$1001,0))&lt;&gt;0,"",INDEX(Raw!$G$2:$G$1001,MATCH($I110,Raw!$S$2:$S$1001,0))))</f>
        <v/>
      </c>
      <c r="O110" s="16" t="str">
        <f aca="false">IF($I110="","",IF(INDEX(Raw!$I$2:$I$1001,MATCH($I110,Raw!$S$2:$S$1001,0))&lt;&gt;0,"",INDEX(Raw!$N$2:$N$1001,MATCH($I110,Raw!$S$2:$S$1001,0))))</f>
        <v/>
      </c>
      <c r="P110" s="16" t="str">
        <f aca="false">IF($K110="","",IF(INDEX(Raw!$I$2:$I$1001,MATCH($K110,Raw!$S$2:$S$1001,0))&lt;&gt;0,"",INDEX(Raw!$K$2:$K$1001,MATCH($K110,Raw!$S$2:$S$1001,0))))</f>
        <v/>
      </c>
      <c r="Q110" s="19" t="str">
        <f aca="false">IF($K110="","",IF(INDEX(Raw!$I$2:$I$1001,MATCH($K110,Raw!$S$2:$S$1001,0))&lt;&gt;0,"",INDEX(Raw!$J$2:$J$1001,MATCH($K110,Raw!$S$2:$S$1001,0))))</f>
        <v/>
      </c>
      <c r="R110" s="16" t="str">
        <f aca="false">IF($K110="","",IF(INDEX(Raw!$I$2:$I$1001,MATCH($K110,Raw!$S$2:$S$1001,0))&lt;&gt;0,"",INDEX(Raw!$O$2:$O$1001,MATCH($K110,Raw!$S$2:$S$1001,0))))</f>
        <v/>
      </c>
      <c r="S110" s="21" t="str">
        <f aca="false">IF($B110="","",IF($C110=0,"",IF(INDEX(Setup!$D$37:$D$49,$C110-36)="","",INDEX(Setup!$D$37:$D$49,$C110-36))))</f>
        <v/>
      </c>
      <c r="T110" s="21" t="str">
        <f aca="false">IF($B110="","",IF($C110=0,"",IF(INDEX(Setup!$C$37:$C$49,$C110-36)="","",INDEX(Setup!$C$37:$C$49,$C110-36))))</f>
        <v/>
      </c>
      <c r="U110" s="21" t="str">
        <f aca="false">IF($B110="","",IF($C110=0,"",IF(INDEX(Setup!$F$37:$F$49,$C110-36)="","",INDEX(Setup!$F$37:$F$49,$C110-36))))</f>
        <v/>
      </c>
      <c r="V110" s="21" t="str">
        <f aca="false">IF($B110="","",IF($C110=0,"",IF(INDEX(Setup!$E$37:$E$49,$C110-36)="","",INDEX(Setup!$E$37:$E$49,$C110-36))))</f>
        <v/>
      </c>
      <c r="W110" s="16" t="str">
        <f aca="false">IF($O110="","",IF(OR(Fits!$C$5&lt;&gt;"Yes",$D110="Blank",$L110&lt;=Fits!$B$6),$O110,($L110*$O110-Fits!$B$6*Fits!$B$7)/($L110-Fits!$B$6)))</f>
        <v/>
      </c>
      <c r="X110" s="16" t="str">
        <f aca="false">IF($W110="","",$W110-Fits!$B$20*($L110-Fits!$B$16))</f>
        <v/>
      </c>
      <c r="Y110" s="22" t="str">
        <f aca="false">IF($W110="","",IF(OR(Fits!$B$38="Row",$BI110=""),$A110,$BI110))</f>
        <v/>
      </c>
      <c r="Z110" s="16" t="str">
        <f aca="false">IF($X110="","",$X110-Fits!$B$39*($Y110-Fits!$B$40))</f>
        <v/>
      </c>
      <c r="AA110" s="23" t="str">
        <f aca="false">IF(OR($Z110="",Fits!$B$55&lt;2),"",Fits!$B$56*$Z110+Fits!$B$57)</f>
        <v/>
      </c>
      <c r="AB110" s="16" t="str">
        <f aca="false">IF($R110="","",IF(OR(Fits!$C$9&lt;&gt;"Yes",$D110="Blank",$P110&lt;=Fits!$B$10),$R110,($P110*$R110-Fits!$B$10*Fits!$B$11)/($P110-Fits!$B$10)))</f>
        <v/>
      </c>
      <c r="AC110" s="16" t="str">
        <f aca="false">IF($AB110="","",$AB110-Fits!$B$28*($P110-Fits!$B$24))</f>
        <v/>
      </c>
      <c r="AD110" s="22" t="str">
        <f aca="false">IF($AB110="","",IF(OR(Fits!$B$50="Row",$BI110=""),$A110,$BI110))</f>
        <v/>
      </c>
      <c r="AE110" s="16" t="str">
        <f aca="false">IF($AC110="","",$AC110-Fits!$B$51*($AD110-Fits!$B$52))</f>
        <v/>
      </c>
      <c r="AF110" s="23" t="str">
        <f aca="false">IF(OR($AE110="",Fits!$B$62&lt;2),"",Fits!$B$63*$AE110+Fits!$B$64)</f>
        <v/>
      </c>
      <c r="AG110" s="21" t="str">
        <f aca="false">IF(OR($L110="",Fits!$B$69&lt;3),"",($L110-Fits!$B$71)/Fits!$B$70)</f>
        <v/>
      </c>
      <c r="AH110" s="21" t="str">
        <f aca="false">IF(OR($P110="",Fits!$B$75&lt;3),"",($P110-Fits!$B$77)/Fits!$B$76)</f>
        <v/>
      </c>
      <c r="AI110" s="23" t="str">
        <f aca="false">IF(OR($AG110="",$G110="",$G110=0),"",$AG110/($G110*1000)*100)</f>
        <v/>
      </c>
      <c r="AJ110" s="23" t="str">
        <f aca="false">IF(OR($AH110="",$G110="",$G110=0),"",$AH110/($G110*1000)*100)</f>
        <v/>
      </c>
      <c r="AK110" s="23" t="str">
        <f aca="false">IF(OR($AG110="",$AH110="",$AG110&lt;=0),"",($AH110/Setup!$B$52)/($AG110/Setup!$B$53))</f>
        <v/>
      </c>
      <c r="AL110" s="23" t="str">
        <f aca="false">IF(OR($AG110="",$AH110="",$AG110&lt;=0),"",$AH110/$AG110)</f>
        <v/>
      </c>
      <c r="AM110" s="9" t="str">
        <f aca="false">IF($D110="Linearity",IF($L110="","",$L110),"")</f>
        <v/>
      </c>
      <c r="AN110" s="9" t="str">
        <f aca="false">IF($D110="Linearity",IF($W110="","",$W110),"")</f>
        <v/>
      </c>
      <c r="AO110" s="9" t="str">
        <f aca="false">IF($D110="Linearity",IF($P110="","",$P110),"")</f>
        <v/>
      </c>
      <c r="AP110" s="9" t="str">
        <f aca="false">IF($D110="Linearity",IF($AB110="","",$AB110),"")</f>
        <v/>
      </c>
      <c r="AQ110" s="9" t="str">
        <f aca="false">IF($D110="Drift",IF($A110&lt;IF(Setup!$B$14="",0,Setup!$B$14),"",$A110),"")</f>
        <v/>
      </c>
      <c r="AR110" s="9" t="str">
        <f aca="false">IF($D110="Drift",IF($A110&lt;IF(Setup!$B$14="",0,Setup!$B$14),"",IF($BI110="","",$BI110)),"")</f>
        <v/>
      </c>
      <c r="AS110" s="9" t="str">
        <f aca="false">IF($D110="Drift",IF($A110&lt;IF(Setup!$B$14="",0,Setup!$B$14),"",IF(OR($X110="",$BX110=1),"",$X110)),"")</f>
        <v/>
      </c>
      <c r="AT110" s="9" t="str">
        <f aca="false">IF($D110="Drift",IF($A110&lt;IF(Setup!$B$14="",0,Setup!$B$14),"",IF(OR($AC110="",$BY110=1),"",$AC110)),"")</f>
        <v/>
      </c>
      <c r="AU110" s="9" t="str">
        <f aca="false">IF($D110="Anchor",IF(OR($Z110="",$S110=""),"",$Z110),"")</f>
        <v/>
      </c>
      <c r="AV110" s="9" t="str">
        <f aca="false">IF($D110="Anchor",IF(OR($Z110="",$S110=""),"",$S110),"")</f>
        <v/>
      </c>
      <c r="AW110" s="9" t="str">
        <f aca="false">IF($D110="Anchor",IF(OR($AE110="",$T110=""),"",$AE110),"")</f>
        <v/>
      </c>
      <c r="AX110" s="9" t="str">
        <f aca="false">IF($D110="Anchor",IF(OR($AE110="",$T110=""),"",$T110),"")</f>
        <v/>
      </c>
      <c r="AY110" s="9" t="str">
        <f aca="false">IF(OR($D110="Blank",$D110="Exclude",$D110="Sample",$D110="",$G110="",$U110="",$L110=""),"",$G110*1000*$U110/100)</f>
        <v/>
      </c>
      <c r="AZ110" s="9" t="str">
        <f aca="false">IF($AY110="","",$L110)</f>
        <v/>
      </c>
      <c r="BA110" s="9" t="str">
        <f aca="false">IF(OR($D110="Blank",$D110="Exclude",$D110="Sample",$D110="",$G110="",$V110="",$P110=""),"",$G110*1000*$V110/100)</f>
        <v/>
      </c>
      <c r="BB110" s="9" t="str">
        <f aca="false">IF($BA110="","",$P110)</f>
        <v/>
      </c>
      <c r="BC110" s="9" t="str">
        <f aca="false">IF(AND($D110="Blank",$L110&lt;&gt;""),$O110,"")</f>
        <v/>
      </c>
      <c r="BD110" s="9" t="str">
        <f aca="false">IF($BC110="","",$L110)</f>
        <v/>
      </c>
      <c r="BE110" s="9" t="str">
        <f aca="false">IF(AND($D110="Blank",$P110&lt;&gt;""),$R110,"")</f>
        <v/>
      </c>
      <c r="BF110" s="9" t="str">
        <f aca="false">IF($BE110="","",$P110)</f>
        <v/>
      </c>
      <c r="BG110" s="9" t="str">
        <f aca="false">IF(AND($D110="Drift",$BX110&lt;&gt;1),IF($AA110="","",$AA110),"")</f>
        <v/>
      </c>
      <c r="BH110" s="9" t="str">
        <f aca="false">IF(AND($D110="Drift",$BY110&lt;&gt;1),IF($AF110="","",$AF110),"")</f>
        <v/>
      </c>
      <c r="BI110" s="20" t="str">
        <f aca="false">IF($B110="","",IFERROR(INDEX(Raw!$G$2:$G$1001,MATCH($A110&amp;"|N|"&amp;SUMPRODUCT(MAX((Raw!$A$2:$A$1001=$A110)*(Raw!$R$2:$R$1001="N")*(Raw!$I$2:$I$1001=1)*Raw!$D$2:$D$1001)),Raw!$S$2:$S$1001,0)),""))</f>
        <v/>
      </c>
      <c r="BJ110" s="21" t="str">
        <f aca="false">IF(OR($BI110="",Fits!$B$85&lt;=0),"",($BI110-Fits!$B$83)/Fits!$B$85)</f>
        <v/>
      </c>
      <c r="BK110" s="9" t="str">
        <f aca="false">IF($AS110="","",IF($A110&gt;=Fits!$B$86,"",$A110))</f>
        <v/>
      </c>
      <c r="BL110" s="9" t="str">
        <f aca="false">IF($BK110="","",$X110)</f>
        <v/>
      </c>
      <c r="BM110" s="9" t="str">
        <f aca="false">IF($AS110="","",IF($A110&lt;Fits!$B$86,"",$A110))</f>
        <v/>
      </c>
      <c r="BN110" s="9" t="str">
        <f aca="false">IF($BM110="","",$X110)</f>
        <v/>
      </c>
      <c r="BO110" s="9" t="str">
        <f aca="false">IF(AND($D110="Drift",$BX110&lt;&gt;1),IF($O110="","",$O110),"")</f>
        <v/>
      </c>
      <c r="BP110" s="9" t="str">
        <f aca="false">IF(AND($D110="Drift",$BX110&lt;&gt;1),IF($W110="","",$W110),"")</f>
        <v/>
      </c>
      <c r="BQ110" s="9" t="str">
        <f aca="false">IF(AND($D110="Drift",$BX110&lt;&gt;1),IF($X110="","",$X110),"")</f>
        <v/>
      </c>
      <c r="BR110" s="9" t="str">
        <f aca="false">IF(AND($D110="Drift",$BX110&lt;&gt;1),IF($Z110="","",$Z110),"")</f>
        <v/>
      </c>
      <c r="BS110" s="9" t="str">
        <f aca="false">IF(OR($B110="",$H110=""),"",SUMPRODUCT(MIN((Raw!$A$2:$A$1001=$A110)*(Raw!$R$2:$R$1001="N")*(Raw!$I$2:$I$1001=0)*(Raw!$D$2:$D$1001&lt;$H110)*Raw!$D$2:$D$1001+(1-(Raw!$A$2:$A$1001=$A110)*(Raw!$R$2:$R$1001="N")*(Raw!$I$2:$I$1001=0)*(Raw!$D$2:$D$1001&lt;$H110))*9999)))</f>
        <v/>
      </c>
      <c r="BT110" s="16" t="str">
        <f aca="false">IF(OR($BS110="",$BS110=9999,$BS110=0),"",IFERROR(INDEX(Raw!$N$2:$N$1001,MATCH($A110&amp;"|N|"&amp;$BS110,Raw!$S$2:$S$1001,0)),""))</f>
        <v/>
      </c>
      <c r="BU110" s="9" t="str">
        <f aca="false">IF($B110="","",SUMPRODUCT(MIN((Raw!$A$2:$A$1001=$A110)*(Raw!$R$2:$R$1001="C")*(Raw!$I$2:$I$1001=1)*Raw!$D$2:$D$1001+(1-(Raw!$A$2:$A$1001=$A110)*(Raw!$R$2:$R$1001="C")*(Raw!$I$2:$I$1001=1))*9999)))</f>
        <v/>
      </c>
      <c r="BV110" s="9" t="str">
        <f aca="false">IF(OR($BU110="",$BU110=9999),"",SUMPRODUCT(MIN((Raw!$A$2:$A$1001=$A110)*(Raw!$R$2:$R$1001="C")*(Raw!$I$2:$I$1001=0)*(Raw!$D$2:$D$1001&gt;$BU110)*Raw!$D$2:$D$1001+(1-(Raw!$A$2:$A$1001=$A110)*(Raw!$R$2:$R$1001="C")*(Raw!$I$2:$I$1001=0)*(Raw!$D$2:$D$1001&gt;$BU110))*9999)))</f>
        <v/>
      </c>
      <c r="BW110" s="16" t="str">
        <f aca="false">IF(OR($BV110="",$BV110=9999,$BV110=0),"",IFERROR(INDEX(Raw!$O$2:$O$1001,MATCH($A110&amp;"|C|"&amp;$BV110,Raw!$S$2:$S$1001,0)),""))</f>
        <v/>
      </c>
      <c r="BX110" s="9" t="str">
        <f aca="false">IF($B110="","",IF(ISNUMBER(SEARCH(","&amp;$A110&amp;",",","&amp;SUBSTITUTE(Setup!$B$16," ","")&amp;",")),1,0))</f>
        <v/>
      </c>
      <c r="BY110" s="9" t="str">
        <f aca="false">IF($B110="","",IF(ISNUMBER(SEARCH(","&amp;$A110&amp;",",","&amp;SUBSTITUTE(Setup!$B$17," ","")&amp;",")),1,0))</f>
        <v/>
      </c>
      <c r="BZ110" s="22" t="str">
        <f aca="false">IF($AS110="","",IF(Fits!$B$38="Row",$AQ110,IF($AR110="","",$AR110)))</f>
        <v/>
      </c>
      <c r="CA110" s="22" t="str">
        <f aca="false">IF($AT110="","",IF(Fits!$B$50="Row",$AQ110,IF($AR110="","",$AR110)))</f>
        <v/>
      </c>
      <c r="CB110" s="20" t="str">
        <f aca="false">IF(OR($D110&lt;&gt;"Drift",$X110="",$A110&lt;IF(Setup!$B$14="",0,Setup!$B$14),Fits!$B$107&lt;3,Fits!$B$110="",Fits!$B$109=0,IF(Fits!$B$38="Row",$AQ110,$AR110)=""),"",IF($BX110=1,IF(OR(Fits!$B$111="",Fits!$B$111=0),"",($X110-(IF(Fits!$B$38="Row",Fits!$B$32,Fits!$B$35)*IF(Fits!$B$38="Row",$AQ110,$AR110)+Fits!$B$110))/(Fits!$B$111*SQRT(1+(1/Fits!$B$107+(IF(Fits!$B$38="Row",$AQ110,$AR110)-Fits!$B$108)^2/Fits!$B$109)))),IF(OR(Fits!$B$107&lt;4,(1/Fits!$B$107+(IF(Fits!$B$38="Row",$AQ110,$AR110)-Fits!$B$108)^2/Fits!$B$109)&gt;=1),"",IF((Fits!$B$116-($X110-(IF(Fits!$B$38="Row",Fits!$B$32,Fits!$B$35)*IF(Fits!$B$38="Row",$AQ110,$AR110)+Fits!$B$110))^2/(1-(1/Fits!$B$107+(IF(Fits!$B$38="Row",$AQ110,$AR110)-Fits!$B$108)^2/Fits!$B$109)))&lt;=0,"",($X110-(IF(Fits!$B$38="Row",Fits!$B$32,Fits!$B$35)*IF(Fits!$B$38="Row",$AQ110,$AR110)+Fits!$B$110))/(SQRT((Fits!$B$116-($X110-(IF(Fits!$B$38="Row",Fits!$B$32,Fits!$B$35)*IF(Fits!$B$38="Row",$AQ110,$AR110)+Fits!$B$110))^2/(1-(1/Fits!$B$107+(IF(Fits!$B$38="Row",$AQ110,$AR110)-Fits!$B$108)^2/Fits!$B$109)))/(Fits!$B$107-3))*SQRT(1-(1/Fits!$B$107+(IF(Fits!$B$38="Row",$AQ110,$AR110)-Fits!$B$108)^2/Fits!$B$109)))))))</f>
        <v/>
      </c>
      <c r="CC110" s="20" t="str">
        <f aca="false">IF(OR($D110&lt;&gt;"Drift",$AC110="",$A110&lt;IF(Setup!$B$14="",0,Setup!$B$14),Fits!$B$120&lt;3,Fits!$B$123="",Fits!$B$122=0,IF(Fits!$B$50="Row",$AQ110,$AR110)=""),"",IF($BY110=1,IF(OR(Fits!$B$124="",Fits!$B$124=0),"",($AC110-(IF(Fits!$B$50="Row",Fits!$B$44,Fits!$B$47)*IF(Fits!$B$50="Row",$AQ110,$AR110)+Fits!$B$123))/(Fits!$B$124*SQRT(1+(1/Fits!$B$120+(IF(Fits!$B$50="Row",$AQ110,$AR110)-Fits!$B$121)^2/Fits!$B$122)))),IF(OR(Fits!$B$120&lt;4,(1/Fits!$B$120+(IF(Fits!$B$50="Row",$AQ110,$AR110)-Fits!$B$121)^2/Fits!$B$122)&gt;=1),"",IF((Fits!$B$129-($AC110-(IF(Fits!$B$50="Row",Fits!$B$44,Fits!$B$47)*IF(Fits!$B$50="Row",$AQ110,$AR110)+Fits!$B$123))^2/(1-(1/Fits!$B$120+(IF(Fits!$B$50="Row",$AQ110,$AR110)-Fits!$B$121)^2/Fits!$B$122)))&lt;=0,"",($AC110-(IF(Fits!$B$50="Row",Fits!$B$44,Fits!$B$47)*IF(Fits!$B$50="Row",$AQ110,$AR110)+Fits!$B$123))/(SQRT((Fits!$B$129-($AC110-(IF(Fits!$B$50="Row",Fits!$B$44,Fits!$B$47)*IF(Fits!$B$50="Row",$AQ110,$AR110)+Fits!$B$123))^2/(1-(1/Fits!$B$120+(IF(Fits!$B$50="Row",$AQ110,$AR110)-Fits!$B$121)^2/Fits!$B$122)))/(Fits!$B$120-3))*SQRT(1-(1/Fits!$B$120+(IF(Fits!$B$50="Row",$AQ110,$AR110)-Fits!$B$121)^2/Fits!$B$122)))))))</f>
        <v/>
      </c>
      <c r="CD110" s="9" t="str">
        <f aca="false">IF($AU110="","",1)</f>
        <v/>
      </c>
      <c r="CE110" s="24" t="str">
        <f aca="false">IF($AU110="","",$AU110-Fits!$B$133)</f>
        <v/>
      </c>
      <c r="CF110" s="24" t="str">
        <f aca="false">IF($AU110="","",($AV110-(Fits!$B$56*$AU110+Fits!$B$57))-Fits!$B$56*($AU110-Fits!$B$133))</f>
        <v/>
      </c>
      <c r="CG110" s="25" t="str">
        <f aca="false">IF($AU110="","",$AU110^2)</f>
        <v/>
      </c>
      <c r="CH110" s="9" t="str">
        <f aca="false">IF($AW110="","",1)</f>
        <v/>
      </c>
      <c r="CI110" s="24" t="str">
        <f aca="false">IF($AW110="","",$AW110-Fits!$B$153)</f>
        <v/>
      </c>
      <c r="CJ110" s="24" t="str">
        <f aca="false">IF($AW110="","",($AX110-(Fits!$B$63*$AW110+Fits!$B$64))-Fits!$B$63*($AW110-Fits!$B$153))</f>
        <v/>
      </c>
      <c r="CK110" s="25" t="str">
        <f aca="false">IF($AW110="","",$AW110^2)</f>
        <v/>
      </c>
      <c r="CL110" s="26" t="str">
        <f aca="false">IF(OR($Z110="",Fits!$B$55&lt;3,Fits!$B$133="",Fits!$B$134="",Fits!$B$134=0,Fits!$B$136=""),"",SQRT((Fits!$B$136*Fits!$B$56)^2+SUMPRODUCT((Fits!$J$163:$J$175*(Fits!$B$163:$B$175/Fits!$B$55+Fits!$H$163:$H$175*($Z110-Fits!$B$133)/Fits!$B$134))^2)+SUMPRODUCT((Fits!$G$163:$G$175*(($Z110-Fits!$B$133)*Fits!$I$163:$I$175/Fits!$B$134-Fits!$B$163:$B$175*Fits!$B$56/Fits!$B$55))^2)))</f>
        <v/>
      </c>
      <c r="CM110" s="26" t="str">
        <f aca="false">IF($CL110="","",Setup!$B$32*$CL110)</f>
        <v/>
      </c>
      <c r="CN110" s="26" t="str">
        <f aca="false">IF(OR($AE110="",Fits!$B$62&lt;3,Fits!$B$153="",Fits!$B$154="",Fits!$B$154=0,Fits!$B$156=""),"",SQRT((Fits!$B$156*Fits!$B$63)^2+SUMPRODUCT((Fits!$J$183:$J$195*(Fits!$B$183:$B$195/Fits!$B$62+Fits!$H$183:$H$195*($AE110-Fits!$B$153)/Fits!$B$154))^2)+SUMPRODUCT((Fits!$G$183:$G$195*(($AE110-Fits!$B$153)*Fits!$I$183:$I$195/Fits!$B$154-Fits!$B$183:$B$195*Fits!$B$63/Fits!$B$62))^2)))</f>
        <v/>
      </c>
      <c r="CO110" s="26" t="str">
        <f aca="false">IF($CN110="","",Setup!$B$32*$CN110)</f>
        <v/>
      </c>
      <c r="CP110" s="9" t="n">
        <f aca="false">IF(OR(NOT(ISNUMBER($BJ110)),$EK110=1),$CP109,IF($BJ110&lt;=Setup!$B$26,$CP109+1,0))</f>
        <v>26</v>
      </c>
      <c r="CQ110" s="9" t="str">
        <f aca="false">IF($BT110="","",$A110)</f>
        <v/>
      </c>
      <c r="CR110" s="9" t="str">
        <f aca="false">IF($BW110="","",$A110)</f>
        <v/>
      </c>
      <c r="CS110" s="9" t="str">
        <f aca="false">IF($B110="","",IF(Setup!$A$37="",0,IF(ISNUMBER(SEARCH(Setup!$A$37,$B110)),37,0)))</f>
        <v/>
      </c>
      <c r="CT110" s="9" t="str">
        <f aca="false">IF($B110="","",IF(Setup!$A$38="",0,IF(ISNUMBER(SEARCH(Setup!$A$38,$B110)),38,0)))</f>
        <v/>
      </c>
      <c r="CU110" s="9" t="str">
        <f aca="false">IF($B110="","",IF(Setup!$A$39="",0,IF(ISNUMBER(SEARCH(Setup!$A$39,$B110)),39,0)))</f>
        <v/>
      </c>
      <c r="CV110" s="9" t="str">
        <f aca="false">IF($B110="","",IF(Setup!$A$40="",0,IF(ISNUMBER(SEARCH(Setup!$A$40,$B110)),40,0)))</f>
        <v/>
      </c>
      <c r="CW110" s="9" t="str">
        <f aca="false">IF($B110="","",IF(Setup!$A$41="",0,IF(ISNUMBER(SEARCH(Setup!$A$41,$B110)),41,0)))</f>
        <v/>
      </c>
      <c r="CX110" s="9" t="str">
        <f aca="false">IF($B110="","",IF(Setup!$A$42="",0,IF(ISNUMBER(SEARCH(Setup!$A$42,$B110)),42,0)))</f>
        <v/>
      </c>
      <c r="CY110" s="9" t="str">
        <f aca="false">IF($B110="","",IF(Setup!$A$43="",0,IF(ISNUMBER(SEARCH(Setup!$A$43,$B110)),43,0)))</f>
        <v/>
      </c>
      <c r="CZ110" s="9" t="str">
        <f aca="false">IF($B110="","",IF(Setup!$A$44="",0,IF(ISNUMBER(SEARCH(Setup!$A$44,$B110)),44,0)))</f>
        <v/>
      </c>
      <c r="DA110" s="9" t="str">
        <f aca="false">IF($B110="","",IF(Setup!$A$45="",0,IF(ISNUMBER(SEARCH(Setup!$A$45,$B110)),45,0)))</f>
        <v/>
      </c>
      <c r="DB110" s="9" t="str">
        <f aca="false">IF($B110="","",IF(Setup!$A$46="",0,IF(ISNUMBER(SEARCH(Setup!$A$46,$B110)),46,0)))</f>
        <v/>
      </c>
      <c r="DC110" s="9" t="str">
        <f aca="false">IF($B110="","",IF(Setup!$A$47="",0,IF(ISNUMBER(SEARCH(Setup!$A$47,$B110)),47,0)))</f>
        <v/>
      </c>
      <c r="DD110" s="9" t="str">
        <f aca="false">IF($B110="","",IF(Setup!$A$48="",0,IF(ISNUMBER(SEARCH(Setup!$A$48,$B110)),48,0)))</f>
        <v/>
      </c>
      <c r="DE110" s="9" t="str">
        <f aca="false">IF($B110="","",IF(Setup!$A$49="",0,IF(ISNUMBER(SEARCH(Setup!$A$49,$B110)),49,0)))</f>
        <v/>
      </c>
      <c r="DF110" s="9" t="e">
        <f aca="false">IF($B110="",NA(),$A110)</f>
        <v>#N/A</v>
      </c>
      <c r="DG110" s="9" t="e">
        <f aca="false">IF($BI110="",NA(),$BI110)</f>
        <v>#N/A</v>
      </c>
      <c r="DH110" s="9" t="e">
        <f aca="false">IF($N110="",NA(),$N110)</f>
        <v>#N/A</v>
      </c>
      <c r="DI110" s="9" t="e">
        <f aca="false">IF(AND($D110="Drift",$N110&lt;&gt;""),$N110,NA())</f>
        <v>#N/A</v>
      </c>
      <c r="DJ110" s="9" t="str">
        <f aca="false">IF(AND($D110="Drift",$N110&lt;&gt;""),$N110,"")</f>
        <v/>
      </c>
      <c r="DK110" s="9" t="str">
        <f aca="false">IF($DJ110="","",$A110)</f>
        <v/>
      </c>
      <c r="DL110" s="9" t="e">
        <f aca="false">IF($AN110="",NA(),$AM110)</f>
        <v>#N/A</v>
      </c>
      <c r="DM110" s="9" t="e">
        <f aca="false">IF($AN110="",NA(),$AN110)</f>
        <v>#N/A</v>
      </c>
      <c r="DN110" s="9" t="e">
        <f aca="false">IF(AND($D110="Sample",$L110&lt;&gt;""),$L110,NA())</f>
        <v>#N/A</v>
      </c>
      <c r="DO110" s="9" t="e">
        <f aca="false">IF(AND($D110="Sample",$L110&lt;&gt;"",Fits!$B$98&lt;&gt;""),Fits!$B$98,NA())</f>
        <v>#N/A</v>
      </c>
      <c r="DP110" s="9" t="e">
        <f aca="false">IF($AS110="",NA(),$AS110)</f>
        <v>#N/A</v>
      </c>
      <c r="DQ110" s="9" t="e">
        <f aca="false">IF(AND($D110="Drift",$AS110="",$X110&lt;&gt;""),$X110,NA())</f>
        <v>#N/A</v>
      </c>
      <c r="DR110" s="9" t="e">
        <f aca="false">IF(AND($D110="Drift",$Z110&lt;&gt;""),$Z110,NA())</f>
        <v>#N/A</v>
      </c>
      <c r="DS110" s="9" t="e">
        <f aca="false">IF(AND(OR($D110="Sample",$D110="Check"),$AA110&lt;&gt;""),$AA110,NA())</f>
        <v>#N/A</v>
      </c>
      <c r="DT110" s="9" t="e">
        <f aca="false">IF(OR($B110="",Fits!$B$138=""),NA(),Fits!$B$138)</f>
        <v>#N/A</v>
      </c>
      <c r="DU110" s="9" t="e">
        <f aca="false">IF(OR($B110="",Fits!$B$139=""),NA(),Fits!$B$139)</f>
        <v>#N/A</v>
      </c>
      <c r="DV110" s="9" t="e">
        <f aca="false">IF($BT110="",NA(),$BT110)</f>
        <v>#N/A</v>
      </c>
      <c r="DW110" s="9" t="e">
        <f aca="false">IF($AP110="",NA(),$AO110)</f>
        <v>#N/A</v>
      </c>
      <c r="DX110" s="9" t="e">
        <f aca="false">IF($AP110="",NA(),$AP110)</f>
        <v>#N/A</v>
      </c>
      <c r="DY110" s="9" t="e">
        <f aca="false">IF(AND($D110="Sample",$P110&lt;&gt;""),$P110,NA())</f>
        <v>#N/A</v>
      </c>
      <c r="DZ110" s="9" t="e">
        <f aca="false">IF(AND($D110="Sample",$P110&lt;&gt;"",Fits!$B$105&lt;&gt;""),Fits!$B$105,NA())</f>
        <v>#N/A</v>
      </c>
      <c r="EA110" s="9" t="e">
        <f aca="false">IF($AT110="",NA(),$AT110)</f>
        <v>#N/A</v>
      </c>
      <c r="EB110" s="9" t="e">
        <f aca="false">IF(AND($D110="Drift",$AT110="",$AC110&lt;&gt;""),$AC110,NA())</f>
        <v>#N/A</v>
      </c>
      <c r="EC110" s="9" t="e">
        <f aca="false">IF(AND($D110="Drift",$AE110&lt;&gt;""),$AE110,NA())</f>
        <v>#N/A</v>
      </c>
      <c r="ED110" s="9" t="e">
        <f aca="false">IF(AND(OR($D110="Sample",$D110="Check"),$AF110&lt;&gt;""),$AF110,NA())</f>
        <v>#N/A</v>
      </c>
      <c r="EE110" s="9" t="e">
        <f aca="false">IF(OR($B110="",Fits!$B$158=""),NA(),Fits!$B$158)</f>
        <v>#N/A</v>
      </c>
      <c r="EF110" s="9" t="e">
        <f aca="false">IF(OR($B110="",Fits!$B$159=""),NA(),Fits!$B$159)</f>
        <v>#N/A</v>
      </c>
      <c r="EG110" s="9" t="e">
        <f aca="false">IF($BW110="",NA(),$BW110)</f>
        <v>#N/A</v>
      </c>
      <c r="EH110" s="9" t="e">
        <f aca="false">IF(AND($EN110=1,ISNUMBER($N110)),$N110,NA())</f>
        <v>#N/A</v>
      </c>
      <c r="EI110" s="9" t="str">
        <f aca="false">IF($B110="","",$A110)</f>
        <v/>
      </c>
      <c r="EJ110" s="9" t="n">
        <f aca="false">IF(OR(AND(ISNUMBER($L110),Fits!$B$97&gt;0,$L110&gt;Fits!$B$97),AND(ISNUMBER($P110),Fits!$B$104&gt;0,$P110&gt;Fits!$B$104)),1,0)</f>
        <v>0</v>
      </c>
      <c r="EK110" s="9" t="n">
        <f aca="false">IF(OR($EJ109=1,$EJ108=1),1,0)</f>
        <v>0</v>
      </c>
      <c r="EL110" s="22" t="n">
        <f aca="false">IF(AND($EK110=0,ISNUMBER($N110)),$N110,$EL109)</f>
        <v>25.7</v>
      </c>
      <c r="EM110" s="9" t="str">
        <f aca="false">IF(AND($EK110=1,ISNUMBER($N110),ISNUMBER($EL110)),$N110-$EL110,"")</f>
        <v/>
      </c>
      <c r="EN110" s="9" t="n">
        <f aca="false">IF(Setup!$B$28="",0,IF(ISNUMBER($EM110),IF($EM110&gt;Setup!$B$28,1,0),0))</f>
        <v>0</v>
      </c>
      <c r="EO110" s="9" t="str">
        <f aca="false">IF($EN110=1,COUNTIF($EN$6:$EN110,1),"")</f>
        <v/>
      </c>
      <c r="EP110" s="9" t="n">
        <f aca="false">IF(AND($EJ109=1,OR($D110="Sample",$D110="Check")),1,0)</f>
        <v>0</v>
      </c>
      <c r="EQ110" s="9" t="str">
        <f aca="false">IF(ISNUMBER($BI110),IF(COUNT($BI$6:$BI110)&lt;=5,$BI110,""),"")</f>
        <v/>
      </c>
      <c r="ER110" s="9" t="n">
        <f aca="false">IF(OR(NOT(ISNUMBER($BJ110)),$EK110=1),$ER109,IF($BJ110&lt;=Setup!$B$26,IF($CP109=0,$A110,$ER109),""))</f>
        <v>27</v>
      </c>
    </row>
    <row r="111" customFormat="false" ht="15" hidden="false" customHeight="false" outlineLevel="0" collapsed="false">
      <c r="A111" s="8" t="n">
        <v>106</v>
      </c>
      <c r="B111" s="8" t="str">
        <f aca="false">IFERROR(INDEX(Raw!$B$2:$B$1001,MATCH($A111,Raw!$A$2:$A$1001,0)),"")</f>
        <v/>
      </c>
      <c r="C111" s="9" t="str">
        <f aca="false">IF($B111="","",MAX($CS111:$DE111))</f>
        <v/>
      </c>
      <c r="D111" s="8" t="str">
        <f aca="false">IF($B111="","",IF($C111=0,"Sample",INDEX(Setup!$B$37:$B$49,$C111-36)))</f>
        <v/>
      </c>
      <c r="E111" s="16" t="str">
        <f aca="false">IF($B111="","",IFERROR(IF(INDEX(Raw!$E$2:$E$1001,MATCH($A111,Raw!$A$2:$A$1001,0))=0,"",INDEX(Raw!$E$2:$E$1001,MATCH($A111,Raw!$A$2:$A$1001,0))),""))</f>
        <v/>
      </c>
      <c r="F111" s="18"/>
      <c r="G111" s="16" t="str">
        <f aca="false">IF($B111="","",IF($F111&lt;&gt;"",$F111,IF($E111="","",$E111)))</f>
        <v/>
      </c>
      <c r="H111" s="9" t="str">
        <f aca="false">IF($B111="","",SUMPRODUCT(MAX((Raw!$A$2:$A$1001=$A111)*(Raw!$R$2:$R$1001="N")*Raw!$D$2:$D$1001)))</f>
        <v/>
      </c>
      <c r="I111" s="9" t="str">
        <f aca="false">IF(OR($H111="",$H111=0),"",$A111&amp;"|N|"&amp;$H111)</f>
        <v/>
      </c>
      <c r="J111" s="9" t="str">
        <f aca="false">IF($B111="","",SUMPRODUCT(MIN((Raw!$A$2:$A$1001=$A111)*(Raw!$R$2:$R$1001="C")*Raw!$D$2:$D$1001+(1-(Raw!$A$2:$A$1001=$A111)*(Raw!$R$2:$R$1001="C"))*9999)))</f>
        <v/>
      </c>
      <c r="K111" s="9" t="str">
        <f aca="false">IF(OR($J111="",$J111=0,$J111=9999),"",$A111&amp;"|C|"&amp;$J111)</f>
        <v/>
      </c>
      <c r="L111" s="16" t="str">
        <f aca="false">IF($I111="","",IF(INDEX(Raw!$I$2:$I$1001,MATCH($I111,Raw!$S$2:$S$1001,0))&lt;&gt;0,"",INDEX(Raw!$H$2:$H$1001,MATCH($I111,Raw!$S$2:$S$1001,0))))</f>
        <v/>
      </c>
      <c r="M111" s="19" t="str">
        <f aca="false">IF($I111="","",IF(INDEX(Raw!$I$2:$I$1001,MATCH($I111,Raw!$S$2:$S$1001,0))&lt;&gt;0,"",INDEX(Raw!$F$2:$F$1001,MATCH($I111,Raw!$S$2:$S$1001,0))))</f>
        <v/>
      </c>
      <c r="N111" s="20" t="str">
        <f aca="false">IF($I111="","",IF(INDEX(Raw!$I$2:$I$1001,MATCH($I111,Raw!$S$2:$S$1001,0))&lt;&gt;0,"",INDEX(Raw!$G$2:$G$1001,MATCH($I111,Raw!$S$2:$S$1001,0))))</f>
        <v/>
      </c>
      <c r="O111" s="16" t="str">
        <f aca="false">IF($I111="","",IF(INDEX(Raw!$I$2:$I$1001,MATCH($I111,Raw!$S$2:$S$1001,0))&lt;&gt;0,"",INDEX(Raw!$N$2:$N$1001,MATCH($I111,Raw!$S$2:$S$1001,0))))</f>
        <v/>
      </c>
      <c r="P111" s="16" t="str">
        <f aca="false">IF($K111="","",IF(INDEX(Raw!$I$2:$I$1001,MATCH($K111,Raw!$S$2:$S$1001,0))&lt;&gt;0,"",INDEX(Raw!$K$2:$K$1001,MATCH($K111,Raw!$S$2:$S$1001,0))))</f>
        <v/>
      </c>
      <c r="Q111" s="19" t="str">
        <f aca="false">IF($K111="","",IF(INDEX(Raw!$I$2:$I$1001,MATCH($K111,Raw!$S$2:$S$1001,0))&lt;&gt;0,"",INDEX(Raw!$J$2:$J$1001,MATCH($K111,Raw!$S$2:$S$1001,0))))</f>
        <v/>
      </c>
      <c r="R111" s="16" t="str">
        <f aca="false">IF($K111="","",IF(INDEX(Raw!$I$2:$I$1001,MATCH($K111,Raw!$S$2:$S$1001,0))&lt;&gt;0,"",INDEX(Raw!$O$2:$O$1001,MATCH($K111,Raw!$S$2:$S$1001,0))))</f>
        <v/>
      </c>
      <c r="S111" s="21" t="str">
        <f aca="false">IF($B111="","",IF($C111=0,"",IF(INDEX(Setup!$D$37:$D$49,$C111-36)="","",INDEX(Setup!$D$37:$D$49,$C111-36))))</f>
        <v/>
      </c>
      <c r="T111" s="21" t="str">
        <f aca="false">IF($B111="","",IF($C111=0,"",IF(INDEX(Setup!$C$37:$C$49,$C111-36)="","",INDEX(Setup!$C$37:$C$49,$C111-36))))</f>
        <v/>
      </c>
      <c r="U111" s="21" t="str">
        <f aca="false">IF($B111="","",IF($C111=0,"",IF(INDEX(Setup!$F$37:$F$49,$C111-36)="","",INDEX(Setup!$F$37:$F$49,$C111-36))))</f>
        <v/>
      </c>
      <c r="V111" s="21" t="str">
        <f aca="false">IF($B111="","",IF($C111=0,"",IF(INDEX(Setup!$E$37:$E$49,$C111-36)="","",INDEX(Setup!$E$37:$E$49,$C111-36))))</f>
        <v/>
      </c>
      <c r="W111" s="16" t="str">
        <f aca="false">IF($O111="","",IF(OR(Fits!$C$5&lt;&gt;"Yes",$D111="Blank",$L111&lt;=Fits!$B$6),$O111,($L111*$O111-Fits!$B$6*Fits!$B$7)/($L111-Fits!$B$6)))</f>
        <v/>
      </c>
      <c r="X111" s="16" t="str">
        <f aca="false">IF($W111="","",$W111-Fits!$B$20*($L111-Fits!$B$16))</f>
        <v/>
      </c>
      <c r="Y111" s="22" t="str">
        <f aca="false">IF($W111="","",IF(OR(Fits!$B$38="Row",$BI111=""),$A111,$BI111))</f>
        <v/>
      </c>
      <c r="Z111" s="16" t="str">
        <f aca="false">IF($X111="","",$X111-Fits!$B$39*($Y111-Fits!$B$40))</f>
        <v/>
      </c>
      <c r="AA111" s="23" t="str">
        <f aca="false">IF(OR($Z111="",Fits!$B$55&lt;2),"",Fits!$B$56*$Z111+Fits!$B$57)</f>
        <v/>
      </c>
      <c r="AB111" s="16" t="str">
        <f aca="false">IF($R111="","",IF(OR(Fits!$C$9&lt;&gt;"Yes",$D111="Blank",$P111&lt;=Fits!$B$10),$R111,($P111*$R111-Fits!$B$10*Fits!$B$11)/($P111-Fits!$B$10)))</f>
        <v/>
      </c>
      <c r="AC111" s="16" t="str">
        <f aca="false">IF($AB111="","",$AB111-Fits!$B$28*($P111-Fits!$B$24))</f>
        <v/>
      </c>
      <c r="AD111" s="22" t="str">
        <f aca="false">IF($AB111="","",IF(OR(Fits!$B$50="Row",$BI111=""),$A111,$BI111))</f>
        <v/>
      </c>
      <c r="AE111" s="16" t="str">
        <f aca="false">IF($AC111="","",$AC111-Fits!$B$51*($AD111-Fits!$B$52))</f>
        <v/>
      </c>
      <c r="AF111" s="23" t="str">
        <f aca="false">IF(OR($AE111="",Fits!$B$62&lt;2),"",Fits!$B$63*$AE111+Fits!$B$64)</f>
        <v/>
      </c>
      <c r="AG111" s="21" t="str">
        <f aca="false">IF(OR($L111="",Fits!$B$69&lt;3),"",($L111-Fits!$B$71)/Fits!$B$70)</f>
        <v/>
      </c>
      <c r="AH111" s="21" t="str">
        <f aca="false">IF(OR($P111="",Fits!$B$75&lt;3),"",($P111-Fits!$B$77)/Fits!$B$76)</f>
        <v/>
      </c>
      <c r="AI111" s="23" t="str">
        <f aca="false">IF(OR($AG111="",$G111="",$G111=0),"",$AG111/($G111*1000)*100)</f>
        <v/>
      </c>
      <c r="AJ111" s="23" t="str">
        <f aca="false">IF(OR($AH111="",$G111="",$G111=0),"",$AH111/($G111*1000)*100)</f>
        <v/>
      </c>
      <c r="AK111" s="23" t="str">
        <f aca="false">IF(OR($AG111="",$AH111="",$AG111&lt;=0),"",($AH111/Setup!$B$52)/($AG111/Setup!$B$53))</f>
        <v/>
      </c>
      <c r="AL111" s="23" t="str">
        <f aca="false">IF(OR($AG111="",$AH111="",$AG111&lt;=0),"",$AH111/$AG111)</f>
        <v/>
      </c>
      <c r="AM111" s="9" t="str">
        <f aca="false">IF($D111="Linearity",IF($L111="","",$L111),"")</f>
        <v/>
      </c>
      <c r="AN111" s="9" t="str">
        <f aca="false">IF($D111="Linearity",IF($W111="","",$W111),"")</f>
        <v/>
      </c>
      <c r="AO111" s="9" t="str">
        <f aca="false">IF($D111="Linearity",IF($P111="","",$P111),"")</f>
        <v/>
      </c>
      <c r="AP111" s="9" t="str">
        <f aca="false">IF($D111="Linearity",IF($AB111="","",$AB111),"")</f>
        <v/>
      </c>
      <c r="AQ111" s="9" t="str">
        <f aca="false">IF($D111="Drift",IF($A111&lt;IF(Setup!$B$14="",0,Setup!$B$14),"",$A111),"")</f>
        <v/>
      </c>
      <c r="AR111" s="9" t="str">
        <f aca="false">IF($D111="Drift",IF($A111&lt;IF(Setup!$B$14="",0,Setup!$B$14),"",IF($BI111="","",$BI111)),"")</f>
        <v/>
      </c>
      <c r="AS111" s="9" t="str">
        <f aca="false">IF($D111="Drift",IF($A111&lt;IF(Setup!$B$14="",0,Setup!$B$14),"",IF(OR($X111="",$BX111=1),"",$X111)),"")</f>
        <v/>
      </c>
      <c r="AT111" s="9" t="str">
        <f aca="false">IF($D111="Drift",IF($A111&lt;IF(Setup!$B$14="",0,Setup!$B$14),"",IF(OR($AC111="",$BY111=1),"",$AC111)),"")</f>
        <v/>
      </c>
      <c r="AU111" s="9" t="str">
        <f aca="false">IF($D111="Anchor",IF(OR($Z111="",$S111=""),"",$Z111),"")</f>
        <v/>
      </c>
      <c r="AV111" s="9" t="str">
        <f aca="false">IF($D111="Anchor",IF(OR($Z111="",$S111=""),"",$S111),"")</f>
        <v/>
      </c>
      <c r="AW111" s="9" t="str">
        <f aca="false">IF($D111="Anchor",IF(OR($AE111="",$T111=""),"",$AE111),"")</f>
        <v/>
      </c>
      <c r="AX111" s="9" t="str">
        <f aca="false">IF($D111="Anchor",IF(OR($AE111="",$T111=""),"",$T111),"")</f>
        <v/>
      </c>
      <c r="AY111" s="9" t="str">
        <f aca="false">IF(OR($D111="Blank",$D111="Exclude",$D111="Sample",$D111="",$G111="",$U111="",$L111=""),"",$G111*1000*$U111/100)</f>
        <v/>
      </c>
      <c r="AZ111" s="9" t="str">
        <f aca="false">IF($AY111="","",$L111)</f>
        <v/>
      </c>
      <c r="BA111" s="9" t="str">
        <f aca="false">IF(OR($D111="Blank",$D111="Exclude",$D111="Sample",$D111="",$G111="",$V111="",$P111=""),"",$G111*1000*$V111/100)</f>
        <v/>
      </c>
      <c r="BB111" s="9" t="str">
        <f aca="false">IF($BA111="","",$P111)</f>
        <v/>
      </c>
      <c r="BC111" s="9" t="str">
        <f aca="false">IF(AND($D111="Blank",$L111&lt;&gt;""),$O111,"")</f>
        <v/>
      </c>
      <c r="BD111" s="9" t="str">
        <f aca="false">IF($BC111="","",$L111)</f>
        <v/>
      </c>
      <c r="BE111" s="9" t="str">
        <f aca="false">IF(AND($D111="Blank",$P111&lt;&gt;""),$R111,"")</f>
        <v/>
      </c>
      <c r="BF111" s="9" t="str">
        <f aca="false">IF($BE111="","",$P111)</f>
        <v/>
      </c>
      <c r="BG111" s="9" t="str">
        <f aca="false">IF(AND($D111="Drift",$BX111&lt;&gt;1),IF($AA111="","",$AA111),"")</f>
        <v/>
      </c>
      <c r="BH111" s="9" t="str">
        <f aca="false">IF(AND($D111="Drift",$BY111&lt;&gt;1),IF($AF111="","",$AF111),"")</f>
        <v/>
      </c>
      <c r="BI111" s="20" t="str">
        <f aca="false">IF($B111="","",IFERROR(INDEX(Raw!$G$2:$G$1001,MATCH($A111&amp;"|N|"&amp;SUMPRODUCT(MAX((Raw!$A$2:$A$1001=$A111)*(Raw!$R$2:$R$1001="N")*(Raw!$I$2:$I$1001=1)*Raw!$D$2:$D$1001)),Raw!$S$2:$S$1001,0)),""))</f>
        <v/>
      </c>
      <c r="BJ111" s="21" t="str">
        <f aca="false">IF(OR($BI111="",Fits!$B$85&lt;=0),"",($BI111-Fits!$B$83)/Fits!$B$85)</f>
        <v/>
      </c>
      <c r="BK111" s="9" t="str">
        <f aca="false">IF($AS111="","",IF($A111&gt;=Fits!$B$86,"",$A111))</f>
        <v/>
      </c>
      <c r="BL111" s="9" t="str">
        <f aca="false">IF($BK111="","",$X111)</f>
        <v/>
      </c>
      <c r="BM111" s="9" t="str">
        <f aca="false">IF($AS111="","",IF($A111&lt;Fits!$B$86,"",$A111))</f>
        <v/>
      </c>
      <c r="BN111" s="9" t="str">
        <f aca="false">IF($BM111="","",$X111)</f>
        <v/>
      </c>
      <c r="BO111" s="9" t="str">
        <f aca="false">IF(AND($D111="Drift",$BX111&lt;&gt;1),IF($O111="","",$O111),"")</f>
        <v/>
      </c>
      <c r="BP111" s="9" t="str">
        <f aca="false">IF(AND($D111="Drift",$BX111&lt;&gt;1),IF($W111="","",$W111),"")</f>
        <v/>
      </c>
      <c r="BQ111" s="9" t="str">
        <f aca="false">IF(AND($D111="Drift",$BX111&lt;&gt;1),IF($X111="","",$X111),"")</f>
        <v/>
      </c>
      <c r="BR111" s="9" t="str">
        <f aca="false">IF(AND($D111="Drift",$BX111&lt;&gt;1),IF($Z111="","",$Z111),"")</f>
        <v/>
      </c>
      <c r="BS111" s="9" t="str">
        <f aca="false">IF(OR($B111="",$H111=""),"",SUMPRODUCT(MIN((Raw!$A$2:$A$1001=$A111)*(Raw!$R$2:$R$1001="N")*(Raw!$I$2:$I$1001=0)*(Raw!$D$2:$D$1001&lt;$H111)*Raw!$D$2:$D$1001+(1-(Raw!$A$2:$A$1001=$A111)*(Raw!$R$2:$R$1001="N")*(Raw!$I$2:$I$1001=0)*(Raw!$D$2:$D$1001&lt;$H111))*9999)))</f>
        <v/>
      </c>
      <c r="BT111" s="16" t="str">
        <f aca="false">IF(OR($BS111="",$BS111=9999,$BS111=0),"",IFERROR(INDEX(Raw!$N$2:$N$1001,MATCH($A111&amp;"|N|"&amp;$BS111,Raw!$S$2:$S$1001,0)),""))</f>
        <v/>
      </c>
      <c r="BU111" s="9" t="str">
        <f aca="false">IF($B111="","",SUMPRODUCT(MIN((Raw!$A$2:$A$1001=$A111)*(Raw!$R$2:$R$1001="C")*(Raw!$I$2:$I$1001=1)*Raw!$D$2:$D$1001+(1-(Raw!$A$2:$A$1001=$A111)*(Raw!$R$2:$R$1001="C")*(Raw!$I$2:$I$1001=1))*9999)))</f>
        <v/>
      </c>
      <c r="BV111" s="9" t="str">
        <f aca="false">IF(OR($BU111="",$BU111=9999),"",SUMPRODUCT(MIN((Raw!$A$2:$A$1001=$A111)*(Raw!$R$2:$R$1001="C")*(Raw!$I$2:$I$1001=0)*(Raw!$D$2:$D$1001&gt;$BU111)*Raw!$D$2:$D$1001+(1-(Raw!$A$2:$A$1001=$A111)*(Raw!$R$2:$R$1001="C")*(Raw!$I$2:$I$1001=0)*(Raw!$D$2:$D$1001&gt;$BU111))*9999)))</f>
        <v/>
      </c>
      <c r="BW111" s="16" t="str">
        <f aca="false">IF(OR($BV111="",$BV111=9999,$BV111=0),"",IFERROR(INDEX(Raw!$O$2:$O$1001,MATCH($A111&amp;"|C|"&amp;$BV111,Raw!$S$2:$S$1001,0)),""))</f>
        <v/>
      </c>
      <c r="BX111" s="9" t="str">
        <f aca="false">IF($B111="","",IF(ISNUMBER(SEARCH(","&amp;$A111&amp;",",","&amp;SUBSTITUTE(Setup!$B$16," ","")&amp;",")),1,0))</f>
        <v/>
      </c>
      <c r="BY111" s="9" t="str">
        <f aca="false">IF($B111="","",IF(ISNUMBER(SEARCH(","&amp;$A111&amp;",",","&amp;SUBSTITUTE(Setup!$B$17," ","")&amp;",")),1,0))</f>
        <v/>
      </c>
      <c r="BZ111" s="22" t="str">
        <f aca="false">IF($AS111="","",IF(Fits!$B$38="Row",$AQ111,IF($AR111="","",$AR111)))</f>
        <v/>
      </c>
      <c r="CA111" s="22" t="str">
        <f aca="false">IF($AT111="","",IF(Fits!$B$50="Row",$AQ111,IF($AR111="","",$AR111)))</f>
        <v/>
      </c>
      <c r="CB111" s="20" t="str">
        <f aca="false">IF(OR($D111&lt;&gt;"Drift",$X111="",$A111&lt;IF(Setup!$B$14="",0,Setup!$B$14),Fits!$B$107&lt;3,Fits!$B$110="",Fits!$B$109=0,IF(Fits!$B$38="Row",$AQ111,$AR111)=""),"",IF($BX111=1,IF(OR(Fits!$B$111="",Fits!$B$111=0),"",($X111-(IF(Fits!$B$38="Row",Fits!$B$32,Fits!$B$35)*IF(Fits!$B$38="Row",$AQ111,$AR111)+Fits!$B$110))/(Fits!$B$111*SQRT(1+(1/Fits!$B$107+(IF(Fits!$B$38="Row",$AQ111,$AR111)-Fits!$B$108)^2/Fits!$B$109)))),IF(OR(Fits!$B$107&lt;4,(1/Fits!$B$107+(IF(Fits!$B$38="Row",$AQ111,$AR111)-Fits!$B$108)^2/Fits!$B$109)&gt;=1),"",IF((Fits!$B$116-($X111-(IF(Fits!$B$38="Row",Fits!$B$32,Fits!$B$35)*IF(Fits!$B$38="Row",$AQ111,$AR111)+Fits!$B$110))^2/(1-(1/Fits!$B$107+(IF(Fits!$B$38="Row",$AQ111,$AR111)-Fits!$B$108)^2/Fits!$B$109)))&lt;=0,"",($X111-(IF(Fits!$B$38="Row",Fits!$B$32,Fits!$B$35)*IF(Fits!$B$38="Row",$AQ111,$AR111)+Fits!$B$110))/(SQRT((Fits!$B$116-($X111-(IF(Fits!$B$38="Row",Fits!$B$32,Fits!$B$35)*IF(Fits!$B$38="Row",$AQ111,$AR111)+Fits!$B$110))^2/(1-(1/Fits!$B$107+(IF(Fits!$B$38="Row",$AQ111,$AR111)-Fits!$B$108)^2/Fits!$B$109)))/(Fits!$B$107-3))*SQRT(1-(1/Fits!$B$107+(IF(Fits!$B$38="Row",$AQ111,$AR111)-Fits!$B$108)^2/Fits!$B$109)))))))</f>
        <v/>
      </c>
      <c r="CC111" s="20" t="str">
        <f aca="false">IF(OR($D111&lt;&gt;"Drift",$AC111="",$A111&lt;IF(Setup!$B$14="",0,Setup!$B$14),Fits!$B$120&lt;3,Fits!$B$123="",Fits!$B$122=0,IF(Fits!$B$50="Row",$AQ111,$AR111)=""),"",IF($BY111=1,IF(OR(Fits!$B$124="",Fits!$B$124=0),"",($AC111-(IF(Fits!$B$50="Row",Fits!$B$44,Fits!$B$47)*IF(Fits!$B$50="Row",$AQ111,$AR111)+Fits!$B$123))/(Fits!$B$124*SQRT(1+(1/Fits!$B$120+(IF(Fits!$B$50="Row",$AQ111,$AR111)-Fits!$B$121)^2/Fits!$B$122)))),IF(OR(Fits!$B$120&lt;4,(1/Fits!$B$120+(IF(Fits!$B$50="Row",$AQ111,$AR111)-Fits!$B$121)^2/Fits!$B$122)&gt;=1),"",IF((Fits!$B$129-($AC111-(IF(Fits!$B$50="Row",Fits!$B$44,Fits!$B$47)*IF(Fits!$B$50="Row",$AQ111,$AR111)+Fits!$B$123))^2/(1-(1/Fits!$B$120+(IF(Fits!$B$50="Row",$AQ111,$AR111)-Fits!$B$121)^2/Fits!$B$122)))&lt;=0,"",($AC111-(IF(Fits!$B$50="Row",Fits!$B$44,Fits!$B$47)*IF(Fits!$B$50="Row",$AQ111,$AR111)+Fits!$B$123))/(SQRT((Fits!$B$129-($AC111-(IF(Fits!$B$50="Row",Fits!$B$44,Fits!$B$47)*IF(Fits!$B$50="Row",$AQ111,$AR111)+Fits!$B$123))^2/(1-(1/Fits!$B$120+(IF(Fits!$B$50="Row",$AQ111,$AR111)-Fits!$B$121)^2/Fits!$B$122)))/(Fits!$B$120-3))*SQRT(1-(1/Fits!$B$120+(IF(Fits!$B$50="Row",$AQ111,$AR111)-Fits!$B$121)^2/Fits!$B$122)))))))</f>
        <v/>
      </c>
      <c r="CD111" s="9" t="str">
        <f aca="false">IF($AU111="","",1)</f>
        <v/>
      </c>
      <c r="CE111" s="24" t="str">
        <f aca="false">IF($AU111="","",$AU111-Fits!$B$133)</f>
        <v/>
      </c>
      <c r="CF111" s="24" t="str">
        <f aca="false">IF($AU111="","",($AV111-(Fits!$B$56*$AU111+Fits!$B$57))-Fits!$B$56*($AU111-Fits!$B$133))</f>
        <v/>
      </c>
      <c r="CG111" s="25" t="str">
        <f aca="false">IF($AU111="","",$AU111^2)</f>
        <v/>
      </c>
      <c r="CH111" s="9" t="str">
        <f aca="false">IF($AW111="","",1)</f>
        <v/>
      </c>
      <c r="CI111" s="24" t="str">
        <f aca="false">IF($AW111="","",$AW111-Fits!$B$153)</f>
        <v/>
      </c>
      <c r="CJ111" s="24" t="str">
        <f aca="false">IF($AW111="","",($AX111-(Fits!$B$63*$AW111+Fits!$B$64))-Fits!$B$63*($AW111-Fits!$B$153))</f>
        <v/>
      </c>
      <c r="CK111" s="25" t="str">
        <f aca="false">IF($AW111="","",$AW111^2)</f>
        <v/>
      </c>
      <c r="CL111" s="26" t="str">
        <f aca="false">IF(OR($Z111="",Fits!$B$55&lt;3,Fits!$B$133="",Fits!$B$134="",Fits!$B$134=0,Fits!$B$136=""),"",SQRT((Fits!$B$136*Fits!$B$56)^2+SUMPRODUCT((Fits!$J$163:$J$175*(Fits!$B$163:$B$175/Fits!$B$55+Fits!$H$163:$H$175*($Z111-Fits!$B$133)/Fits!$B$134))^2)+SUMPRODUCT((Fits!$G$163:$G$175*(($Z111-Fits!$B$133)*Fits!$I$163:$I$175/Fits!$B$134-Fits!$B$163:$B$175*Fits!$B$56/Fits!$B$55))^2)))</f>
        <v/>
      </c>
      <c r="CM111" s="26" t="str">
        <f aca="false">IF($CL111="","",Setup!$B$32*$CL111)</f>
        <v/>
      </c>
      <c r="CN111" s="26" t="str">
        <f aca="false">IF(OR($AE111="",Fits!$B$62&lt;3,Fits!$B$153="",Fits!$B$154="",Fits!$B$154=0,Fits!$B$156=""),"",SQRT((Fits!$B$156*Fits!$B$63)^2+SUMPRODUCT((Fits!$J$183:$J$195*(Fits!$B$183:$B$195/Fits!$B$62+Fits!$H$183:$H$195*($AE111-Fits!$B$153)/Fits!$B$154))^2)+SUMPRODUCT((Fits!$G$183:$G$195*(($AE111-Fits!$B$153)*Fits!$I$183:$I$195/Fits!$B$154-Fits!$B$183:$B$195*Fits!$B$63/Fits!$B$62))^2)))</f>
        <v/>
      </c>
      <c r="CO111" s="26" t="str">
        <f aca="false">IF($CN111="","",Setup!$B$32*$CN111)</f>
        <v/>
      </c>
      <c r="CP111" s="9" t="n">
        <f aca="false">IF(OR(NOT(ISNUMBER($BJ111)),$EK111=1),$CP110,IF($BJ111&lt;=Setup!$B$26,$CP110+1,0))</f>
        <v>26</v>
      </c>
      <c r="CQ111" s="9" t="str">
        <f aca="false">IF($BT111="","",$A111)</f>
        <v/>
      </c>
      <c r="CR111" s="9" t="str">
        <f aca="false">IF($BW111="","",$A111)</f>
        <v/>
      </c>
      <c r="CS111" s="9" t="str">
        <f aca="false">IF($B111="","",IF(Setup!$A$37="",0,IF(ISNUMBER(SEARCH(Setup!$A$37,$B111)),37,0)))</f>
        <v/>
      </c>
      <c r="CT111" s="9" t="str">
        <f aca="false">IF($B111="","",IF(Setup!$A$38="",0,IF(ISNUMBER(SEARCH(Setup!$A$38,$B111)),38,0)))</f>
        <v/>
      </c>
      <c r="CU111" s="9" t="str">
        <f aca="false">IF($B111="","",IF(Setup!$A$39="",0,IF(ISNUMBER(SEARCH(Setup!$A$39,$B111)),39,0)))</f>
        <v/>
      </c>
      <c r="CV111" s="9" t="str">
        <f aca="false">IF($B111="","",IF(Setup!$A$40="",0,IF(ISNUMBER(SEARCH(Setup!$A$40,$B111)),40,0)))</f>
        <v/>
      </c>
      <c r="CW111" s="9" t="str">
        <f aca="false">IF($B111="","",IF(Setup!$A$41="",0,IF(ISNUMBER(SEARCH(Setup!$A$41,$B111)),41,0)))</f>
        <v/>
      </c>
      <c r="CX111" s="9" t="str">
        <f aca="false">IF($B111="","",IF(Setup!$A$42="",0,IF(ISNUMBER(SEARCH(Setup!$A$42,$B111)),42,0)))</f>
        <v/>
      </c>
      <c r="CY111" s="9" t="str">
        <f aca="false">IF($B111="","",IF(Setup!$A$43="",0,IF(ISNUMBER(SEARCH(Setup!$A$43,$B111)),43,0)))</f>
        <v/>
      </c>
      <c r="CZ111" s="9" t="str">
        <f aca="false">IF($B111="","",IF(Setup!$A$44="",0,IF(ISNUMBER(SEARCH(Setup!$A$44,$B111)),44,0)))</f>
        <v/>
      </c>
      <c r="DA111" s="9" t="str">
        <f aca="false">IF($B111="","",IF(Setup!$A$45="",0,IF(ISNUMBER(SEARCH(Setup!$A$45,$B111)),45,0)))</f>
        <v/>
      </c>
      <c r="DB111" s="9" t="str">
        <f aca="false">IF($B111="","",IF(Setup!$A$46="",0,IF(ISNUMBER(SEARCH(Setup!$A$46,$B111)),46,0)))</f>
        <v/>
      </c>
      <c r="DC111" s="9" t="str">
        <f aca="false">IF($B111="","",IF(Setup!$A$47="",0,IF(ISNUMBER(SEARCH(Setup!$A$47,$B111)),47,0)))</f>
        <v/>
      </c>
      <c r="DD111" s="9" t="str">
        <f aca="false">IF($B111="","",IF(Setup!$A$48="",0,IF(ISNUMBER(SEARCH(Setup!$A$48,$B111)),48,0)))</f>
        <v/>
      </c>
      <c r="DE111" s="9" t="str">
        <f aca="false">IF($B111="","",IF(Setup!$A$49="",0,IF(ISNUMBER(SEARCH(Setup!$A$49,$B111)),49,0)))</f>
        <v/>
      </c>
      <c r="DF111" s="9" t="e">
        <f aca="false">IF($B111="",NA(),$A111)</f>
        <v>#N/A</v>
      </c>
      <c r="DG111" s="9" t="e">
        <f aca="false">IF($BI111="",NA(),$BI111)</f>
        <v>#N/A</v>
      </c>
      <c r="DH111" s="9" t="e">
        <f aca="false">IF($N111="",NA(),$N111)</f>
        <v>#N/A</v>
      </c>
      <c r="DI111" s="9" t="e">
        <f aca="false">IF(AND($D111="Drift",$N111&lt;&gt;""),$N111,NA())</f>
        <v>#N/A</v>
      </c>
      <c r="DJ111" s="9" t="str">
        <f aca="false">IF(AND($D111="Drift",$N111&lt;&gt;""),$N111,"")</f>
        <v/>
      </c>
      <c r="DK111" s="9" t="str">
        <f aca="false">IF($DJ111="","",$A111)</f>
        <v/>
      </c>
      <c r="DL111" s="9" t="e">
        <f aca="false">IF($AN111="",NA(),$AM111)</f>
        <v>#N/A</v>
      </c>
      <c r="DM111" s="9" t="e">
        <f aca="false">IF($AN111="",NA(),$AN111)</f>
        <v>#N/A</v>
      </c>
      <c r="DN111" s="9" t="e">
        <f aca="false">IF(AND($D111="Sample",$L111&lt;&gt;""),$L111,NA())</f>
        <v>#N/A</v>
      </c>
      <c r="DO111" s="9" t="e">
        <f aca="false">IF(AND($D111="Sample",$L111&lt;&gt;"",Fits!$B$98&lt;&gt;""),Fits!$B$98,NA())</f>
        <v>#N/A</v>
      </c>
      <c r="DP111" s="9" t="e">
        <f aca="false">IF($AS111="",NA(),$AS111)</f>
        <v>#N/A</v>
      </c>
      <c r="DQ111" s="9" t="e">
        <f aca="false">IF(AND($D111="Drift",$AS111="",$X111&lt;&gt;""),$X111,NA())</f>
        <v>#N/A</v>
      </c>
      <c r="DR111" s="9" t="e">
        <f aca="false">IF(AND($D111="Drift",$Z111&lt;&gt;""),$Z111,NA())</f>
        <v>#N/A</v>
      </c>
      <c r="DS111" s="9" t="e">
        <f aca="false">IF(AND(OR($D111="Sample",$D111="Check"),$AA111&lt;&gt;""),$AA111,NA())</f>
        <v>#N/A</v>
      </c>
      <c r="DT111" s="9" t="e">
        <f aca="false">IF(OR($B111="",Fits!$B$138=""),NA(),Fits!$B$138)</f>
        <v>#N/A</v>
      </c>
      <c r="DU111" s="9" t="e">
        <f aca="false">IF(OR($B111="",Fits!$B$139=""),NA(),Fits!$B$139)</f>
        <v>#N/A</v>
      </c>
      <c r="DV111" s="9" t="e">
        <f aca="false">IF($BT111="",NA(),$BT111)</f>
        <v>#N/A</v>
      </c>
      <c r="DW111" s="9" t="e">
        <f aca="false">IF($AP111="",NA(),$AO111)</f>
        <v>#N/A</v>
      </c>
      <c r="DX111" s="9" t="e">
        <f aca="false">IF($AP111="",NA(),$AP111)</f>
        <v>#N/A</v>
      </c>
      <c r="DY111" s="9" t="e">
        <f aca="false">IF(AND($D111="Sample",$P111&lt;&gt;""),$P111,NA())</f>
        <v>#N/A</v>
      </c>
      <c r="DZ111" s="9" t="e">
        <f aca="false">IF(AND($D111="Sample",$P111&lt;&gt;"",Fits!$B$105&lt;&gt;""),Fits!$B$105,NA())</f>
        <v>#N/A</v>
      </c>
      <c r="EA111" s="9" t="e">
        <f aca="false">IF($AT111="",NA(),$AT111)</f>
        <v>#N/A</v>
      </c>
      <c r="EB111" s="9" t="e">
        <f aca="false">IF(AND($D111="Drift",$AT111="",$AC111&lt;&gt;""),$AC111,NA())</f>
        <v>#N/A</v>
      </c>
      <c r="EC111" s="9" t="e">
        <f aca="false">IF(AND($D111="Drift",$AE111&lt;&gt;""),$AE111,NA())</f>
        <v>#N/A</v>
      </c>
      <c r="ED111" s="9" t="e">
        <f aca="false">IF(AND(OR($D111="Sample",$D111="Check"),$AF111&lt;&gt;""),$AF111,NA())</f>
        <v>#N/A</v>
      </c>
      <c r="EE111" s="9" t="e">
        <f aca="false">IF(OR($B111="",Fits!$B$158=""),NA(),Fits!$B$158)</f>
        <v>#N/A</v>
      </c>
      <c r="EF111" s="9" t="e">
        <f aca="false">IF(OR($B111="",Fits!$B$159=""),NA(),Fits!$B$159)</f>
        <v>#N/A</v>
      </c>
      <c r="EG111" s="9" t="e">
        <f aca="false">IF($BW111="",NA(),$BW111)</f>
        <v>#N/A</v>
      </c>
      <c r="EH111" s="9" t="e">
        <f aca="false">IF(AND($EN111=1,ISNUMBER($N111)),$N111,NA())</f>
        <v>#N/A</v>
      </c>
      <c r="EI111" s="9" t="str">
        <f aca="false">IF($B111="","",$A111)</f>
        <v/>
      </c>
      <c r="EJ111" s="9" t="n">
        <f aca="false">IF(OR(AND(ISNUMBER($L111),Fits!$B$97&gt;0,$L111&gt;Fits!$B$97),AND(ISNUMBER($P111),Fits!$B$104&gt;0,$P111&gt;Fits!$B$104)),1,0)</f>
        <v>0</v>
      </c>
      <c r="EK111" s="9" t="n">
        <f aca="false">IF(OR($EJ110=1,$EJ109=1),1,0)</f>
        <v>0</v>
      </c>
      <c r="EL111" s="22" t="n">
        <f aca="false">IF(AND($EK111=0,ISNUMBER($N111)),$N111,$EL110)</f>
        <v>25.7</v>
      </c>
      <c r="EM111" s="9" t="str">
        <f aca="false">IF(AND($EK111=1,ISNUMBER($N111),ISNUMBER($EL111)),$N111-$EL111,"")</f>
        <v/>
      </c>
      <c r="EN111" s="9" t="n">
        <f aca="false">IF(Setup!$B$28="",0,IF(ISNUMBER($EM111),IF($EM111&gt;Setup!$B$28,1,0),0))</f>
        <v>0</v>
      </c>
      <c r="EO111" s="9" t="str">
        <f aca="false">IF($EN111=1,COUNTIF($EN$6:$EN111,1),"")</f>
        <v/>
      </c>
      <c r="EP111" s="9" t="n">
        <f aca="false">IF(AND($EJ110=1,OR($D111="Sample",$D111="Check")),1,0)</f>
        <v>0</v>
      </c>
      <c r="EQ111" s="9" t="str">
        <f aca="false">IF(ISNUMBER($BI111),IF(COUNT($BI$6:$BI111)&lt;=5,$BI111,""),"")</f>
        <v/>
      </c>
      <c r="ER111" s="9" t="n">
        <f aca="false">IF(OR(NOT(ISNUMBER($BJ111)),$EK111=1),$ER110,IF($BJ111&lt;=Setup!$B$26,IF($CP110=0,$A111,$ER110),""))</f>
        <v>27</v>
      </c>
    </row>
    <row r="112" customFormat="false" ht="15" hidden="false" customHeight="false" outlineLevel="0" collapsed="false">
      <c r="A112" s="8" t="n">
        <v>107</v>
      </c>
      <c r="B112" s="8" t="str">
        <f aca="false">IFERROR(INDEX(Raw!$B$2:$B$1001,MATCH($A112,Raw!$A$2:$A$1001,0)),"")</f>
        <v/>
      </c>
      <c r="C112" s="9" t="str">
        <f aca="false">IF($B112="","",MAX($CS112:$DE112))</f>
        <v/>
      </c>
      <c r="D112" s="8" t="str">
        <f aca="false">IF($B112="","",IF($C112=0,"Sample",INDEX(Setup!$B$37:$B$49,$C112-36)))</f>
        <v/>
      </c>
      <c r="E112" s="16" t="str">
        <f aca="false">IF($B112="","",IFERROR(IF(INDEX(Raw!$E$2:$E$1001,MATCH($A112,Raw!$A$2:$A$1001,0))=0,"",INDEX(Raw!$E$2:$E$1001,MATCH($A112,Raw!$A$2:$A$1001,0))),""))</f>
        <v/>
      </c>
      <c r="F112" s="18"/>
      <c r="G112" s="16" t="str">
        <f aca="false">IF($B112="","",IF($F112&lt;&gt;"",$F112,IF($E112="","",$E112)))</f>
        <v/>
      </c>
      <c r="H112" s="9" t="str">
        <f aca="false">IF($B112="","",SUMPRODUCT(MAX((Raw!$A$2:$A$1001=$A112)*(Raw!$R$2:$R$1001="N")*Raw!$D$2:$D$1001)))</f>
        <v/>
      </c>
      <c r="I112" s="9" t="str">
        <f aca="false">IF(OR($H112="",$H112=0),"",$A112&amp;"|N|"&amp;$H112)</f>
        <v/>
      </c>
      <c r="J112" s="9" t="str">
        <f aca="false">IF($B112="","",SUMPRODUCT(MIN((Raw!$A$2:$A$1001=$A112)*(Raw!$R$2:$R$1001="C")*Raw!$D$2:$D$1001+(1-(Raw!$A$2:$A$1001=$A112)*(Raw!$R$2:$R$1001="C"))*9999)))</f>
        <v/>
      </c>
      <c r="K112" s="9" t="str">
        <f aca="false">IF(OR($J112="",$J112=0,$J112=9999),"",$A112&amp;"|C|"&amp;$J112)</f>
        <v/>
      </c>
      <c r="L112" s="16" t="str">
        <f aca="false">IF($I112="","",IF(INDEX(Raw!$I$2:$I$1001,MATCH($I112,Raw!$S$2:$S$1001,0))&lt;&gt;0,"",INDEX(Raw!$H$2:$H$1001,MATCH($I112,Raw!$S$2:$S$1001,0))))</f>
        <v/>
      </c>
      <c r="M112" s="19" t="str">
        <f aca="false">IF($I112="","",IF(INDEX(Raw!$I$2:$I$1001,MATCH($I112,Raw!$S$2:$S$1001,0))&lt;&gt;0,"",INDEX(Raw!$F$2:$F$1001,MATCH($I112,Raw!$S$2:$S$1001,0))))</f>
        <v/>
      </c>
      <c r="N112" s="20" t="str">
        <f aca="false">IF($I112="","",IF(INDEX(Raw!$I$2:$I$1001,MATCH($I112,Raw!$S$2:$S$1001,0))&lt;&gt;0,"",INDEX(Raw!$G$2:$G$1001,MATCH($I112,Raw!$S$2:$S$1001,0))))</f>
        <v/>
      </c>
      <c r="O112" s="16" t="str">
        <f aca="false">IF($I112="","",IF(INDEX(Raw!$I$2:$I$1001,MATCH($I112,Raw!$S$2:$S$1001,0))&lt;&gt;0,"",INDEX(Raw!$N$2:$N$1001,MATCH($I112,Raw!$S$2:$S$1001,0))))</f>
        <v/>
      </c>
      <c r="P112" s="16" t="str">
        <f aca="false">IF($K112="","",IF(INDEX(Raw!$I$2:$I$1001,MATCH($K112,Raw!$S$2:$S$1001,0))&lt;&gt;0,"",INDEX(Raw!$K$2:$K$1001,MATCH($K112,Raw!$S$2:$S$1001,0))))</f>
        <v/>
      </c>
      <c r="Q112" s="19" t="str">
        <f aca="false">IF($K112="","",IF(INDEX(Raw!$I$2:$I$1001,MATCH($K112,Raw!$S$2:$S$1001,0))&lt;&gt;0,"",INDEX(Raw!$J$2:$J$1001,MATCH($K112,Raw!$S$2:$S$1001,0))))</f>
        <v/>
      </c>
      <c r="R112" s="16" t="str">
        <f aca="false">IF($K112="","",IF(INDEX(Raw!$I$2:$I$1001,MATCH($K112,Raw!$S$2:$S$1001,0))&lt;&gt;0,"",INDEX(Raw!$O$2:$O$1001,MATCH($K112,Raw!$S$2:$S$1001,0))))</f>
        <v/>
      </c>
      <c r="S112" s="21" t="str">
        <f aca="false">IF($B112="","",IF($C112=0,"",IF(INDEX(Setup!$D$37:$D$49,$C112-36)="","",INDEX(Setup!$D$37:$D$49,$C112-36))))</f>
        <v/>
      </c>
      <c r="T112" s="21" t="str">
        <f aca="false">IF($B112="","",IF($C112=0,"",IF(INDEX(Setup!$C$37:$C$49,$C112-36)="","",INDEX(Setup!$C$37:$C$49,$C112-36))))</f>
        <v/>
      </c>
      <c r="U112" s="21" t="str">
        <f aca="false">IF($B112="","",IF($C112=0,"",IF(INDEX(Setup!$F$37:$F$49,$C112-36)="","",INDEX(Setup!$F$37:$F$49,$C112-36))))</f>
        <v/>
      </c>
      <c r="V112" s="21" t="str">
        <f aca="false">IF($B112="","",IF($C112=0,"",IF(INDEX(Setup!$E$37:$E$49,$C112-36)="","",INDEX(Setup!$E$37:$E$49,$C112-36))))</f>
        <v/>
      </c>
      <c r="W112" s="16" t="str">
        <f aca="false">IF($O112="","",IF(OR(Fits!$C$5&lt;&gt;"Yes",$D112="Blank",$L112&lt;=Fits!$B$6),$O112,($L112*$O112-Fits!$B$6*Fits!$B$7)/($L112-Fits!$B$6)))</f>
        <v/>
      </c>
      <c r="X112" s="16" t="str">
        <f aca="false">IF($W112="","",$W112-Fits!$B$20*($L112-Fits!$B$16))</f>
        <v/>
      </c>
      <c r="Y112" s="22" t="str">
        <f aca="false">IF($W112="","",IF(OR(Fits!$B$38="Row",$BI112=""),$A112,$BI112))</f>
        <v/>
      </c>
      <c r="Z112" s="16" t="str">
        <f aca="false">IF($X112="","",$X112-Fits!$B$39*($Y112-Fits!$B$40))</f>
        <v/>
      </c>
      <c r="AA112" s="23" t="str">
        <f aca="false">IF(OR($Z112="",Fits!$B$55&lt;2),"",Fits!$B$56*$Z112+Fits!$B$57)</f>
        <v/>
      </c>
      <c r="AB112" s="16" t="str">
        <f aca="false">IF($R112="","",IF(OR(Fits!$C$9&lt;&gt;"Yes",$D112="Blank",$P112&lt;=Fits!$B$10),$R112,($P112*$R112-Fits!$B$10*Fits!$B$11)/($P112-Fits!$B$10)))</f>
        <v/>
      </c>
      <c r="AC112" s="16" t="str">
        <f aca="false">IF($AB112="","",$AB112-Fits!$B$28*($P112-Fits!$B$24))</f>
        <v/>
      </c>
      <c r="AD112" s="22" t="str">
        <f aca="false">IF($AB112="","",IF(OR(Fits!$B$50="Row",$BI112=""),$A112,$BI112))</f>
        <v/>
      </c>
      <c r="AE112" s="16" t="str">
        <f aca="false">IF($AC112="","",$AC112-Fits!$B$51*($AD112-Fits!$B$52))</f>
        <v/>
      </c>
      <c r="AF112" s="23" t="str">
        <f aca="false">IF(OR($AE112="",Fits!$B$62&lt;2),"",Fits!$B$63*$AE112+Fits!$B$64)</f>
        <v/>
      </c>
      <c r="AG112" s="21" t="str">
        <f aca="false">IF(OR($L112="",Fits!$B$69&lt;3),"",($L112-Fits!$B$71)/Fits!$B$70)</f>
        <v/>
      </c>
      <c r="AH112" s="21" t="str">
        <f aca="false">IF(OR($P112="",Fits!$B$75&lt;3),"",($P112-Fits!$B$77)/Fits!$B$76)</f>
        <v/>
      </c>
      <c r="AI112" s="23" t="str">
        <f aca="false">IF(OR($AG112="",$G112="",$G112=0),"",$AG112/($G112*1000)*100)</f>
        <v/>
      </c>
      <c r="AJ112" s="23" t="str">
        <f aca="false">IF(OR($AH112="",$G112="",$G112=0),"",$AH112/($G112*1000)*100)</f>
        <v/>
      </c>
      <c r="AK112" s="23" t="str">
        <f aca="false">IF(OR($AG112="",$AH112="",$AG112&lt;=0),"",($AH112/Setup!$B$52)/($AG112/Setup!$B$53))</f>
        <v/>
      </c>
      <c r="AL112" s="23" t="str">
        <f aca="false">IF(OR($AG112="",$AH112="",$AG112&lt;=0),"",$AH112/$AG112)</f>
        <v/>
      </c>
      <c r="AM112" s="9" t="str">
        <f aca="false">IF($D112="Linearity",IF($L112="","",$L112),"")</f>
        <v/>
      </c>
      <c r="AN112" s="9" t="str">
        <f aca="false">IF($D112="Linearity",IF($W112="","",$W112),"")</f>
        <v/>
      </c>
      <c r="AO112" s="9" t="str">
        <f aca="false">IF($D112="Linearity",IF($P112="","",$P112),"")</f>
        <v/>
      </c>
      <c r="AP112" s="9" t="str">
        <f aca="false">IF($D112="Linearity",IF($AB112="","",$AB112),"")</f>
        <v/>
      </c>
      <c r="AQ112" s="9" t="str">
        <f aca="false">IF($D112="Drift",IF($A112&lt;IF(Setup!$B$14="",0,Setup!$B$14),"",$A112),"")</f>
        <v/>
      </c>
      <c r="AR112" s="9" t="str">
        <f aca="false">IF($D112="Drift",IF($A112&lt;IF(Setup!$B$14="",0,Setup!$B$14),"",IF($BI112="","",$BI112)),"")</f>
        <v/>
      </c>
      <c r="AS112" s="9" t="str">
        <f aca="false">IF($D112="Drift",IF($A112&lt;IF(Setup!$B$14="",0,Setup!$B$14),"",IF(OR($X112="",$BX112=1),"",$X112)),"")</f>
        <v/>
      </c>
      <c r="AT112" s="9" t="str">
        <f aca="false">IF($D112="Drift",IF($A112&lt;IF(Setup!$B$14="",0,Setup!$B$14),"",IF(OR($AC112="",$BY112=1),"",$AC112)),"")</f>
        <v/>
      </c>
      <c r="AU112" s="9" t="str">
        <f aca="false">IF($D112="Anchor",IF(OR($Z112="",$S112=""),"",$Z112),"")</f>
        <v/>
      </c>
      <c r="AV112" s="9" t="str">
        <f aca="false">IF($D112="Anchor",IF(OR($Z112="",$S112=""),"",$S112),"")</f>
        <v/>
      </c>
      <c r="AW112" s="9" t="str">
        <f aca="false">IF($D112="Anchor",IF(OR($AE112="",$T112=""),"",$AE112),"")</f>
        <v/>
      </c>
      <c r="AX112" s="9" t="str">
        <f aca="false">IF($D112="Anchor",IF(OR($AE112="",$T112=""),"",$T112),"")</f>
        <v/>
      </c>
      <c r="AY112" s="9" t="str">
        <f aca="false">IF(OR($D112="Blank",$D112="Exclude",$D112="Sample",$D112="",$G112="",$U112="",$L112=""),"",$G112*1000*$U112/100)</f>
        <v/>
      </c>
      <c r="AZ112" s="9" t="str">
        <f aca="false">IF($AY112="","",$L112)</f>
        <v/>
      </c>
      <c r="BA112" s="9" t="str">
        <f aca="false">IF(OR($D112="Blank",$D112="Exclude",$D112="Sample",$D112="",$G112="",$V112="",$P112=""),"",$G112*1000*$V112/100)</f>
        <v/>
      </c>
      <c r="BB112" s="9" t="str">
        <f aca="false">IF($BA112="","",$P112)</f>
        <v/>
      </c>
      <c r="BC112" s="9" t="str">
        <f aca="false">IF(AND($D112="Blank",$L112&lt;&gt;""),$O112,"")</f>
        <v/>
      </c>
      <c r="BD112" s="9" t="str">
        <f aca="false">IF($BC112="","",$L112)</f>
        <v/>
      </c>
      <c r="BE112" s="9" t="str">
        <f aca="false">IF(AND($D112="Blank",$P112&lt;&gt;""),$R112,"")</f>
        <v/>
      </c>
      <c r="BF112" s="9" t="str">
        <f aca="false">IF($BE112="","",$P112)</f>
        <v/>
      </c>
      <c r="BG112" s="9" t="str">
        <f aca="false">IF(AND($D112="Drift",$BX112&lt;&gt;1),IF($AA112="","",$AA112),"")</f>
        <v/>
      </c>
      <c r="BH112" s="9" t="str">
        <f aca="false">IF(AND($D112="Drift",$BY112&lt;&gt;1),IF($AF112="","",$AF112),"")</f>
        <v/>
      </c>
      <c r="BI112" s="20" t="str">
        <f aca="false">IF($B112="","",IFERROR(INDEX(Raw!$G$2:$G$1001,MATCH($A112&amp;"|N|"&amp;SUMPRODUCT(MAX((Raw!$A$2:$A$1001=$A112)*(Raw!$R$2:$R$1001="N")*(Raw!$I$2:$I$1001=1)*Raw!$D$2:$D$1001)),Raw!$S$2:$S$1001,0)),""))</f>
        <v/>
      </c>
      <c r="BJ112" s="21" t="str">
        <f aca="false">IF(OR($BI112="",Fits!$B$85&lt;=0),"",($BI112-Fits!$B$83)/Fits!$B$85)</f>
        <v/>
      </c>
      <c r="BK112" s="9" t="str">
        <f aca="false">IF($AS112="","",IF($A112&gt;=Fits!$B$86,"",$A112))</f>
        <v/>
      </c>
      <c r="BL112" s="9" t="str">
        <f aca="false">IF($BK112="","",$X112)</f>
        <v/>
      </c>
      <c r="BM112" s="9" t="str">
        <f aca="false">IF($AS112="","",IF($A112&lt;Fits!$B$86,"",$A112))</f>
        <v/>
      </c>
      <c r="BN112" s="9" t="str">
        <f aca="false">IF($BM112="","",$X112)</f>
        <v/>
      </c>
      <c r="BO112" s="9" t="str">
        <f aca="false">IF(AND($D112="Drift",$BX112&lt;&gt;1),IF($O112="","",$O112),"")</f>
        <v/>
      </c>
      <c r="BP112" s="9" t="str">
        <f aca="false">IF(AND($D112="Drift",$BX112&lt;&gt;1),IF($W112="","",$W112),"")</f>
        <v/>
      </c>
      <c r="BQ112" s="9" t="str">
        <f aca="false">IF(AND($D112="Drift",$BX112&lt;&gt;1),IF($X112="","",$X112),"")</f>
        <v/>
      </c>
      <c r="BR112" s="9" t="str">
        <f aca="false">IF(AND($D112="Drift",$BX112&lt;&gt;1),IF($Z112="","",$Z112),"")</f>
        <v/>
      </c>
      <c r="BS112" s="9" t="str">
        <f aca="false">IF(OR($B112="",$H112=""),"",SUMPRODUCT(MIN((Raw!$A$2:$A$1001=$A112)*(Raw!$R$2:$R$1001="N")*(Raw!$I$2:$I$1001=0)*(Raw!$D$2:$D$1001&lt;$H112)*Raw!$D$2:$D$1001+(1-(Raw!$A$2:$A$1001=$A112)*(Raw!$R$2:$R$1001="N")*(Raw!$I$2:$I$1001=0)*(Raw!$D$2:$D$1001&lt;$H112))*9999)))</f>
        <v/>
      </c>
      <c r="BT112" s="16" t="str">
        <f aca="false">IF(OR($BS112="",$BS112=9999,$BS112=0),"",IFERROR(INDEX(Raw!$N$2:$N$1001,MATCH($A112&amp;"|N|"&amp;$BS112,Raw!$S$2:$S$1001,0)),""))</f>
        <v/>
      </c>
      <c r="BU112" s="9" t="str">
        <f aca="false">IF($B112="","",SUMPRODUCT(MIN((Raw!$A$2:$A$1001=$A112)*(Raw!$R$2:$R$1001="C")*(Raw!$I$2:$I$1001=1)*Raw!$D$2:$D$1001+(1-(Raw!$A$2:$A$1001=$A112)*(Raw!$R$2:$R$1001="C")*(Raw!$I$2:$I$1001=1))*9999)))</f>
        <v/>
      </c>
      <c r="BV112" s="9" t="str">
        <f aca="false">IF(OR($BU112="",$BU112=9999),"",SUMPRODUCT(MIN((Raw!$A$2:$A$1001=$A112)*(Raw!$R$2:$R$1001="C")*(Raw!$I$2:$I$1001=0)*(Raw!$D$2:$D$1001&gt;$BU112)*Raw!$D$2:$D$1001+(1-(Raw!$A$2:$A$1001=$A112)*(Raw!$R$2:$R$1001="C")*(Raw!$I$2:$I$1001=0)*(Raw!$D$2:$D$1001&gt;$BU112))*9999)))</f>
        <v/>
      </c>
      <c r="BW112" s="16" t="str">
        <f aca="false">IF(OR($BV112="",$BV112=9999,$BV112=0),"",IFERROR(INDEX(Raw!$O$2:$O$1001,MATCH($A112&amp;"|C|"&amp;$BV112,Raw!$S$2:$S$1001,0)),""))</f>
        <v/>
      </c>
      <c r="BX112" s="9" t="str">
        <f aca="false">IF($B112="","",IF(ISNUMBER(SEARCH(","&amp;$A112&amp;",",","&amp;SUBSTITUTE(Setup!$B$16," ","")&amp;",")),1,0))</f>
        <v/>
      </c>
      <c r="BY112" s="9" t="str">
        <f aca="false">IF($B112="","",IF(ISNUMBER(SEARCH(","&amp;$A112&amp;",",","&amp;SUBSTITUTE(Setup!$B$17," ","")&amp;",")),1,0))</f>
        <v/>
      </c>
      <c r="BZ112" s="22" t="str">
        <f aca="false">IF($AS112="","",IF(Fits!$B$38="Row",$AQ112,IF($AR112="","",$AR112)))</f>
        <v/>
      </c>
      <c r="CA112" s="22" t="str">
        <f aca="false">IF($AT112="","",IF(Fits!$B$50="Row",$AQ112,IF($AR112="","",$AR112)))</f>
        <v/>
      </c>
      <c r="CB112" s="20" t="str">
        <f aca="false">IF(OR($D112&lt;&gt;"Drift",$X112="",$A112&lt;IF(Setup!$B$14="",0,Setup!$B$14),Fits!$B$107&lt;3,Fits!$B$110="",Fits!$B$109=0,IF(Fits!$B$38="Row",$AQ112,$AR112)=""),"",IF($BX112=1,IF(OR(Fits!$B$111="",Fits!$B$111=0),"",($X112-(IF(Fits!$B$38="Row",Fits!$B$32,Fits!$B$35)*IF(Fits!$B$38="Row",$AQ112,$AR112)+Fits!$B$110))/(Fits!$B$111*SQRT(1+(1/Fits!$B$107+(IF(Fits!$B$38="Row",$AQ112,$AR112)-Fits!$B$108)^2/Fits!$B$109)))),IF(OR(Fits!$B$107&lt;4,(1/Fits!$B$107+(IF(Fits!$B$38="Row",$AQ112,$AR112)-Fits!$B$108)^2/Fits!$B$109)&gt;=1),"",IF((Fits!$B$116-($X112-(IF(Fits!$B$38="Row",Fits!$B$32,Fits!$B$35)*IF(Fits!$B$38="Row",$AQ112,$AR112)+Fits!$B$110))^2/(1-(1/Fits!$B$107+(IF(Fits!$B$38="Row",$AQ112,$AR112)-Fits!$B$108)^2/Fits!$B$109)))&lt;=0,"",($X112-(IF(Fits!$B$38="Row",Fits!$B$32,Fits!$B$35)*IF(Fits!$B$38="Row",$AQ112,$AR112)+Fits!$B$110))/(SQRT((Fits!$B$116-($X112-(IF(Fits!$B$38="Row",Fits!$B$32,Fits!$B$35)*IF(Fits!$B$38="Row",$AQ112,$AR112)+Fits!$B$110))^2/(1-(1/Fits!$B$107+(IF(Fits!$B$38="Row",$AQ112,$AR112)-Fits!$B$108)^2/Fits!$B$109)))/(Fits!$B$107-3))*SQRT(1-(1/Fits!$B$107+(IF(Fits!$B$38="Row",$AQ112,$AR112)-Fits!$B$108)^2/Fits!$B$109)))))))</f>
        <v/>
      </c>
      <c r="CC112" s="20" t="str">
        <f aca="false">IF(OR($D112&lt;&gt;"Drift",$AC112="",$A112&lt;IF(Setup!$B$14="",0,Setup!$B$14),Fits!$B$120&lt;3,Fits!$B$123="",Fits!$B$122=0,IF(Fits!$B$50="Row",$AQ112,$AR112)=""),"",IF($BY112=1,IF(OR(Fits!$B$124="",Fits!$B$124=0),"",($AC112-(IF(Fits!$B$50="Row",Fits!$B$44,Fits!$B$47)*IF(Fits!$B$50="Row",$AQ112,$AR112)+Fits!$B$123))/(Fits!$B$124*SQRT(1+(1/Fits!$B$120+(IF(Fits!$B$50="Row",$AQ112,$AR112)-Fits!$B$121)^2/Fits!$B$122)))),IF(OR(Fits!$B$120&lt;4,(1/Fits!$B$120+(IF(Fits!$B$50="Row",$AQ112,$AR112)-Fits!$B$121)^2/Fits!$B$122)&gt;=1),"",IF((Fits!$B$129-($AC112-(IF(Fits!$B$50="Row",Fits!$B$44,Fits!$B$47)*IF(Fits!$B$50="Row",$AQ112,$AR112)+Fits!$B$123))^2/(1-(1/Fits!$B$120+(IF(Fits!$B$50="Row",$AQ112,$AR112)-Fits!$B$121)^2/Fits!$B$122)))&lt;=0,"",($AC112-(IF(Fits!$B$50="Row",Fits!$B$44,Fits!$B$47)*IF(Fits!$B$50="Row",$AQ112,$AR112)+Fits!$B$123))/(SQRT((Fits!$B$129-($AC112-(IF(Fits!$B$50="Row",Fits!$B$44,Fits!$B$47)*IF(Fits!$B$50="Row",$AQ112,$AR112)+Fits!$B$123))^2/(1-(1/Fits!$B$120+(IF(Fits!$B$50="Row",$AQ112,$AR112)-Fits!$B$121)^2/Fits!$B$122)))/(Fits!$B$120-3))*SQRT(1-(1/Fits!$B$120+(IF(Fits!$B$50="Row",$AQ112,$AR112)-Fits!$B$121)^2/Fits!$B$122)))))))</f>
        <v/>
      </c>
      <c r="CD112" s="9" t="str">
        <f aca="false">IF($AU112="","",1)</f>
        <v/>
      </c>
      <c r="CE112" s="24" t="str">
        <f aca="false">IF($AU112="","",$AU112-Fits!$B$133)</f>
        <v/>
      </c>
      <c r="CF112" s="24" t="str">
        <f aca="false">IF($AU112="","",($AV112-(Fits!$B$56*$AU112+Fits!$B$57))-Fits!$B$56*($AU112-Fits!$B$133))</f>
        <v/>
      </c>
      <c r="CG112" s="25" t="str">
        <f aca="false">IF($AU112="","",$AU112^2)</f>
        <v/>
      </c>
      <c r="CH112" s="9" t="str">
        <f aca="false">IF($AW112="","",1)</f>
        <v/>
      </c>
      <c r="CI112" s="24" t="str">
        <f aca="false">IF($AW112="","",$AW112-Fits!$B$153)</f>
        <v/>
      </c>
      <c r="CJ112" s="24" t="str">
        <f aca="false">IF($AW112="","",($AX112-(Fits!$B$63*$AW112+Fits!$B$64))-Fits!$B$63*($AW112-Fits!$B$153))</f>
        <v/>
      </c>
      <c r="CK112" s="25" t="str">
        <f aca="false">IF($AW112="","",$AW112^2)</f>
        <v/>
      </c>
      <c r="CL112" s="26" t="str">
        <f aca="false">IF(OR($Z112="",Fits!$B$55&lt;3,Fits!$B$133="",Fits!$B$134="",Fits!$B$134=0,Fits!$B$136=""),"",SQRT((Fits!$B$136*Fits!$B$56)^2+SUMPRODUCT((Fits!$J$163:$J$175*(Fits!$B$163:$B$175/Fits!$B$55+Fits!$H$163:$H$175*($Z112-Fits!$B$133)/Fits!$B$134))^2)+SUMPRODUCT((Fits!$G$163:$G$175*(($Z112-Fits!$B$133)*Fits!$I$163:$I$175/Fits!$B$134-Fits!$B$163:$B$175*Fits!$B$56/Fits!$B$55))^2)))</f>
        <v/>
      </c>
      <c r="CM112" s="26" t="str">
        <f aca="false">IF($CL112="","",Setup!$B$32*$CL112)</f>
        <v/>
      </c>
      <c r="CN112" s="26" t="str">
        <f aca="false">IF(OR($AE112="",Fits!$B$62&lt;3,Fits!$B$153="",Fits!$B$154="",Fits!$B$154=0,Fits!$B$156=""),"",SQRT((Fits!$B$156*Fits!$B$63)^2+SUMPRODUCT((Fits!$J$183:$J$195*(Fits!$B$183:$B$195/Fits!$B$62+Fits!$H$183:$H$195*($AE112-Fits!$B$153)/Fits!$B$154))^2)+SUMPRODUCT((Fits!$G$183:$G$195*(($AE112-Fits!$B$153)*Fits!$I$183:$I$195/Fits!$B$154-Fits!$B$183:$B$195*Fits!$B$63/Fits!$B$62))^2)))</f>
        <v/>
      </c>
      <c r="CO112" s="26" t="str">
        <f aca="false">IF($CN112="","",Setup!$B$32*$CN112)</f>
        <v/>
      </c>
      <c r="CP112" s="9" t="n">
        <f aca="false">IF(OR(NOT(ISNUMBER($BJ112)),$EK112=1),$CP111,IF($BJ112&lt;=Setup!$B$26,$CP111+1,0))</f>
        <v>26</v>
      </c>
      <c r="CQ112" s="9" t="str">
        <f aca="false">IF($BT112="","",$A112)</f>
        <v/>
      </c>
      <c r="CR112" s="9" t="str">
        <f aca="false">IF($BW112="","",$A112)</f>
        <v/>
      </c>
      <c r="CS112" s="9" t="str">
        <f aca="false">IF($B112="","",IF(Setup!$A$37="",0,IF(ISNUMBER(SEARCH(Setup!$A$37,$B112)),37,0)))</f>
        <v/>
      </c>
      <c r="CT112" s="9" t="str">
        <f aca="false">IF($B112="","",IF(Setup!$A$38="",0,IF(ISNUMBER(SEARCH(Setup!$A$38,$B112)),38,0)))</f>
        <v/>
      </c>
      <c r="CU112" s="9" t="str">
        <f aca="false">IF($B112="","",IF(Setup!$A$39="",0,IF(ISNUMBER(SEARCH(Setup!$A$39,$B112)),39,0)))</f>
        <v/>
      </c>
      <c r="CV112" s="9" t="str">
        <f aca="false">IF($B112="","",IF(Setup!$A$40="",0,IF(ISNUMBER(SEARCH(Setup!$A$40,$B112)),40,0)))</f>
        <v/>
      </c>
      <c r="CW112" s="9" t="str">
        <f aca="false">IF($B112="","",IF(Setup!$A$41="",0,IF(ISNUMBER(SEARCH(Setup!$A$41,$B112)),41,0)))</f>
        <v/>
      </c>
      <c r="CX112" s="9" t="str">
        <f aca="false">IF($B112="","",IF(Setup!$A$42="",0,IF(ISNUMBER(SEARCH(Setup!$A$42,$B112)),42,0)))</f>
        <v/>
      </c>
      <c r="CY112" s="9" t="str">
        <f aca="false">IF($B112="","",IF(Setup!$A$43="",0,IF(ISNUMBER(SEARCH(Setup!$A$43,$B112)),43,0)))</f>
        <v/>
      </c>
      <c r="CZ112" s="9" t="str">
        <f aca="false">IF($B112="","",IF(Setup!$A$44="",0,IF(ISNUMBER(SEARCH(Setup!$A$44,$B112)),44,0)))</f>
        <v/>
      </c>
      <c r="DA112" s="9" t="str">
        <f aca="false">IF($B112="","",IF(Setup!$A$45="",0,IF(ISNUMBER(SEARCH(Setup!$A$45,$B112)),45,0)))</f>
        <v/>
      </c>
      <c r="DB112" s="9" t="str">
        <f aca="false">IF($B112="","",IF(Setup!$A$46="",0,IF(ISNUMBER(SEARCH(Setup!$A$46,$B112)),46,0)))</f>
        <v/>
      </c>
      <c r="DC112" s="9" t="str">
        <f aca="false">IF($B112="","",IF(Setup!$A$47="",0,IF(ISNUMBER(SEARCH(Setup!$A$47,$B112)),47,0)))</f>
        <v/>
      </c>
      <c r="DD112" s="9" t="str">
        <f aca="false">IF($B112="","",IF(Setup!$A$48="",0,IF(ISNUMBER(SEARCH(Setup!$A$48,$B112)),48,0)))</f>
        <v/>
      </c>
      <c r="DE112" s="9" t="str">
        <f aca="false">IF($B112="","",IF(Setup!$A$49="",0,IF(ISNUMBER(SEARCH(Setup!$A$49,$B112)),49,0)))</f>
        <v/>
      </c>
      <c r="DF112" s="9" t="e">
        <f aca="false">IF($B112="",NA(),$A112)</f>
        <v>#N/A</v>
      </c>
      <c r="DG112" s="9" t="e">
        <f aca="false">IF($BI112="",NA(),$BI112)</f>
        <v>#N/A</v>
      </c>
      <c r="DH112" s="9" t="e">
        <f aca="false">IF($N112="",NA(),$N112)</f>
        <v>#N/A</v>
      </c>
      <c r="DI112" s="9" t="e">
        <f aca="false">IF(AND($D112="Drift",$N112&lt;&gt;""),$N112,NA())</f>
        <v>#N/A</v>
      </c>
      <c r="DJ112" s="9" t="str">
        <f aca="false">IF(AND($D112="Drift",$N112&lt;&gt;""),$N112,"")</f>
        <v/>
      </c>
      <c r="DK112" s="9" t="str">
        <f aca="false">IF($DJ112="","",$A112)</f>
        <v/>
      </c>
      <c r="DL112" s="9" t="e">
        <f aca="false">IF($AN112="",NA(),$AM112)</f>
        <v>#N/A</v>
      </c>
      <c r="DM112" s="9" t="e">
        <f aca="false">IF($AN112="",NA(),$AN112)</f>
        <v>#N/A</v>
      </c>
      <c r="DN112" s="9" t="e">
        <f aca="false">IF(AND($D112="Sample",$L112&lt;&gt;""),$L112,NA())</f>
        <v>#N/A</v>
      </c>
      <c r="DO112" s="9" t="e">
        <f aca="false">IF(AND($D112="Sample",$L112&lt;&gt;"",Fits!$B$98&lt;&gt;""),Fits!$B$98,NA())</f>
        <v>#N/A</v>
      </c>
      <c r="DP112" s="9" t="e">
        <f aca="false">IF($AS112="",NA(),$AS112)</f>
        <v>#N/A</v>
      </c>
      <c r="DQ112" s="9" t="e">
        <f aca="false">IF(AND($D112="Drift",$AS112="",$X112&lt;&gt;""),$X112,NA())</f>
        <v>#N/A</v>
      </c>
      <c r="DR112" s="9" t="e">
        <f aca="false">IF(AND($D112="Drift",$Z112&lt;&gt;""),$Z112,NA())</f>
        <v>#N/A</v>
      </c>
      <c r="DS112" s="9" t="e">
        <f aca="false">IF(AND(OR($D112="Sample",$D112="Check"),$AA112&lt;&gt;""),$AA112,NA())</f>
        <v>#N/A</v>
      </c>
      <c r="DT112" s="9" t="e">
        <f aca="false">IF(OR($B112="",Fits!$B$138=""),NA(),Fits!$B$138)</f>
        <v>#N/A</v>
      </c>
      <c r="DU112" s="9" t="e">
        <f aca="false">IF(OR($B112="",Fits!$B$139=""),NA(),Fits!$B$139)</f>
        <v>#N/A</v>
      </c>
      <c r="DV112" s="9" t="e">
        <f aca="false">IF($BT112="",NA(),$BT112)</f>
        <v>#N/A</v>
      </c>
      <c r="DW112" s="9" t="e">
        <f aca="false">IF($AP112="",NA(),$AO112)</f>
        <v>#N/A</v>
      </c>
      <c r="DX112" s="9" t="e">
        <f aca="false">IF($AP112="",NA(),$AP112)</f>
        <v>#N/A</v>
      </c>
      <c r="DY112" s="9" t="e">
        <f aca="false">IF(AND($D112="Sample",$P112&lt;&gt;""),$P112,NA())</f>
        <v>#N/A</v>
      </c>
      <c r="DZ112" s="9" t="e">
        <f aca="false">IF(AND($D112="Sample",$P112&lt;&gt;"",Fits!$B$105&lt;&gt;""),Fits!$B$105,NA())</f>
        <v>#N/A</v>
      </c>
      <c r="EA112" s="9" t="e">
        <f aca="false">IF($AT112="",NA(),$AT112)</f>
        <v>#N/A</v>
      </c>
      <c r="EB112" s="9" t="e">
        <f aca="false">IF(AND($D112="Drift",$AT112="",$AC112&lt;&gt;""),$AC112,NA())</f>
        <v>#N/A</v>
      </c>
      <c r="EC112" s="9" t="e">
        <f aca="false">IF(AND($D112="Drift",$AE112&lt;&gt;""),$AE112,NA())</f>
        <v>#N/A</v>
      </c>
      <c r="ED112" s="9" t="e">
        <f aca="false">IF(AND(OR($D112="Sample",$D112="Check"),$AF112&lt;&gt;""),$AF112,NA())</f>
        <v>#N/A</v>
      </c>
      <c r="EE112" s="9" t="e">
        <f aca="false">IF(OR($B112="",Fits!$B$158=""),NA(),Fits!$B$158)</f>
        <v>#N/A</v>
      </c>
      <c r="EF112" s="9" t="e">
        <f aca="false">IF(OR($B112="",Fits!$B$159=""),NA(),Fits!$B$159)</f>
        <v>#N/A</v>
      </c>
      <c r="EG112" s="9" t="e">
        <f aca="false">IF($BW112="",NA(),$BW112)</f>
        <v>#N/A</v>
      </c>
      <c r="EH112" s="9" t="e">
        <f aca="false">IF(AND($EN112=1,ISNUMBER($N112)),$N112,NA())</f>
        <v>#N/A</v>
      </c>
      <c r="EI112" s="9" t="str">
        <f aca="false">IF($B112="","",$A112)</f>
        <v/>
      </c>
      <c r="EJ112" s="9" t="n">
        <f aca="false">IF(OR(AND(ISNUMBER($L112),Fits!$B$97&gt;0,$L112&gt;Fits!$B$97),AND(ISNUMBER($P112),Fits!$B$104&gt;0,$P112&gt;Fits!$B$104)),1,0)</f>
        <v>0</v>
      </c>
      <c r="EK112" s="9" t="n">
        <f aca="false">IF(OR($EJ111=1,$EJ110=1),1,0)</f>
        <v>0</v>
      </c>
      <c r="EL112" s="22" t="n">
        <f aca="false">IF(AND($EK112=0,ISNUMBER($N112)),$N112,$EL111)</f>
        <v>25.7</v>
      </c>
      <c r="EM112" s="9" t="str">
        <f aca="false">IF(AND($EK112=1,ISNUMBER($N112),ISNUMBER($EL112)),$N112-$EL112,"")</f>
        <v/>
      </c>
      <c r="EN112" s="9" t="n">
        <f aca="false">IF(Setup!$B$28="",0,IF(ISNUMBER($EM112),IF($EM112&gt;Setup!$B$28,1,0),0))</f>
        <v>0</v>
      </c>
      <c r="EO112" s="9" t="str">
        <f aca="false">IF($EN112=1,COUNTIF($EN$6:$EN112,1),"")</f>
        <v/>
      </c>
      <c r="EP112" s="9" t="n">
        <f aca="false">IF(AND($EJ111=1,OR($D112="Sample",$D112="Check")),1,0)</f>
        <v>0</v>
      </c>
      <c r="EQ112" s="9" t="str">
        <f aca="false">IF(ISNUMBER($BI112),IF(COUNT($BI$6:$BI112)&lt;=5,$BI112,""),"")</f>
        <v/>
      </c>
      <c r="ER112" s="9" t="n">
        <f aca="false">IF(OR(NOT(ISNUMBER($BJ112)),$EK112=1),$ER111,IF($BJ112&lt;=Setup!$B$26,IF($CP111=0,$A112,$ER111),""))</f>
        <v>27</v>
      </c>
    </row>
    <row r="113" customFormat="false" ht="15" hidden="false" customHeight="false" outlineLevel="0" collapsed="false">
      <c r="A113" s="8" t="n">
        <v>108</v>
      </c>
      <c r="B113" s="8" t="str">
        <f aca="false">IFERROR(INDEX(Raw!$B$2:$B$1001,MATCH($A113,Raw!$A$2:$A$1001,0)),"")</f>
        <v/>
      </c>
      <c r="C113" s="9" t="str">
        <f aca="false">IF($B113="","",MAX($CS113:$DE113))</f>
        <v/>
      </c>
      <c r="D113" s="8" t="str">
        <f aca="false">IF($B113="","",IF($C113=0,"Sample",INDEX(Setup!$B$37:$B$49,$C113-36)))</f>
        <v/>
      </c>
      <c r="E113" s="16" t="str">
        <f aca="false">IF($B113="","",IFERROR(IF(INDEX(Raw!$E$2:$E$1001,MATCH($A113,Raw!$A$2:$A$1001,0))=0,"",INDEX(Raw!$E$2:$E$1001,MATCH($A113,Raw!$A$2:$A$1001,0))),""))</f>
        <v/>
      </c>
      <c r="F113" s="18"/>
      <c r="G113" s="16" t="str">
        <f aca="false">IF($B113="","",IF($F113&lt;&gt;"",$F113,IF($E113="","",$E113)))</f>
        <v/>
      </c>
      <c r="H113" s="9" t="str">
        <f aca="false">IF($B113="","",SUMPRODUCT(MAX((Raw!$A$2:$A$1001=$A113)*(Raw!$R$2:$R$1001="N")*Raw!$D$2:$D$1001)))</f>
        <v/>
      </c>
      <c r="I113" s="9" t="str">
        <f aca="false">IF(OR($H113="",$H113=0),"",$A113&amp;"|N|"&amp;$H113)</f>
        <v/>
      </c>
      <c r="J113" s="9" t="str">
        <f aca="false">IF($B113="","",SUMPRODUCT(MIN((Raw!$A$2:$A$1001=$A113)*(Raw!$R$2:$R$1001="C")*Raw!$D$2:$D$1001+(1-(Raw!$A$2:$A$1001=$A113)*(Raw!$R$2:$R$1001="C"))*9999)))</f>
        <v/>
      </c>
      <c r="K113" s="9" t="str">
        <f aca="false">IF(OR($J113="",$J113=0,$J113=9999),"",$A113&amp;"|C|"&amp;$J113)</f>
        <v/>
      </c>
      <c r="L113" s="16" t="str">
        <f aca="false">IF($I113="","",IF(INDEX(Raw!$I$2:$I$1001,MATCH($I113,Raw!$S$2:$S$1001,0))&lt;&gt;0,"",INDEX(Raw!$H$2:$H$1001,MATCH($I113,Raw!$S$2:$S$1001,0))))</f>
        <v/>
      </c>
      <c r="M113" s="19" t="str">
        <f aca="false">IF($I113="","",IF(INDEX(Raw!$I$2:$I$1001,MATCH($I113,Raw!$S$2:$S$1001,0))&lt;&gt;0,"",INDEX(Raw!$F$2:$F$1001,MATCH($I113,Raw!$S$2:$S$1001,0))))</f>
        <v/>
      </c>
      <c r="N113" s="20" t="str">
        <f aca="false">IF($I113="","",IF(INDEX(Raw!$I$2:$I$1001,MATCH($I113,Raw!$S$2:$S$1001,0))&lt;&gt;0,"",INDEX(Raw!$G$2:$G$1001,MATCH($I113,Raw!$S$2:$S$1001,0))))</f>
        <v/>
      </c>
      <c r="O113" s="16" t="str">
        <f aca="false">IF($I113="","",IF(INDEX(Raw!$I$2:$I$1001,MATCH($I113,Raw!$S$2:$S$1001,0))&lt;&gt;0,"",INDEX(Raw!$N$2:$N$1001,MATCH($I113,Raw!$S$2:$S$1001,0))))</f>
        <v/>
      </c>
      <c r="P113" s="16" t="str">
        <f aca="false">IF($K113="","",IF(INDEX(Raw!$I$2:$I$1001,MATCH($K113,Raw!$S$2:$S$1001,0))&lt;&gt;0,"",INDEX(Raw!$K$2:$K$1001,MATCH($K113,Raw!$S$2:$S$1001,0))))</f>
        <v/>
      </c>
      <c r="Q113" s="19" t="str">
        <f aca="false">IF($K113="","",IF(INDEX(Raw!$I$2:$I$1001,MATCH($K113,Raw!$S$2:$S$1001,0))&lt;&gt;0,"",INDEX(Raw!$J$2:$J$1001,MATCH($K113,Raw!$S$2:$S$1001,0))))</f>
        <v/>
      </c>
      <c r="R113" s="16" t="str">
        <f aca="false">IF($K113="","",IF(INDEX(Raw!$I$2:$I$1001,MATCH($K113,Raw!$S$2:$S$1001,0))&lt;&gt;0,"",INDEX(Raw!$O$2:$O$1001,MATCH($K113,Raw!$S$2:$S$1001,0))))</f>
        <v/>
      </c>
      <c r="S113" s="21" t="str">
        <f aca="false">IF($B113="","",IF($C113=0,"",IF(INDEX(Setup!$D$37:$D$49,$C113-36)="","",INDEX(Setup!$D$37:$D$49,$C113-36))))</f>
        <v/>
      </c>
      <c r="T113" s="21" t="str">
        <f aca="false">IF($B113="","",IF($C113=0,"",IF(INDEX(Setup!$C$37:$C$49,$C113-36)="","",INDEX(Setup!$C$37:$C$49,$C113-36))))</f>
        <v/>
      </c>
      <c r="U113" s="21" t="str">
        <f aca="false">IF($B113="","",IF($C113=0,"",IF(INDEX(Setup!$F$37:$F$49,$C113-36)="","",INDEX(Setup!$F$37:$F$49,$C113-36))))</f>
        <v/>
      </c>
      <c r="V113" s="21" t="str">
        <f aca="false">IF($B113="","",IF($C113=0,"",IF(INDEX(Setup!$E$37:$E$49,$C113-36)="","",INDEX(Setup!$E$37:$E$49,$C113-36))))</f>
        <v/>
      </c>
      <c r="W113" s="16" t="str">
        <f aca="false">IF($O113="","",IF(OR(Fits!$C$5&lt;&gt;"Yes",$D113="Blank",$L113&lt;=Fits!$B$6),$O113,($L113*$O113-Fits!$B$6*Fits!$B$7)/($L113-Fits!$B$6)))</f>
        <v/>
      </c>
      <c r="X113" s="16" t="str">
        <f aca="false">IF($W113="","",$W113-Fits!$B$20*($L113-Fits!$B$16))</f>
        <v/>
      </c>
      <c r="Y113" s="22" t="str">
        <f aca="false">IF($W113="","",IF(OR(Fits!$B$38="Row",$BI113=""),$A113,$BI113))</f>
        <v/>
      </c>
      <c r="Z113" s="16" t="str">
        <f aca="false">IF($X113="","",$X113-Fits!$B$39*($Y113-Fits!$B$40))</f>
        <v/>
      </c>
      <c r="AA113" s="23" t="str">
        <f aca="false">IF(OR($Z113="",Fits!$B$55&lt;2),"",Fits!$B$56*$Z113+Fits!$B$57)</f>
        <v/>
      </c>
      <c r="AB113" s="16" t="str">
        <f aca="false">IF($R113="","",IF(OR(Fits!$C$9&lt;&gt;"Yes",$D113="Blank",$P113&lt;=Fits!$B$10),$R113,($P113*$R113-Fits!$B$10*Fits!$B$11)/($P113-Fits!$B$10)))</f>
        <v/>
      </c>
      <c r="AC113" s="16" t="str">
        <f aca="false">IF($AB113="","",$AB113-Fits!$B$28*($P113-Fits!$B$24))</f>
        <v/>
      </c>
      <c r="AD113" s="22" t="str">
        <f aca="false">IF($AB113="","",IF(OR(Fits!$B$50="Row",$BI113=""),$A113,$BI113))</f>
        <v/>
      </c>
      <c r="AE113" s="16" t="str">
        <f aca="false">IF($AC113="","",$AC113-Fits!$B$51*($AD113-Fits!$B$52))</f>
        <v/>
      </c>
      <c r="AF113" s="23" t="str">
        <f aca="false">IF(OR($AE113="",Fits!$B$62&lt;2),"",Fits!$B$63*$AE113+Fits!$B$64)</f>
        <v/>
      </c>
      <c r="AG113" s="21" t="str">
        <f aca="false">IF(OR($L113="",Fits!$B$69&lt;3),"",($L113-Fits!$B$71)/Fits!$B$70)</f>
        <v/>
      </c>
      <c r="AH113" s="21" t="str">
        <f aca="false">IF(OR($P113="",Fits!$B$75&lt;3),"",($P113-Fits!$B$77)/Fits!$B$76)</f>
        <v/>
      </c>
      <c r="AI113" s="23" t="str">
        <f aca="false">IF(OR($AG113="",$G113="",$G113=0),"",$AG113/($G113*1000)*100)</f>
        <v/>
      </c>
      <c r="AJ113" s="23" t="str">
        <f aca="false">IF(OR($AH113="",$G113="",$G113=0),"",$AH113/($G113*1000)*100)</f>
        <v/>
      </c>
      <c r="AK113" s="23" t="str">
        <f aca="false">IF(OR($AG113="",$AH113="",$AG113&lt;=0),"",($AH113/Setup!$B$52)/($AG113/Setup!$B$53))</f>
        <v/>
      </c>
      <c r="AL113" s="23" t="str">
        <f aca="false">IF(OR($AG113="",$AH113="",$AG113&lt;=0),"",$AH113/$AG113)</f>
        <v/>
      </c>
      <c r="AM113" s="9" t="str">
        <f aca="false">IF($D113="Linearity",IF($L113="","",$L113),"")</f>
        <v/>
      </c>
      <c r="AN113" s="9" t="str">
        <f aca="false">IF($D113="Linearity",IF($W113="","",$W113),"")</f>
        <v/>
      </c>
      <c r="AO113" s="9" t="str">
        <f aca="false">IF($D113="Linearity",IF($P113="","",$P113),"")</f>
        <v/>
      </c>
      <c r="AP113" s="9" t="str">
        <f aca="false">IF($D113="Linearity",IF($AB113="","",$AB113),"")</f>
        <v/>
      </c>
      <c r="AQ113" s="9" t="str">
        <f aca="false">IF($D113="Drift",IF($A113&lt;IF(Setup!$B$14="",0,Setup!$B$14),"",$A113),"")</f>
        <v/>
      </c>
      <c r="AR113" s="9" t="str">
        <f aca="false">IF($D113="Drift",IF($A113&lt;IF(Setup!$B$14="",0,Setup!$B$14),"",IF($BI113="","",$BI113)),"")</f>
        <v/>
      </c>
      <c r="AS113" s="9" t="str">
        <f aca="false">IF($D113="Drift",IF($A113&lt;IF(Setup!$B$14="",0,Setup!$B$14),"",IF(OR($X113="",$BX113=1),"",$X113)),"")</f>
        <v/>
      </c>
      <c r="AT113" s="9" t="str">
        <f aca="false">IF($D113="Drift",IF($A113&lt;IF(Setup!$B$14="",0,Setup!$B$14),"",IF(OR($AC113="",$BY113=1),"",$AC113)),"")</f>
        <v/>
      </c>
      <c r="AU113" s="9" t="str">
        <f aca="false">IF($D113="Anchor",IF(OR($Z113="",$S113=""),"",$Z113),"")</f>
        <v/>
      </c>
      <c r="AV113" s="9" t="str">
        <f aca="false">IF($D113="Anchor",IF(OR($Z113="",$S113=""),"",$S113),"")</f>
        <v/>
      </c>
      <c r="AW113" s="9" t="str">
        <f aca="false">IF($D113="Anchor",IF(OR($AE113="",$T113=""),"",$AE113),"")</f>
        <v/>
      </c>
      <c r="AX113" s="9" t="str">
        <f aca="false">IF($D113="Anchor",IF(OR($AE113="",$T113=""),"",$T113),"")</f>
        <v/>
      </c>
      <c r="AY113" s="9" t="str">
        <f aca="false">IF(OR($D113="Blank",$D113="Exclude",$D113="Sample",$D113="",$G113="",$U113="",$L113=""),"",$G113*1000*$U113/100)</f>
        <v/>
      </c>
      <c r="AZ113" s="9" t="str">
        <f aca="false">IF($AY113="","",$L113)</f>
        <v/>
      </c>
      <c r="BA113" s="9" t="str">
        <f aca="false">IF(OR($D113="Blank",$D113="Exclude",$D113="Sample",$D113="",$G113="",$V113="",$P113=""),"",$G113*1000*$V113/100)</f>
        <v/>
      </c>
      <c r="BB113" s="9" t="str">
        <f aca="false">IF($BA113="","",$P113)</f>
        <v/>
      </c>
      <c r="BC113" s="9" t="str">
        <f aca="false">IF(AND($D113="Blank",$L113&lt;&gt;""),$O113,"")</f>
        <v/>
      </c>
      <c r="BD113" s="9" t="str">
        <f aca="false">IF($BC113="","",$L113)</f>
        <v/>
      </c>
      <c r="BE113" s="9" t="str">
        <f aca="false">IF(AND($D113="Blank",$P113&lt;&gt;""),$R113,"")</f>
        <v/>
      </c>
      <c r="BF113" s="9" t="str">
        <f aca="false">IF($BE113="","",$P113)</f>
        <v/>
      </c>
      <c r="BG113" s="9" t="str">
        <f aca="false">IF(AND($D113="Drift",$BX113&lt;&gt;1),IF($AA113="","",$AA113),"")</f>
        <v/>
      </c>
      <c r="BH113" s="9" t="str">
        <f aca="false">IF(AND($D113="Drift",$BY113&lt;&gt;1),IF($AF113="","",$AF113),"")</f>
        <v/>
      </c>
      <c r="BI113" s="20" t="str">
        <f aca="false">IF($B113="","",IFERROR(INDEX(Raw!$G$2:$G$1001,MATCH($A113&amp;"|N|"&amp;SUMPRODUCT(MAX((Raw!$A$2:$A$1001=$A113)*(Raw!$R$2:$R$1001="N")*(Raw!$I$2:$I$1001=1)*Raw!$D$2:$D$1001)),Raw!$S$2:$S$1001,0)),""))</f>
        <v/>
      </c>
      <c r="BJ113" s="21" t="str">
        <f aca="false">IF(OR($BI113="",Fits!$B$85&lt;=0),"",($BI113-Fits!$B$83)/Fits!$B$85)</f>
        <v/>
      </c>
      <c r="BK113" s="9" t="str">
        <f aca="false">IF($AS113="","",IF($A113&gt;=Fits!$B$86,"",$A113))</f>
        <v/>
      </c>
      <c r="BL113" s="9" t="str">
        <f aca="false">IF($BK113="","",$X113)</f>
        <v/>
      </c>
      <c r="BM113" s="9" t="str">
        <f aca="false">IF($AS113="","",IF($A113&lt;Fits!$B$86,"",$A113))</f>
        <v/>
      </c>
      <c r="BN113" s="9" t="str">
        <f aca="false">IF($BM113="","",$X113)</f>
        <v/>
      </c>
      <c r="BO113" s="9" t="str">
        <f aca="false">IF(AND($D113="Drift",$BX113&lt;&gt;1),IF($O113="","",$O113),"")</f>
        <v/>
      </c>
      <c r="BP113" s="9" t="str">
        <f aca="false">IF(AND($D113="Drift",$BX113&lt;&gt;1),IF($W113="","",$W113),"")</f>
        <v/>
      </c>
      <c r="BQ113" s="9" t="str">
        <f aca="false">IF(AND($D113="Drift",$BX113&lt;&gt;1),IF($X113="","",$X113),"")</f>
        <v/>
      </c>
      <c r="BR113" s="9" t="str">
        <f aca="false">IF(AND($D113="Drift",$BX113&lt;&gt;1),IF($Z113="","",$Z113),"")</f>
        <v/>
      </c>
      <c r="BS113" s="9" t="str">
        <f aca="false">IF(OR($B113="",$H113=""),"",SUMPRODUCT(MIN((Raw!$A$2:$A$1001=$A113)*(Raw!$R$2:$R$1001="N")*(Raw!$I$2:$I$1001=0)*(Raw!$D$2:$D$1001&lt;$H113)*Raw!$D$2:$D$1001+(1-(Raw!$A$2:$A$1001=$A113)*(Raw!$R$2:$R$1001="N")*(Raw!$I$2:$I$1001=0)*(Raw!$D$2:$D$1001&lt;$H113))*9999)))</f>
        <v/>
      </c>
      <c r="BT113" s="16" t="str">
        <f aca="false">IF(OR($BS113="",$BS113=9999,$BS113=0),"",IFERROR(INDEX(Raw!$N$2:$N$1001,MATCH($A113&amp;"|N|"&amp;$BS113,Raw!$S$2:$S$1001,0)),""))</f>
        <v/>
      </c>
      <c r="BU113" s="9" t="str">
        <f aca="false">IF($B113="","",SUMPRODUCT(MIN((Raw!$A$2:$A$1001=$A113)*(Raw!$R$2:$R$1001="C")*(Raw!$I$2:$I$1001=1)*Raw!$D$2:$D$1001+(1-(Raw!$A$2:$A$1001=$A113)*(Raw!$R$2:$R$1001="C")*(Raw!$I$2:$I$1001=1))*9999)))</f>
        <v/>
      </c>
      <c r="BV113" s="9" t="str">
        <f aca="false">IF(OR($BU113="",$BU113=9999),"",SUMPRODUCT(MIN((Raw!$A$2:$A$1001=$A113)*(Raw!$R$2:$R$1001="C")*(Raw!$I$2:$I$1001=0)*(Raw!$D$2:$D$1001&gt;$BU113)*Raw!$D$2:$D$1001+(1-(Raw!$A$2:$A$1001=$A113)*(Raw!$R$2:$R$1001="C")*(Raw!$I$2:$I$1001=0)*(Raw!$D$2:$D$1001&gt;$BU113))*9999)))</f>
        <v/>
      </c>
      <c r="BW113" s="16" t="str">
        <f aca="false">IF(OR($BV113="",$BV113=9999,$BV113=0),"",IFERROR(INDEX(Raw!$O$2:$O$1001,MATCH($A113&amp;"|C|"&amp;$BV113,Raw!$S$2:$S$1001,0)),""))</f>
        <v/>
      </c>
      <c r="BX113" s="9" t="str">
        <f aca="false">IF($B113="","",IF(ISNUMBER(SEARCH(","&amp;$A113&amp;",",","&amp;SUBSTITUTE(Setup!$B$16," ","")&amp;",")),1,0))</f>
        <v/>
      </c>
      <c r="BY113" s="9" t="str">
        <f aca="false">IF($B113="","",IF(ISNUMBER(SEARCH(","&amp;$A113&amp;",",","&amp;SUBSTITUTE(Setup!$B$17," ","")&amp;",")),1,0))</f>
        <v/>
      </c>
      <c r="BZ113" s="22" t="str">
        <f aca="false">IF($AS113="","",IF(Fits!$B$38="Row",$AQ113,IF($AR113="","",$AR113)))</f>
        <v/>
      </c>
      <c r="CA113" s="22" t="str">
        <f aca="false">IF($AT113="","",IF(Fits!$B$50="Row",$AQ113,IF($AR113="","",$AR113)))</f>
        <v/>
      </c>
      <c r="CB113" s="20" t="str">
        <f aca="false">IF(OR($D113&lt;&gt;"Drift",$X113="",$A113&lt;IF(Setup!$B$14="",0,Setup!$B$14),Fits!$B$107&lt;3,Fits!$B$110="",Fits!$B$109=0,IF(Fits!$B$38="Row",$AQ113,$AR113)=""),"",IF($BX113=1,IF(OR(Fits!$B$111="",Fits!$B$111=0),"",($X113-(IF(Fits!$B$38="Row",Fits!$B$32,Fits!$B$35)*IF(Fits!$B$38="Row",$AQ113,$AR113)+Fits!$B$110))/(Fits!$B$111*SQRT(1+(1/Fits!$B$107+(IF(Fits!$B$38="Row",$AQ113,$AR113)-Fits!$B$108)^2/Fits!$B$109)))),IF(OR(Fits!$B$107&lt;4,(1/Fits!$B$107+(IF(Fits!$B$38="Row",$AQ113,$AR113)-Fits!$B$108)^2/Fits!$B$109)&gt;=1),"",IF((Fits!$B$116-($X113-(IF(Fits!$B$38="Row",Fits!$B$32,Fits!$B$35)*IF(Fits!$B$38="Row",$AQ113,$AR113)+Fits!$B$110))^2/(1-(1/Fits!$B$107+(IF(Fits!$B$38="Row",$AQ113,$AR113)-Fits!$B$108)^2/Fits!$B$109)))&lt;=0,"",($X113-(IF(Fits!$B$38="Row",Fits!$B$32,Fits!$B$35)*IF(Fits!$B$38="Row",$AQ113,$AR113)+Fits!$B$110))/(SQRT((Fits!$B$116-($X113-(IF(Fits!$B$38="Row",Fits!$B$32,Fits!$B$35)*IF(Fits!$B$38="Row",$AQ113,$AR113)+Fits!$B$110))^2/(1-(1/Fits!$B$107+(IF(Fits!$B$38="Row",$AQ113,$AR113)-Fits!$B$108)^2/Fits!$B$109)))/(Fits!$B$107-3))*SQRT(1-(1/Fits!$B$107+(IF(Fits!$B$38="Row",$AQ113,$AR113)-Fits!$B$108)^2/Fits!$B$109)))))))</f>
        <v/>
      </c>
      <c r="CC113" s="20" t="str">
        <f aca="false">IF(OR($D113&lt;&gt;"Drift",$AC113="",$A113&lt;IF(Setup!$B$14="",0,Setup!$B$14),Fits!$B$120&lt;3,Fits!$B$123="",Fits!$B$122=0,IF(Fits!$B$50="Row",$AQ113,$AR113)=""),"",IF($BY113=1,IF(OR(Fits!$B$124="",Fits!$B$124=0),"",($AC113-(IF(Fits!$B$50="Row",Fits!$B$44,Fits!$B$47)*IF(Fits!$B$50="Row",$AQ113,$AR113)+Fits!$B$123))/(Fits!$B$124*SQRT(1+(1/Fits!$B$120+(IF(Fits!$B$50="Row",$AQ113,$AR113)-Fits!$B$121)^2/Fits!$B$122)))),IF(OR(Fits!$B$120&lt;4,(1/Fits!$B$120+(IF(Fits!$B$50="Row",$AQ113,$AR113)-Fits!$B$121)^2/Fits!$B$122)&gt;=1),"",IF((Fits!$B$129-($AC113-(IF(Fits!$B$50="Row",Fits!$B$44,Fits!$B$47)*IF(Fits!$B$50="Row",$AQ113,$AR113)+Fits!$B$123))^2/(1-(1/Fits!$B$120+(IF(Fits!$B$50="Row",$AQ113,$AR113)-Fits!$B$121)^2/Fits!$B$122)))&lt;=0,"",($AC113-(IF(Fits!$B$50="Row",Fits!$B$44,Fits!$B$47)*IF(Fits!$B$50="Row",$AQ113,$AR113)+Fits!$B$123))/(SQRT((Fits!$B$129-($AC113-(IF(Fits!$B$50="Row",Fits!$B$44,Fits!$B$47)*IF(Fits!$B$50="Row",$AQ113,$AR113)+Fits!$B$123))^2/(1-(1/Fits!$B$120+(IF(Fits!$B$50="Row",$AQ113,$AR113)-Fits!$B$121)^2/Fits!$B$122)))/(Fits!$B$120-3))*SQRT(1-(1/Fits!$B$120+(IF(Fits!$B$50="Row",$AQ113,$AR113)-Fits!$B$121)^2/Fits!$B$122)))))))</f>
        <v/>
      </c>
      <c r="CD113" s="9" t="str">
        <f aca="false">IF($AU113="","",1)</f>
        <v/>
      </c>
      <c r="CE113" s="24" t="str">
        <f aca="false">IF($AU113="","",$AU113-Fits!$B$133)</f>
        <v/>
      </c>
      <c r="CF113" s="24" t="str">
        <f aca="false">IF($AU113="","",($AV113-(Fits!$B$56*$AU113+Fits!$B$57))-Fits!$B$56*($AU113-Fits!$B$133))</f>
        <v/>
      </c>
      <c r="CG113" s="25" t="str">
        <f aca="false">IF($AU113="","",$AU113^2)</f>
        <v/>
      </c>
      <c r="CH113" s="9" t="str">
        <f aca="false">IF($AW113="","",1)</f>
        <v/>
      </c>
      <c r="CI113" s="24" t="str">
        <f aca="false">IF($AW113="","",$AW113-Fits!$B$153)</f>
        <v/>
      </c>
      <c r="CJ113" s="24" t="str">
        <f aca="false">IF($AW113="","",($AX113-(Fits!$B$63*$AW113+Fits!$B$64))-Fits!$B$63*($AW113-Fits!$B$153))</f>
        <v/>
      </c>
      <c r="CK113" s="25" t="str">
        <f aca="false">IF($AW113="","",$AW113^2)</f>
        <v/>
      </c>
      <c r="CL113" s="26" t="str">
        <f aca="false">IF(OR($Z113="",Fits!$B$55&lt;3,Fits!$B$133="",Fits!$B$134="",Fits!$B$134=0,Fits!$B$136=""),"",SQRT((Fits!$B$136*Fits!$B$56)^2+SUMPRODUCT((Fits!$J$163:$J$175*(Fits!$B$163:$B$175/Fits!$B$55+Fits!$H$163:$H$175*($Z113-Fits!$B$133)/Fits!$B$134))^2)+SUMPRODUCT((Fits!$G$163:$G$175*(($Z113-Fits!$B$133)*Fits!$I$163:$I$175/Fits!$B$134-Fits!$B$163:$B$175*Fits!$B$56/Fits!$B$55))^2)))</f>
        <v/>
      </c>
      <c r="CM113" s="26" t="str">
        <f aca="false">IF($CL113="","",Setup!$B$32*$CL113)</f>
        <v/>
      </c>
      <c r="CN113" s="26" t="str">
        <f aca="false">IF(OR($AE113="",Fits!$B$62&lt;3,Fits!$B$153="",Fits!$B$154="",Fits!$B$154=0,Fits!$B$156=""),"",SQRT((Fits!$B$156*Fits!$B$63)^2+SUMPRODUCT((Fits!$J$183:$J$195*(Fits!$B$183:$B$195/Fits!$B$62+Fits!$H$183:$H$195*($AE113-Fits!$B$153)/Fits!$B$154))^2)+SUMPRODUCT((Fits!$G$183:$G$195*(($AE113-Fits!$B$153)*Fits!$I$183:$I$195/Fits!$B$154-Fits!$B$183:$B$195*Fits!$B$63/Fits!$B$62))^2)))</f>
        <v/>
      </c>
      <c r="CO113" s="26" t="str">
        <f aca="false">IF($CN113="","",Setup!$B$32*$CN113)</f>
        <v/>
      </c>
      <c r="CP113" s="9" t="n">
        <f aca="false">IF(OR(NOT(ISNUMBER($BJ113)),$EK113=1),$CP112,IF($BJ113&lt;=Setup!$B$26,$CP112+1,0))</f>
        <v>26</v>
      </c>
      <c r="CQ113" s="9" t="str">
        <f aca="false">IF($BT113="","",$A113)</f>
        <v/>
      </c>
      <c r="CR113" s="9" t="str">
        <f aca="false">IF($BW113="","",$A113)</f>
        <v/>
      </c>
      <c r="CS113" s="9" t="str">
        <f aca="false">IF($B113="","",IF(Setup!$A$37="",0,IF(ISNUMBER(SEARCH(Setup!$A$37,$B113)),37,0)))</f>
        <v/>
      </c>
      <c r="CT113" s="9" t="str">
        <f aca="false">IF($B113="","",IF(Setup!$A$38="",0,IF(ISNUMBER(SEARCH(Setup!$A$38,$B113)),38,0)))</f>
        <v/>
      </c>
      <c r="CU113" s="9" t="str">
        <f aca="false">IF($B113="","",IF(Setup!$A$39="",0,IF(ISNUMBER(SEARCH(Setup!$A$39,$B113)),39,0)))</f>
        <v/>
      </c>
      <c r="CV113" s="9" t="str">
        <f aca="false">IF($B113="","",IF(Setup!$A$40="",0,IF(ISNUMBER(SEARCH(Setup!$A$40,$B113)),40,0)))</f>
        <v/>
      </c>
      <c r="CW113" s="9" t="str">
        <f aca="false">IF($B113="","",IF(Setup!$A$41="",0,IF(ISNUMBER(SEARCH(Setup!$A$41,$B113)),41,0)))</f>
        <v/>
      </c>
      <c r="CX113" s="9" t="str">
        <f aca="false">IF($B113="","",IF(Setup!$A$42="",0,IF(ISNUMBER(SEARCH(Setup!$A$42,$B113)),42,0)))</f>
        <v/>
      </c>
      <c r="CY113" s="9" t="str">
        <f aca="false">IF($B113="","",IF(Setup!$A$43="",0,IF(ISNUMBER(SEARCH(Setup!$A$43,$B113)),43,0)))</f>
        <v/>
      </c>
      <c r="CZ113" s="9" t="str">
        <f aca="false">IF($B113="","",IF(Setup!$A$44="",0,IF(ISNUMBER(SEARCH(Setup!$A$44,$B113)),44,0)))</f>
        <v/>
      </c>
      <c r="DA113" s="9" t="str">
        <f aca="false">IF($B113="","",IF(Setup!$A$45="",0,IF(ISNUMBER(SEARCH(Setup!$A$45,$B113)),45,0)))</f>
        <v/>
      </c>
      <c r="DB113" s="9" t="str">
        <f aca="false">IF($B113="","",IF(Setup!$A$46="",0,IF(ISNUMBER(SEARCH(Setup!$A$46,$B113)),46,0)))</f>
        <v/>
      </c>
      <c r="DC113" s="9" t="str">
        <f aca="false">IF($B113="","",IF(Setup!$A$47="",0,IF(ISNUMBER(SEARCH(Setup!$A$47,$B113)),47,0)))</f>
        <v/>
      </c>
      <c r="DD113" s="9" t="str">
        <f aca="false">IF($B113="","",IF(Setup!$A$48="",0,IF(ISNUMBER(SEARCH(Setup!$A$48,$B113)),48,0)))</f>
        <v/>
      </c>
      <c r="DE113" s="9" t="str">
        <f aca="false">IF($B113="","",IF(Setup!$A$49="",0,IF(ISNUMBER(SEARCH(Setup!$A$49,$B113)),49,0)))</f>
        <v/>
      </c>
      <c r="DF113" s="9" t="e">
        <f aca="false">IF($B113="",NA(),$A113)</f>
        <v>#N/A</v>
      </c>
      <c r="DG113" s="9" t="e">
        <f aca="false">IF($BI113="",NA(),$BI113)</f>
        <v>#N/A</v>
      </c>
      <c r="DH113" s="9" t="e">
        <f aca="false">IF($N113="",NA(),$N113)</f>
        <v>#N/A</v>
      </c>
      <c r="DI113" s="9" t="e">
        <f aca="false">IF(AND($D113="Drift",$N113&lt;&gt;""),$N113,NA())</f>
        <v>#N/A</v>
      </c>
      <c r="DJ113" s="9" t="str">
        <f aca="false">IF(AND($D113="Drift",$N113&lt;&gt;""),$N113,"")</f>
        <v/>
      </c>
      <c r="DK113" s="9" t="str">
        <f aca="false">IF($DJ113="","",$A113)</f>
        <v/>
      </c>
      <c r="DL113" s="9" t="e">
        <f aca="false">IF($AN113="",NA(),$AM113)</f>
        <v>#N/A</v>
      </c>
      <c r="DM113" s="9" t="e">
        <f aca="false">IF($AN113="",NA(),$AN113)</f>
        <v>#N/A</v>
      </c>
      <c r="DN113" s="9" t="e">
        <f aca="false">IF(AND($D113="Sample",$L113&lt;&gt;""),$L113,NA())</f>
        <v>#N/A</v>
      </c>
      <c r="DO113" s="9" t="e">
        <f aca="false">IF(AND($D113="Sample",$L113&lt;&gt;"",Fits!$B$98&lt;&gt;""),Fits!$B$98,NA())</f>
        <v>#N/A</v>
      </c>
      <c r="DP113" s="9" t="e">
        <f aca="false">IF($AS113="",NA(),$AS113)</f>
        <v>#N/A</v>
      </c>
      <c r="DQ113" s="9" t="e">
        <f aca="false">IF(AND($D113="Drift",$AS113="",$X113&lt;&gt;""),$X113,NA())</f>
        <v>#N/A</v>
      </c>
      <c r="DR113" s="9" t="e">
        <f aca="false">IF(AND($D113="Drift",$Z113&lt;&gt;""),$Z113,NA())</f>
        <v>#N/A</v>
      </c>
      <c r="DS113" s="9" t="e">
        <f aca="false">IF(AND(OR($D113="Sample",$D113="Check"),$AA113&lt;&gt;""),$AA113,NA())</f>
        <v>#N/A</v>
      </c>
      <c r="DT113" s="9" t="e">
        <f aca="false">IF(OR($B113="",Fits!$B$138=""),NA(),Fits!$B$138)</f>
        <v>#N/A</v>
      </c>
      <c r="DU113" s="9" t="e">
        <f aca="false">IF(OR($B113="",Fits!$B$139=""),NA(),Fits!$B$139)</f>
        <v>#N/A</v>
      </c>
      <c r="DV113" s="9" t="e">
        <f aca="false">IF($BT113="",NA(),$BT113)</f>
        <v>#N/A</v>
      </c>
      <c r="DW113" s="9" t="e">
        <f aca="false">IF($AP113="",NA(),$AO113)</f>
        <v>#N/A</v>
      </c>
      <c r="DX113" s="9" t="e">
        <f aca="false">IF($AP113="",NA(),$AP113)</f>
        <v>#N/A</v>
      </c>
      <c r="DY113" s="9" t="e">
        <f aca="false">IF(AND($D113="Sample",$P113&lt;&gt;""),$P113,NA())</f>
        <v>#N/A</v>
      </c>
      <c r="DZ113" s="9" t="e">
        <f aca="false">IF(AND($D113="Sample",$P113&lt;&gt;"",Fits!$B$105&lt;&gt;""),Fits!$B$105,NA())</f>
        <v>#N/A</v>
      </c>
      <c r="EA113" s="9" t="e">
        <f aca="false">IF($AT113="",NA(),$AT113)</f>
        <v>#N/A</v>
      </c>
      <c r="EB113" s="9" t="e">
        <f aca="false">IF(AND($D113="Drift",$AT113="",$AC113&lt;&gt;""),$AC113,NA())</f>
        <v>#N/A</v>
      </c>
      <c r="EC113" s="9" t="e">
        <f aca="false">IF(AND($D113="Drift",$AE113&lt;&gt;""),$AE113,NA())</f>
        <v>#N/A</v>
      </c>
      <c r="ED113" s="9" t="e">
        <f aca="false">IF(AND(OR($D113="Sample",$D113="Check"),$AF113&lt;&gt;""),$AF113,NA())</f>
        <v>#N/A</v>
      </c>
      <c r="EE113" s="9" t="e">
        <f aca="false">IF(OR($B113="",Fits!$B$158=""),NA(),Fits!$B$158)</f>
        <v>#N/A</v>
      </c>
      <c r="EF113" s="9" t="e">
        <f aca="false">IF(OR($B113="",Fits!$B$159=""),NA(),Fits!$B$159)</f>
        <v>#N/A</v>
      </c>
      <c r="EG113" s="9" t="e">
        <f aca="false">IF($BW113="",NA(),$BW113)</f>
        <v>#N/A</v>
      </c>
      <c r="EH113" s="9" t="e">
        <f aca="false">IF(AND($EN113=1,ISNUMBER($N113)),$N113,NA())</f>
        <v>#N/A</v>
      </c>
      <c r="EI113" s="9" t="str">
        <f aca="false">IF($B113="","",$A113)</f>
        <v/>
      </c>
      <c r="EJ113" s="9" t="n">
        <f aca="false">IF(OR(AND(ISNUMBER($L113),Fits!$B$97&gt;0,$L113&gt;Fits!$B$97),AND(ISNUMBER($P113),Fits!$B$104&gt;0,$P113&gt;Fits!$B$104)),1,0)</f>
        <v>0</v>
      </c>
      <c r="EK113" s="9" t="n">
        <f aca="false">IF(OR($EJ112=1,$EJ111=1),1,0)</f>
        <v>0</v>
      </c>
      <c r="EL113" s="22" t="n">
        <f aca="false">IF(AND($EK113=0,ISNUMBER($N113)),$N113,$EL112)</f>
        <v>25.7</v>
      </c>
      <c r="EM113" s="9" t="str">
        <f aca="false">IF(AND($EK113=1,ISNUMBER($N113),ISNUMBER($EL113)),$N113-$EL113,"")</f>
        <v/>
      </c>
      <c r="EN113" s="9" t="n">
        <f aca="false">IF(Setup!$B$28="",0,IF(ISNUMBER($EM113),IF($EM113&gt;Setup!$B$28,1,0),0))</f>
        <v>0</v>
      </c>
      <c r="EO113" s="9" t="str">
        <f aca="false">IF($EN113=1,COUNTIF($EN$6:$EN113,1),"")</f>
        <v/>
      </c>
      <c r="EP113" s="9" t="n">
        <f aca="false">IF(AND($EJ112=1,OR($D113="Sample",$D113="Check")),1,0)</f>
        <v>0</v>
      </c>
      <c r="EQ113" s="9" t="str">
        <f aca="false">IF(ISNUMBER($BI113),IF(COUNT($BI$6:$BI113)&lt;=5,$BI113,""),"")</f>
        <v/>
      </c>
      <c r="ER113" s="9" t="n">
        <f aca="false">IF(OR(NOT(ISNUMBER($BJ113)),$EK113=1),$ER112,IF($BJ113&lt;=Setup!$B$26,IF($CP112=0,$A113,$ER112),""))</f>
        <v>27</v>
      </c>
    </row>
    <row r="114" customFormat="false" ht="15" hidden="false" customHeight="false" outlineLevel="0" collapsed="false">
      <c r="A114" s="8" t="n">
        <v>109</v>
      </c>
      <c r="B114" s="8" t="str">
        <f aca="false">IFERROR(INDEX(Raw!$B$2:$B$1001,MATCH($A114,Raw!$A$2:$A$1001,0)),"")</f>
        <v/>
      </c>
      <c r="C114" s="9" t="str">
        <f aca="false">IF($B114="","",MAX($CS114:$DE114))</f>
        <v/>
      </c>
      <c r="D114" s="8" t="str">
        <f aca="false">IF($B114="","",IF($C114=0,"Sample",INDEX(Setup!$B$37:$B$49,$C114-36)))</f>
        <v/>
      </c>
      <c r="E114" s="16" t="str">
        <f aca="false">IF($B114="","",IFERROR(IF(INDEX(Raw!$E$2:$E$1001,MATCH($A114,Raw!$A$2:$A$1001,0))=0,"",INDEX(Raw!$E$2:$E$1001,MATCH($A114,Raw!$A$2:$A$1001,0))),""))</f>
        <v/>
      </c>
      <c r="F114" s="18"/>
      <c r="G114" s="16" t="str">
        <f aca="false">IF($B114="","",IF($F114&lt;&gt;"",$F114,IF($E114="","",$E114)))</f>
        <v/>
      </c>
      <c r="H114" s="9" t="str">
        <f aca="false">IF($B114="","",SUMPRODUCT(MAX((Raw!$A$2:$A$1001=$A114)*(Raw!$R$2:$R$1001="N")*Raw!$D$2:$D$1001)))</f>
        <v/>
      </c>
      <c r="I114" s="9" t="str">
        <f aca="false">IF(OR($H114="",$H114=0),"",$A114&amp;"|N|"&amp;$H114)</f>
        <v/>
      </c>
      <c r="J114" s="9" t="str">
        <f aca="false">IF($B114="","",SUMPRODUCT(MIN((Raw!$A$2:$A$1001=$A114)*(Raw!$R$2:$R$1001="C")*Raw!$D$2:$D$1001+(1-(Raw!$A$2:$A$1001=$A114)*(Raw!$R$2:$R$1001="C"))*9999)))</f>
        <v/>
      </c>
      <c r="K114" s="9" t="str">
        <f aca="false">IF(OR($J114="",$J114=0,$J114=9999),"",$A114&amp;"|C|"&amp;$J114)</f>
        <v/>
      </c>
      <c r="L114" s="16" t="str">
        <f aca="false">IF($I114="","",IF(INDEX(Raw!$I$2:$I$1001,MATCH($I114,Raw!$S$2:$S$1001,0))&lt;&gt;0,"",INDEX(Raw!$H$2:$H$1001,MATCH($I114,Raw!$S$2:$S$1001,0))))</f>
        <v/>
      </c>
      <c r="M114" s="19" t="str">
        <f aca="false">IF($I114="","",IF(INDEX(Raw!$I$2:$I$1001,MATCH($I114,Raw!$S$2:$S$1001,0))&lt;&gt;0,"",INDEX(Raw!$F$2:$F$1001,MATCH($I114,Raw!$S$2:$S$1001,0))))</f>
        <v/>
      </c>
      <c r="N114" s="20" t="str">
        <f aca="false">IF($I114="","",IF(INDEX(Raw!$I$2:$I$1001,MATCH($I114,Raw!$S$2:$S$1001,0))&lt;&gt;0,"",INDEX(Raw!$G$2:$G$1001,MATCH($I114,Raw!$S$2:$S$1001,0))))</f>
        <v/>
      </c>
      <c r="O114" s="16" t="str">
        <f aca="false">IF($I114="","",IF(INDEX(Raw!$I$2:$I$1001,MATCH($I114,Raw!$S$2:$S$1001,0))&lt;&gt;0,"",INDEX(Raw!$N$2:$N$1001,MATCH($I114,Raw!$S$2:$S$1001,0))))</f>
        <v/>
      </c>
      <c r="P114" s="16" t="str">
        <f aca="false">IF($K114="","",IF(INDEX(Raw!$I$2:$I$1001,MATCH($K114,Raw!$S$2:$S$1001,0))&lt;&gt;0,"",INDEX(Raw!$K$2:$K$1001,MATCH($K114,Raw!$S$2:$S$1001,0))))</f>
        <v/>
      </c>
      <c r="Q114" s="19" t="str">
        <f aca="false">IF($K114="","",IF(INDEX(Raw!$I$2:$I$1001,MATCH($K114,Raw!$S$2:$S$1001,0))&lt;&gt;0,"",INDEX(Raw!$J$2:$J$1001,MATCH($K114,Raw!$S$2:$S$1001,0))))</f>
        <v/>
      </c>
      <c r="R114" s="16" t="str">
        <f aca="false">IF($K114="","",IF(INDEX(Raw!$I$2:$I$1001,MATCH($K114,Raw!$S$2:$S$1001,0))&lt;&gt;0,"",INDEX(Raw!$O$2:$O$1001,MATCH($K114,Raw!$S$2:$S$1001,0))))</f>
        <v/>
      </c>
      <c r="S114" s="21" t="str">
        <f aca="false">IF($B114="","",IF($C114=0,"",IF(INDEX(Setup!$D$37:$D$49,$C114-36)="","",INDEX(Setup!$D$37:$D$49,$C114-36))))</f>
        <v/>
      </c>
      <c r="T114" s="21" t="str">
        <f aca="false">IF($B114="","",IF($C114=0,"",IF(INDEX(Setup!$C$37:$C$49,$C114-36)="","",INDEX(Setup!$C$37:$C$49,$C114-36))))</f>
        <v/>
      </c>
      <c r="U114" s="21" t="str">
        <f aca="false">IF($B114="","",IF($C114=0,"",IF(INDEX(Setup!$F$37:$F$49,$C114-36)="","",INDEX(Setup!$F$37:$F$49,$C114-36))))</f>
        <v/>
      </c>
      <c r="V114" s="21" t="str">
        <f aca="false">IF($B114="","",IF($C114=0,"",IF(INDEX(Setup!$E$37:$E$49,$C114-36)="","",INDEX(Setup!$E$37:$E$49,$C114-36))))</f>
        <v/>
      </c>
      <c r="W114" s="16" t="str">
        <f aca="false">IF($O114="","",IF(OR(Fits!$C$5&lt;&gt;"Yes",$D114="Blank",$L114&lt;=Fits!$B$6),$O114,($L114*$O114-Fits!$B$6*Fits!$B$7)/($L114-Fits!$B$6)))</f>
        <v/>
      </c>
      <c r="X114" s="16" t="str">
        <f aca="false">IF($W114="","",$W114-Fits!$B$20*($L114-Fits!$B$16))</f>
        <v/>
      </c>
      <c r="Y114" s="22" t="str">
        <f aca="false">IF($W114="","",IF(OR(Fits!$B$38="Row",$BI114=""),$A114,$BI114))</f>
        <v/>
      </c>
      <c r="Z114" s="16" t="str">
        <f aca="false">IF($X114="","",$X114-Fits!$B$39*($Y114-Fits!$B$40))</f>
        <v/>
      </c>
      <c r="AA114" s="23" t="str">
        <f aca="false">IF(OR($Z114="",Fits!$B$55&lt;2),"",Fits!$B$56*$Z114+Fits!$B$57)</f>
        <v/>
      </c>
      <c r="AB114" s="16" t="str">
        <f aca="false">IF($R114="","",IF(OR(Fits!$C$9&lt;&gt;"Yes",$D114="Blank",$P114&lt;=Fits!$B$10),$R114,($P114*$R114-Fits!$B$10*Fits!$B$11)/($P114-Fits!$B$10)))</f>
        <v/>
      </c>
      <c r="AC114" s="16" t="str">
        <f aca="false">IF($AB114="","",$AB114-Fits!$B$28*($P114-Fits!$B$24))</f>
        <v/>
      </c>
      <c r="AD114" s="22" t="str">
        <f aca="false">IF($AB114="","",IF(OR(Fits!$B$50="Row",$BI114=""),$A114,$BI114))</f>
        <v/>
      </c>
      <c r="AE114" s="16" t="str">
        <f aca="false">IF($AC114="","",$AC114-Fits!$B$51*($AD114-Fits!$B$52))</f>
        <v/>
      </c>
      <c r="AF114" s="23" t="str">
        <f aca="false">IF(OR($AE114="",Fits!$B$62&lt;2),"",Fits!$B$63*$AE114+Fits!$B$64)</f>
        <v/>
      </c>
      <c r="AG114" s="21" t="str">
        <f aca="false">IF(OR($L114="",Fits!$B$69&lt;3),"",($L114-Fits!$B$71)/Fits!$B$70)</f>
        <v/>
      </c>
      <c r="AH114" s="21" t="str">
        <f aca="false">IF(OR($P114="",Fits!$B$75&lt;3),"",($P114-Fits!$B$77)/Fits!$B$76)</f>
        <v/>
      </c>
      <c r="AI114" s="23" t="str">
        <f aca="false">IF(OR($AG114="",$G114="",$G114=0),"",$AG114/($G114*1000)*100)</f>
        <v/>
      </c>
      <c r="AJ114" s="23" t="str">
        <f aca="false">IF(OR($AH114="",$G114="",$G114=0),"",$AH114/($G114*1000)*100)</f>
        <v/>
      </c>
      <c r="AK114" s="23" t="str">
        <f aca="false">IF(OR($AG114="",$AH114="",$AG114&lt;=0),"",($AH114/Setup!$B$52)/($AG114/Setup!$B$53))</f>
        <v/>
      </c>
      <c r="AL114" s="23" t="str">
        <f aca="false">IF(OR($AG114="",$AH114="",$AG114&lt;=0),"",$AH114/$AG114)</f>
        <v/>
      </c>
      <c r="AM114" s="9" t="str">
        <f aca="false">IF($D114="Linearity",IF($L114="","",$L114),"")</f>
        <v/>
      </c>
      <c r="AN114" s="9" t="str">
        <f aca="false">IF($D114="Linearity",IF($W114="","",$W114),"")</f>
        <v/>
      </c>
      <c r="AO114" s="9" t="str">
        <f aca="false">IF($D114="Linearity",IF($P114="","",$P114),"")</f>
        <v/>
      </c>
      <c r="AP114" s="9" t="str">
        <f aca="false">IF($D114="Linearity",IF($AB114="","",$AB114),"")</f>
        <v/>
      </c>
      <c r="AQ114" s="9" t="str">
        <f aca="false">IF($D114="Drift",IF($A114&lt;IF(Setup!$B$14="",0,Setup!$B$14),"",$A114),"")</f>
        <v/>
      </c>
      <c r="AR114" s="9" t="str">
        <f aca="false">IF($D114="Drift",IF($A114&lt;IF(Setup!$B$14="",0,Setup!$B$14),"",IF($BI114="","",$BI114)),"")</f>
        <v/>
      </c>
      <c r="AS114" s="9" t="str">
        <f aca="false">IF($D114="Drift",IF($A114&lt;IF(Setup!$B$14="",0,Setup!$B$14),"",IF(OR($X114="",$BX114=1),"",$X114)),"")</f>
        <v/>
      </c>
      <c r="AT114" s="9" t="str">
        <f aca="false">IF($D114="Drift",IF($A114&lt;IF(Setup!$B$14="",0,Setup!$B$14),"",IF(OR($AC114="",$BY114=1),"",$AC114)),"")</f>
        <v/>
      </c>
      <c r="AU114" s="9" t="str">
        <f aca="false">IF($D114="Anchor",IF(OR($Z114="",$S114=""),"",$Z114),"")</f>
        <v/>
      </c>
      <c r="AV114" s="9" t="str">
        <f aca="false">IF($D114="Anchor",IF(OR($Z114="",$S114=""),"",$S114),"")</f>
        <v/>
      </c>
      <c r="AW114" s="9" t="str">
        <f aca="false">IF($D114="Anchor",IF(OR($AE114="",$T114=""),"",$AE114),"")</f>
        <v/>
      </c>
      <c r="AX114" s="9" t="str">
        <f aca="false">IF($D114="Anchor",IF(OR($AE114="",$T114=""),"",$T114),"")</f>
        <v/>
      </c>
      <c r="AY114" s="9" t="str">
        <f aca="false">IF(OR($D114="Blank",$D114="Exclude",$D114="Sample",$D114="",$G114="",$U114="",$L114=""),"",$G114*1000*$U114/100)</f>
        <v/>
      </c>
      <c r="AZ114" s="9" t="str">
        <f aca="false">IF($AY114="","",$L114)</f>
        <v/>
      </c>
      <c r="BA114" s="9" t="str">
        <f aca="false">IF(OR($D114="Blank",$D114="Exclude",$D114="Sample",$D114="",$G114="",$V114="",$P114=""),"",$G114*1000*$V114/100)</f>
        <v/>
      </c>
      <c r="BB114" s="9" t="str">
        <f aca="false">IF($BA114="","",$P114)</f>
        <v/>
      </c>
      <c r="BC114" s="9" t="str">
        <f aca="false">IF(AND($D114="Blank",$L114&lt;&gt;""),$O114,"")</f>
        <v/>
      </c>
      <c r="BD114" s="9" t="str">
        <f aca="false">IF($BC114="","",$L114)</f>
        <v/>
      </c>
      <c r="BE114" s="9" t="str">
        <f aca="false">IF(AND($D114="Blank",$P114&lt;&gt;""),$R114,"")</f>
        <v/>
      </c>
      <c r="BF114" s="9" t="str">
        <f aca="false">IF($BE114="","",$P114)</f>
        <v/>
      </c>
      <c r="BG114" s="9" t="str">
        <f aca="false">IF(AND($D114="Drift",$BX114&lt;&gt;1),IF($AA114="","",$AA114),"")</f>
        <v/>
      </c>
      <c r="BH114" s="9" t="str">
        <f aca="false">IF(AND($D114="Drift",$BY114&lt;&gt;1),IF($AF114="","",$AF114),"")</f>
        <v/>
      </c>
      <c r="BI114" s="20" t="str">
        <f aca="false">IF($B114="","",IFERROR(INDEX(Raw!$G$2:$G$1001,MATCH($A114&amp;"|N|"&amp;SUMPRODUCT(MAX((Raw!$A$2:$A$1001=$A114)*(Raw!$R$2:$R$1001="N")*(Raw!$I$2:$I$1001=1)*Raw!$D$2:$D$1001)),Raw!$S$2:$S$1001,0)),""))</f>
        <v/>
      </c>
      <c r="BJ114" s="21" t="str">
        <f aca="false">IF(OR($BI114="",Fits!$B$85&lt;=0),"",($BI114-Fits!$B$83)/Fits!$B$85)</f>
        <v/>
      </c>
      <c r="BK114" s="9" t="str">
        <f aca="false">IF($AS114="","",IF($A114&gt;=Fits!$B$86,"",$A114))</f>
        <v/>
      </c>
      <c r="BL114" s="9" t="str">
        <f aca="false">IF($BK114="","",$X114)</f>
        <v/>
      </c>
      <c r="BM114" s="9" t="str">
        <f aca="false">IF($AS114="","",IF($A114&lt;Fits!$B$86,"",$A114))</f>
        <v/>
      </c>
      <c r="BN114" s="9" t="str">
        <f aca="false">IF($BM114="","",$X114)</f>
        <v/>
      </c>
      <c r="BO114" s="9" t="str">
        <f aca="false">IF(AND($D114="Drift",$BX114&lt;&gt;1),IF($O114="","",$O114),"")</f>
        <v/>
      </c>
      <c r="BP114" s="9" t="str">
        <f aca="false">IF(AND($D114="Drift",$BX114&lt;&gt;1),IF($W114="","",$W114),"")</f>
        <v/>
      </c>
      <c r="BQ114" s="9" t="str">
        <f aca="false">IF(AND($D114="Drift",$BX114&lt;&gt;1),IF($X114="","",$X114),"")</f>
        <v/>
      </c>
      <c r="BR114" s="9" t="str">
        <f aca="false">IF(AND($D114="Drift",$BX114&lt;&gt;1),IF($Z114="","",$Z114),"")</f>
        <v/>
      </c>
      <c r="BS114" s="9" t="str">
        <f aca="false">IF(OR($B114="",$H114=""),"",SUMPRODUCT(MIN((Raw!$A$2:$A$1001=$A114)*(Raw!$R$2:$R$1001="N")*(Raw!$I$2:$I$1001=0)*(Raw!$D$2:$D$1001&lt;$H114)*Raw!$D$2:$D$1001+(1-(Raw!$A$2:$A$1001=$A114)*(Raw!$R$2:$R$1001="N")*(Raw!$I$2:$I$1001=0)*(Raw!$D$2:$D$1001&lt;$H114))*9999)))</f>
        <v/>
      </c>
      <c r="BT114" s="16" t="str">
        <f aca="false">IF(OR($BS114="",$BS114=9999,$BS114=0),"",IFERROR(INDEX(Raw!$N$2:$N$1001,MATCH($A114&amp;"|N|"&amp;$BS114,Raw!$S$2:$S$1001,0)),""))</f>
        <v/>
      </c>
      <c r="BU114" s="9" t="str">
        <f aca="false">IF($B114="","",SUMPRODUCT(MIN((Raw!$A$2:$A$1001=$A114)*(Raw!$R$2:$R$1001="C")*(Raw!$I$2:$I$1001=1)*Raw!$D$2:$D$1001+(1-(Raw!$A$2:$A$1001=$A114)*(Raw!$R$2:$R$1001="C")*(Raw!$I$2:$I$1001=1))*9999)))</f>
        <v/>
      </c>
      <c r="BV114" s="9" t="str">
        <f aca="false">IF(OR($BU114="",$BU114=9999),"",SUMPRODUCT(MIN((Raw!$A$2:$A$1001=$A114)*(Raw!$R$2:$R$1001="C")*(Raw!$I$2:$I$1001=0)*(Raw!$D$2:$D$1001&gt;$BU114)*Raw!$D$2:$D$1001+(1-(Raw!$A$2:$A$1001=$A114)*(Raw!$R$2:$R$1001="C")*(Raw!$I$2:$I$1001=0)*(Raw!$D$2:$D$1001&gt;$BU114))*9999)))</f>
        <v/>
      </c>
      <c r="BW114" s="16" t="str">
        <f aca="false">IF(OR($BV114="",$BV114=9999,$BV114=0),"",IFERROR(INDEX(Raw!$O$2:$O$1001,MATCH($A114&amp;"|C|"&amp;$BV114,Raw!$S$2:$S$1001,0)),""))</f>
        <v/>
      </c>
      <c r="BX114" s="9" t="str">
        <f aca="false">IF($B114="","",IF(ISNUMBER(SEARCH(","&amp;$A114&amp;",",","&amp;SUBSTITUTE(Setup!$B$16," ","")&amp;",")),1,0))</f>
        <v/>
      </c>
      <c r="BY114" s="9" t="str">
        <f aca="false">IF($B114="","",IF(ISNUMBER(SEARCH(","&amp;$A114&amp;",",","&amp;SUBSTITUTE(Setup!$B$17," ","")&amp;",")),1,0))</f>
        <v/>
      </c>
      <c r="BZ114" s="22" t="str">
        <f aca="false">IF($AS114="","",IF(Fits!$B$38="Row",$AQ114,IF($AR114="","",$AR114)))</f>
        <v/>
      </c>
      <c r="CA114" s="22" t="str">
        <f aca="false">IF($AT114="","",IF(Fits!$B$50="Row",$AQ114,IF($AR114="","",$AR114)))</f>
        <v/>
      </c>
      <c r="CB114" s="20" t="str">
        <f aca="false">IF(OR($D114&lt;&gt;"Drift",$X114="",$A114&lt;IF(Setup!$B$14="",0,Setup!$B$14),Fits!$B$107&lt;3,Fits!$B$110="",Fits!$B$109=0,IF(Fits!$B$38="Row",$AQ114,$AR114)=""),"",IF($BX114=1,IF(OR(Fits!$B$111="",Fits!$B$111=0),"",($X114-(IF(Fits!$B$38="Row",Fits!$B$32,Fits!$B$35)*IF(Fits!$B$38="Row",$AQ114,$AR114)+Fits!$B$110))/(Fits!$B$111*SQRT(1+(1/Fits!$B$107+(IF(Fits!$B$38="Row",$AQ114,$AR114)-Fits!$B$108)^2/Fits!$B$109)))),IF(OR(Fits!$B$107&lt;4,(1/Fits!$B$107+(IF(Fits!$B$38="Row",$AQ114,$AR114)-Fits!$B$108)^2/Fits!$B$109)&gt;=1),"",IF((Fits!$B$116-($X114-(IF(Fits!$B$38="Row",Fits!$B$32,Fits!$B$35)*IF(Fits!$B$38="Row",$AQ114,$AR114)+Fits!$B$110))^2/(1-(1/Fits!$B$107+(IF(Fits!$B$38="Row",$AQ114,$AR114)-Fits!$B$108)^2/Fits!$B$109)))&lt;=0,"",($X114-(IF(Fits!$B$38="Row",Fits!$B$32,Fits!$B$35)*IF(Fits!$B$38="Row",$AQ114,$AR114)+Fits!$B$110))/(SQRT((Fits!$B$116-($X114-(IF(Fits!$B$38="Row",Fits!$B$32,Fits!$B$35)*IF(Fits!$B$38="Row",$AQ114,$AR114)+Fits!$B$110))^2/(1-(1/Fits!$B$107+(IF(Fits!$B$38="Row",$AQ114,$AR114)-Fits!$B$108)^2/Fits!$B$109)))/(Fits!$B$107-3))*SQRT(1-(1/Fits!$B$107+(IF(Fits!$B$38="Row",$AQ114,$AR114)-Fits!$B$108)^2/Fits!$B$109)))))))</f>
        <v/>
      </c>
      <c r="CC114" s="20" t="str">
        <f aca="false">IF(OR($D114&lt;&gt;"Drift",$AC114="",$A114&lt;IF(Setup!$B$14="",0,Setup!$B$14),Fits!$B$120&lt;3,Fits!$B$123="",Fits!$B$122=0,IF(Fits!$B$50="Row",$AQ114,$AR114)=""),"",IF($BY114=1,IF(OR(Fits!$B$124="",Fits!$B$124=0),"",($AC114-(IF(Fits!$B$50="Row",Fits!$B$44,Fits!$B$47)*IF(Fits!$B$50="Row",$AQ114,$AR114)+Fits!$B$123))/(Fits!$B$124*SQRT(1+(1/Fits!$B$120+(IF(Fits!$B$50="Row",$AQ114,$AR114)-Fits!$B$121)^2/Fits!$B$122)))),IF(OR(Fits!$B$120&lt;4,(1/Fits!$B$120+(IF(Fits!$B$50="Row",$AQ114,$AR114)-Fits!$B$121)^2/Fits!$B$122)&gt;=1),"",IF((Fits!$B$129-($AC114-(IF(Fits!$B$50="Row",Fits!$B$44,Fits!$B$47)*IF(Fits!$B$50="Row",$AQ114,$AR114)+Fits!$B$123))^2/(1-(1/Fits!$B$120+(IF(Fits!$B$50="Row",$AQ114,$AR114)-Fits!$B$121)^2/Fits!$B$122)))&lt;=0,"",($AC114-(IF(Fits!$B$50="Row",Fits!$B$44,Fits!$B$47)*IF(Fits!$B$50="Row",$AQ114,$AR114)+Fits!$B$123))/(SQRT((Fits!$B$129-($AC114-(IF(Fits!$B$50="Row",Fits!$B$44,Fits!$B$47)*IF(Fits!$B$50="Row",$AQ114,$AR114)+Fits!$B$123))^2/(1-(1/Fits!$B$120+(IF(Fits!$B$50="Row",$AQ114,$AR114)-Fits!$B$121)^2/Fits!$B$122)))/(Fits!$B$120-3))*SQRT(1-(1/Fits!$B$120+(IF(Fits!$B$50="Row",$AQ114,$AR114)-Fits!$B$121)^2/Fits!$B$122)))))))</f>
        <v/>
      </c>
      <c r="CD114" s="9" t="str">
        <f aca="false">IF($AU114="","",1)</f>
        <v/>
      </c>
      <c r="CE114" s="24" t="str">
        <f aca="false">IF($AU114="","",$AU114-Fits!$B$133)</f>
        <v/>
      </c>
      <c r="CF114" s="24" t="str">
        <f aca="false">IF($AU114="","",($AV114-(Fits!$B$56*$AU114+Fits!$B$57))-Fits!$B$56*($AU114-Fits!$B$133))</f>
        <v/>
      </c>
      <c r="CG114" s="25" t="str">
        <f aca="false">IF($AU114="","",$AU114^2)</f>
        <v/>
      </c>
      <c r="CH114" s="9" t="str">
        <f aca="false">IF($AW114="","",1)</f>
        <v/>
      </c>
      <c r="CI114" s="24" t="str">
        <f aca="false">IF($AW114="","",$AW114-Fits!$B$153)</f>
        <v/>
      </c>
      <c r="CJ114" s="24" t="str">
        <f aca="false">IF($AW114="","",($AX114-(Fits!$B$63*$AW114+Fits!$B$64))-Fits!$B$63*($AW114-Fits!$B$153))</f>
        <v/>
      </c>
      <c r="CK114" s="25" t="str">
        <f aca="false">IF($AW114="","",$AW114^2)</f>
        <v/>
      </c>
      <c r="CL114" s="26" t="str">
        <f aca="false">IF(OR($Z114="",Fits!$B$55&lt;3,Fits!$B$133="",Fits!$B$134="",Fits!$B$134=0,Fits!$B$136=""),"",SQRT((Fits!$B$136*Fits!$B$56)^2+SUMPRODUCT((Fits!$J$163:$J$175*(Fits!$B$163:$B$175/Fits!$B$55+Fits!$H$163:$H$175*($Z114-Fits!$B$133)/Fits!$B$134))^2)+SUMPRODUCT((Fits!$G$163:$G$175*(($Z114-Fits!$B$133)*Fits!$I$163:$I$175/Fits!$B$134-Fits!$B$163:$B$175*Fits!$B$56/Fits!$B$55))^2)))</f>
        <v/>
      </c>
      <c r="CM114" s="26" t="str">
        <f aca="false">IF($CL114="","",Setup!$B$32*$CL114)</f>
        <v/>
      </c>
      <c r="CN114" s="26" t="str">
        <f aca="false">IF(OR($AE114="",Fits!$B$62&lt;3,Fits!$B$153="",Fits!$B$154="",Fits!$B$154=0,Fits!$B$156=""),"",SQRT((Fits!$B$156*Fits!$B$63)^2+SUMPRODUCT((Fits!$J$183:$J$195*(Fits!$B$183:$B$195/Fits!$B$62+Fits!$H$183:$H$195*($AE114-Fits!$B$153)/Fits!$B$154))^2)+SUMPRODUCT((Fits!$G$183:$G$195*(($AE114-Fits!$B$153)*Fits!$I$183:$I$195/Fits!$B$154-Fits!$B$183:$B$195*Fits!$B$63/Fits!$B$62))^2)))</f>
        <v/>
      </c>
      <c r="CO114" s="26" t="str">
        <f aca="false">IF($CN114="","",Setup!$B$32*$CN114)</f>
        <v/>
      </c>
      <c r="CP114" s="9" t="n">
        <f aca="false">IF(OR(NOT(ISNUMBER($BJ114)),$EK114=1),$CP113,IF($BJ114&lt;=Setup!$B$26,$CP113+1,0))</f>
        <v>26</v>
      </c>
      <c r="CQ114" s="9" t="str">
        <f aca="false">IF($BT114="","",$A114)</f>
        <v/>
      </c>
      <c r="CR114" s="9" t="str">
        <f aca="false">IF($BW114="","",$A114)</f>
        <v/>
      </c>
      <c r="CS114" s="9" t="str">
        <f aca="false">IF($B114="","",IF(Setup!$A$37="",0,IF(ISNUMBER(SEARCH(Setup!$A$37,$B114)),37,0)))</f>
        <v/>
      </c>
      <c r="CT114" s="9" t="str">
        <f aca="false">IF($B114="","",IF(Setup!$A$38="",0,IF(ISNUMBER(SEARCH(Setup!$A$38,$B114)),38,0)))</f>
        <v/>
      </c>
      <c r="CU114" s="9" t="str">
        <f aca="false">IF($B114="","",IF(Setup!$A$39="",0,IF(ISNUMBER(SEARCH(Setup!$A$39,$B114)),39,0)))</f>
        <v/>
      </c>
      <c r="CV114" s="9" t="str">
        <f aca="false">IF($B114="","",IF(Setup!$A$40="",0,IF(ISNUMBER(SEARCH(Setup!$A$40,$B114)),40,0)))</f>
        <v/>
      </c>
      <c r="CW114" s="9" t="str">
        <f aca="false">IF($B114="","",IF(Setup!$A$41="",0,IF(ISNUMBER(SEARCH(Setup!$A$41,$B114)),41,0)))</f>
        <v/>
      </c>
      <c r="CX114" s="9" t="str">
        <f aca="false">IF($B114="","",IF(Setup!$A$42="",0,IF(ISNUMBER(SEARCH(Setup!$A$42,$B114)),42,0)))</f>
        <v/>
      </c>
      <c r="CY114" s="9" t="str">
        <f aca="false">IF($B114="","",IF(Setup!$A$43="",0,IF(ISNUMBER(SEARCH(Setup!$A$43,$B114)),43,0)))</f>
        <v/>
      </c>
      <c r="CZ114" s="9" t="str">
        <f aca="false">IF($B114="","",IF(Setup!$A$44="",0,IF(ISNUMBER(SEARCH(Setup!$A$44,$B114)),44,0)))</f>
        <v/>
      </c>
      <c r="DA114" s="9" t="str">
        <f aca="false">IF($B114="","",IF(Setup!$A$45="",0,IF(ISNUMBER(SEARCH(Setup!$A$45,$B114)),45,0)))</f>
        <v/>
      </c>
      <c r="DB114" s="9" t="str">
        <f aca="false">IF($B114="","",IF(Setup!$A$46="",0,IF(ISNUMBER(SEARCH(Setup!$A$46,$B114)),46,0)))</f>
        <v/>
      </c>
      <c r="DC114" s="9" t="str">
        <f aca="false">IF($B114="","",IF(Setup!$A$47="",0,IF(ISNUMBER(SEARCH(Setup!$A$47,$B114)),47,0)))</f>
        <v/>
      </c>
      <c r="DD114" s="9" t="str">
        <f aca="false">IF($B114="","",IF(Setup!$A$48="",0,IF(ISNUMBER(SEARCH(Setup!$A$48,$B114)),48,0)))</f>
        <v/>
      </c>
      <c r="DE114" s="9" t="str">
        <f aca="false">IF($B114="","",IF(Setup!$A$49="",0,IF(ISNUMBER(SEARCH(Setup!$A$49,$B114)),49,0)))</f>
        <v/>
      </c>
      <c r="DF114" s="9" t="e">
        <f aca="false">IF($B114="",NA(),$A114)</f>
        <v>#N/A</v>
      </c>
      <c r="DG114" s="9" t="e">
        <f aca="false">IF($BI114="",NA(),$BI114)</f>
        <v>#N/A</v>
      </c>
      <c r="DH114" s="9" t="e">
        <f aca="false">IF($N114="",NA(),$N114)</f>
        <v>#N/A</v>
      </c>
      <c r="DI114" s="9" t="e">
        <f aca="false">IF(AND($D114="Drift",$N114&lt;&gt;""),$N114,NA())</f>
        <v>#N/A</v>
      </c>
      <c r="DJ114" s="9" t="str">
        <f aca="false">IF(AND($D114="Drift",$N114&lt;&gt;""),$N114,"")</f>
        <v/>
      </c>
      <c r="DK114" s="9" t="str">
        <f aca="false">IF($DJ114="","",$A114)</f>
        <v/>
      </c>
      <c r="DL114" s="9" t="e">
        <f aca="false">IF($AN114="",NA(),$AM114)</f>
        <v>#N/A</v>
      </c>
      <c r="DM114" s="9" t="e">
        <f aca="false">IF($AN114="",NA(),$AN114)</f>
        <v>#N/A</v>
      </c>
      <c r="DN114" s="9" t="e">
        <f aca="false">IF(AND($D114="Sample",$L114&lt;&gt;""),$L114,NA())</f>
        <v>#N/A</v>
      </c>
      <c r="DO114" s="9" t="e">
        <f aca="false">IF(AND($D114="Sample",$L114&lt;&gt;"",Fits!$B$98&lt;&gt;""),Fits!$B$98,NA())</f>
        <v>#N/A</v>
      </c>
      <c r="DP114" s="9" t="e">
        <f aca="false">IF($AS114="",NA(),$AS114)</f>
        <v>#N/A</v>
      </c>
      <c r="DQ114" s="9" t="e">
        <f aca="false">IF(AND($D114="Drift",$AS114="",$X114&lt;&gt;""),$X114,NA())</f>
        <v>#N/A</v>
      </c>
      <c r="DR114" s="9" t="e">
        <f aca="false">IF(AND($D114="Drift",$Z114&lt;&gt;""),$Z114,NA())</f>
        <v>#N/A</v>
      </c>
      <c r="DS114" s="9" t="e">
        <f aca="false">IF(AND(OR($D114="Sample",$D114="Check"),$AA114&lt;&gt;""),$AA114,NA())</f>
        <v>#N/A</v>
      </c>
      <c r="DT114" s="9" t="e">
        <f aca="false">IF(OR($B114="",Fits!$B$138=""),NA(),Fits!$B$138)</f>
        <v>#N/A</v>
      </c>
      <c r="DU114" s="9" t="e">
        <f aca="false">IF(OR($B114="",Fits!$B$139=""),NA(),Fits!$B$139)</f>
        <v>#N/A</v>
      </c>
      <c r="DV114" s="9" t="e">
        <f aca="false">IF($BT114="",NA(),$BT114)</f>
        <v>#N/A</v>
      </c>
      <c r="DW114" s="9" t="e">
        <f aca="false">IF($AP114="",NA(),$AO114)</f>
        <v>#N/A</v>
      </c>
      <c r="DX114" s="9" t="e">
        <f aca="false">IF($AP114="",NA(),$AP114)</f>
        <v>#N/A</v>
      </c>
      <c r="DY114" s="9" t="e">
        <f aca="false">IF(AND($D114="Sample",$P114&lt;&gt;""),$P114,NA())</f>
        <v>#N/A</v>
      </c>
      <c r="DZ114" s="9" t="e">
        <f aca="false">IF(AND($D114="Sample",$P114&lt;&gt;"",Fits!$B$105&lt;&gt;""),Fits!$B$105,NA())</f>
        <v>#N/A</v>
      </c>
      <c r="EA114" s="9" t="e">
        <f aca="false">IF($AT114="",NA(),$AT114)</f>
        <v>#N/A</v>
      </c>
      <c r="EB114" s="9" t="e">
        <f aca="false">IF(AND($D114="Drift",$AT114="",$AC114&lt;&gt;""),$AC114,NA())</f>
        <v>#N/A</v>
      </c>
      <c r="EC114" s="9" t="e">
        <f aca="false">IF(AND($D114="Drift",$AE114&lt;&gt;""),$AE114,NA())</f>
        <v>#N/A</v>
      </c>
      <c r="ED114" s="9" t="e">
        <f aca="false">IF(AND(OR($D114="Sample",$D114="Check"),$AF114&lt;&gt;""),$AF114,NA())</f>
        <v>#N/A</v>
      </c>
      <c r="EE114" s="9" t="e">
        <f aca="false">IF(OR($B114="",Fits!$B$158=""),NA(),Fits!$B$158)</f>
        <v>#N/A</v>
      </c>
      <c r="EF114" s="9" t="e">
        <f aca="false">IF(OR($B114="",Fits!$B$159=""),NA(),Fits!$B$159)</f>
        <v>#N/A</v>
      </c>
      <c r="EG114" s="9" t="e">
        <f aca="false">IF($BW114="",NA(),$BW114)</f>
        <v>#N/A</v>
      </c>
      <c r="EH114" s="9" t="e">
        <f aca="false">IF(AND($EN114=1,ISNUMBER($N114)),$N114,NA())</f>
        <v>#N/A</v>
      </c>
      <c r="EI114" s="9" t="str">
        <f aca="false">IF($B114="","",$A114)</f>
        <v/>
      </c>
      <c r="EJ114" s="9" t="n">
        <f aca="false">IF(OR(AND(ISNUMBER($L114),Fits!$B$97&gt;0,$L114&gt;Fits!$B$97),AND(ISNUMBER($P114),Fits!$B$104&gt;0,$P114&gt;Fits!$B$104)),1,0)</f>
        <v>0</v>
      </c>
      <c r="EK114" s="9" t="n">
        <f aca="false">IF(OR($EJ113=1,$EJ112=1),1,0)</f>
        <v>0</v>
      </c>
      <c r="EL114" s="22" t="n">
        <f aca="false">IF(AND($EK114=0,ISNUMBER($N114)),$N114,$EL113)</f>
        <v>25.7</v>
      </c>
      <c r="EM114" s="9" t="str">
        <f aca="false">IF(AND($EK114=1,ISNUMBER($N114),ISNUMBER($EL114)),$N114-$EL114,"")</f>
        <v/>
      </c>
      <c r="EN114" s="9" t="n">
        <f aca="false">IF(Setup!$B$28="",0,IF(ISNUMBER($EM114),IF($EM114&gt;Setup!$B$28,1,0),0))</f>
        <v>0</v>
      </c>
      <c r="EO114" s="9" t="str">
        <f aca="false">IF($EN114=1,COUNTIF($EN$6:$EN114,1),"")</f>
        <v/>
      </c>
      <c r="EP114" s="9" t="n">
        <f aca="false">IF(AND($EJ113=1,OR($D114="Sample",$D114="Check")),1,0)</f>
        <v>0</v>
      </c>
      <c r="EQ114" s="9" t="str">
        <f aca="false">IF(ISNUMBER($BI114),IF(COUNT($BI$6:$BI114)&lt;=5,$BI114,""),"")</f>
        <v/>
      </c>
      <c r="ER114" s="9" t="n">
        <f aca="false">IF(OR(NOT(ISNUMBER($BJ114)),$EK114=1),$ER113,IF($BJ114&lt;=Setup!$B$26,IF($CP113=0,$A114,$ER113),""))</f>
        <v>27</v>
      </c>
    </row>
    <row r="115" customFormat="false" ht="15" hidden="false" customHeight="false" outlineLevel="0" collapsed="false">
      <c r="A115" s="8" t="n">
        <v>110</v>
      </c>
      <c r="B115" s="8" t="str">
        <f aca="false">IFERROR(INDEX(Raw!$B$2:$B$1001,MATCH($A115,Raw!$A$2:$A$1001,0)),"")</f>
        <v/>
      </c>
      <c r="C115" s="9" t="str">
        <f aca="false">IF($B115="","",MAX($CS115:$DE115))</f>
        <v/>
      </c>
      <c r="D115" s="8" t="str">
        <f aca="false">IF($B115="","",IF($C115=0,"Sample",INDEX(Setup!$B$37:$B$49,$C115-36)))</f>
        <v/>
      </c>
      <c r="E115" s="16" t="str">
        <f aca="false">IF($B115="","",IFERROR(IF(INDEX(Raw!$E$2:$E$1001,MATCH($A115,Raw!$A$2:$A$1001,0))=0,"",INDEX(Raw!$E$2:$E$1001,MATCH($A115,Raw!$A$2:$A$1001,0))),""))</f>
        <v/>
      </c>
      <c r="F115" s="18"/>
      <c r="G115" s="16" t="str">
        <f aca="false">IF($B115="","",IF($F115&lt;&gt;"",$F115,IF($E115="","",$E115)))</f>
        <v/>
      </c>
      <c r="H115" s="9" t="str">
        <f aca="false">IF($B115="","",SUMPRODUCT(MAX((Raw!$A$2:$A$1001=$A115)*(Raw!$R$2:$R$1001="N")*Raw!$D$2:$D$1001)))</f>
        <v/>
      </c>
      <c r="I115" s="9" t="str">
        <f aca="false">IF(OR($H115="",$H115=0),"",$A115&amp;"|N|"&amp;$H115)</f>
        <v/>
      </c>
      <c r="J115" s="9" t="str">
        <f aca="false">IF($B115="","",SUMPRODUCT(MIN((Raw!$A$2:$A$1001=$A115)*(Raw!$R$2:$R$1001="C")*Raw!$D$2:$D$1001+(1-(Raw!$A$2:$A$1001=$A115)*(Raw!$R$2:$R$1001="C"))*9999)))</f>
        <v/>
      </c>
      <c r="K115" s="9" t="str">
        <f aca="false">IF(OR($J115="",$J115=0,$J115=9999),"",$A115&amp;"|C|"&amp;$J115)</f>
        <v/>
      </c>
      <c r="L115" s="16" t="str">
        <f aca="false">IF($I115="","",IF(INDEX(Raw!$I$2:$I$1001,MATCH($I115,Raw!$S$2:$S$1001,0))&lt;&gt;0,"",INDEX(Raw!$H$2:$H$1001,MATCH($I115,Raw!$S$2:$S$1001,0))))</f>
        <v/>
      </c>
      <c r="M115" s="19" t="str">
        <f aca="false">IF($I115="","",IF(INDEX(Raw!$I$2:$I$1001,MATCH($I115,Raw!$S$2:$S$1001,0))&lt;&gt;0,"",INDEX(Raw!$F$2:$F$1001,MATCH($I115,Raw!$S$2:$S$1001,0))))</f>
        <v/>
      </c>
      <c r="N115" s="20" t="str">
        <f aca="false">IF($I115="","",IF(INDEX(Raw!$I$2:$I$1001,MATCH($I115,Raw!$S$2:$S$1001,0))&lt;&gt;0,"",INDEX(Raw!$G$2:$G$1001,MATCH($I115,Raw!$S$2:$S$1001,0))))</f>
        <v/>
      </c>
      <c r="O115" s="16" t="str">
        <f aca="false">IF($I115="","",IF(INDEX(Raw!$I$2:$I$1001,MATCH($I115,Raw!$S$2:$S$1001,0))&lt;&gt;0,"",INDEX(Raw!$N$2:$N$1001,MATCH($I115,Raw!$S$2:$S$1001,0))))</f>
        <v/>
      </c>
      <c r="P115" s="16" t="str">
        <f aca="false">IF($K115="","",IF(INDEX(Raw!$I$2:$I$1001,MATCH($K115,Raw!$S$2:$S$1001,0))&lt;&gt;0,"",INDEX(Raw!$K$2:$K$1001,MATCH($K115,Raw!$S$2:$S$1001,0))))</f>
        <v/>
      </c>
      <c r="Q115" s="19" t="str">
        <f aca="false">IF($K115="","",IF(INDEX(Raw!$I$2:$I$1001,MATCH($K115,Raw!$S$2:$S$1001,0))&lt;&gt;0,"",INDEX(Raw!$J$2:$J$1001,MATCH($K115,Raw!$S$2:$S$1001,0))))</f>
        <v/>
      </c>
      <c r="R115" s="16" t="str">
        <f aca="false">IF($K115="","",IF(INDEX(Raw!$I$2:$I$1001,MATCH($K115,Raw!$S$2:$S$1001,0))&lt;&gt;0,"",INDEX(Raw!$O$2:$O$1001,MATCH($K115,Raw!$S$2:$S$1001,0))))</f>
        <v/>
      </c>
      <c r="S115" s="21" t="str">
        <f aca="false">IF($B115="","",IF($C115=0,"",IF(INDEX(Setup!$D$37:$D$49,$C115-36)="","",INDEX(Setup!$D$37:$D$49,$C115-36))))</f>
        <v/>
      </c>
      <c r="T115" s="21" t="str">
        <f aca="false">IF($B115="","",IF($C115=0,"",IF(INDEX(Setup!$C$37:$C$49,$C115-36)="","",INDEX(Setup!$C$37:$C$49,$C115-36))))</f>
        <v/>
      </c>
      <c r="U115" s="21" t="str">
        <f aca="false">IF($B115="","",IF($C115=0,"",IF(INDEX(Setup!$F$37:$F$49,$C115-36)="","",INDEX(Setup!$F$37:$F$49,$C115-36))))</f>
        <v/>
      </c>
      <c r="V115" s="21" t="str">
        <f aca="false">IF($B115="","",IF($C115=0,"",IF(INDEX(Setup!$E$37:$E$49,$C115-36)="","",INDEX(Setup!$E$37:$E$49,$C115-36))))</f>
        <v/>
      </c>
      <c r="W115" s="16" t="str">
        <f aca="false">IF($O115="","",IF(OR(Fits!$C$5&lt;&gt;"Yes",$D115="Blank",$L115&lt;=Fits!$B$6),$O115,($L115*$O115-Fits!$B$6*Fits!$B$7)/($L115-Fits!$B$6)))</f>
        <v/>
      </c>
      <c r="X115" s="16" t="str">
        <f aca="false">IF($W115="","",$W115-Fits!$B$20*($L115-Fits!$B$16))</f>
        <v/>
      </c>
      <c r="Y115" s="22" t="str">
        <f aca="false">IF($W115="","",IF(OR(Fits!$B$38="Row",$BI115=""),$A115,$BI115))</f>
        <v/>
      </c>
      <c r="Z115" s="16" t="str">
        <f aca="false">IF($X115="","",$X115-Fits!$B$39*($Y115-Fits!$B$40))</f>
        <v/>
      </c>
      <c r="AA115" s="23" t="str">
        <f aca="false">IF(OR($Z115="",Fits!$B$55&lt;2),"",Fits!$B$56*$Z115+Fits!$B$57)</f>
        <v/>
      </c>
      <c r="AB115" s="16" t="str">
        <f aca="false">IF($R115="","",IF(OR(Fits!$C$9&lt;&gt;"Yes",$D115="Blank",$P115&lt;=Fits!$B$10),$R115,($P115*$R115-Fits!$B$10*Fits!$B$11)/($P115-Fits!$B$10)))</f>
        <v/>
      </c>
      <c r="AC115" s="16" t="str">
        <f aca="false">IF($AB115="","",$AB115-Fits!$B$28*($P115-Fits!$B$24))</f>
        <v/>
      </c>
      <c r="AD115" s="22" t="str">
        <f aca="false">IF($AB115="","",IF(OR(Fits!$B$50="Row",$BI115=""),$A115,$BI115))</f>
        <v/>
      </c>
      <c r="AE115" s="16" t="str">
        <f aca="false">IF($AC115="","",$AC115-Fits!$B$51*($AD115-Fits!$B$52))</f>
        <v/>
      </c>
      <c r="AF115" s="23" t="str">
        <f aca="false">IF(OR($AE115="",Fits!$B$62&lt;2),"",Fits!$B$63*$AE115+Fits!$B$64)</f>
        <v/>
      </c>
      <c r="AG115" s="21" t="str">
        <f aca="false">IF(OR($L115="",Fits!$B$69&lt;3),"",($L115-Fits!$B$71)/Fits!$B$70)</f>
        <v/>
      </c>
      <c r="AH115" s="21" t="str">
        <f aca="false">IF(OR($P115="",Fits!$B$75&lt;3),"",($P115-Fits!$B$77)/Fits!$B$76)</f>
        <v/>
      </c>
      <c r="AI115" s="23" t="str">
        <f aca="false">IF(OR($AG115="",$G115="",$G115=0),"",$AG115/($G115*1000)*100)</f>
        <v/>
      </c>
      <c r="AJ115" s="23" t="str">
        <f aca="false">IF(OR($AH115="",$G115="",$G115=0),"",$AH115/($G115*1000)*100)</f>
        <v/>
      </c>
      <c r="AK115" s="23" t="str">
        <f aca="false">IF(OR($AG115="",$AH115="",$AG115&lt;=0),"",($AH115/Setup!$B$52)/($AG115/Setup!$B$53))</f>
        <v/>
      </c>
      <c r="AL115" s="23" t="str">
        <f aca="false">IF(OR($AG115="",$AH115="",$AG115&lt;=0),"",$AH115/$AG115)</f>
        <v/>
      </c>
      <c r="AM115" s="9" t="str">
        <f aca="false">IF($D115="Linearity",IF($L115="","",$L115),"")</f>
        <v/>
      </c>
      <c r="AN115" s="9" t="str">
        <f aca="false">IF($D115="Linearity",IF($W115="","",$W115),"")</f>
        <v/>
      </c>
      <c r="AO115" s="9" t="str">
        <f aca="false">IF($D115="Linearity",IF($P115="","",$P115),"")</f>
        <v/>
      </c>
      <c r="AP115" s="9" t="str">
        <f aca="false">IF($D115="Linearity",IF($AB115="","",$AB115),"")</f>
        <v/>
      </c>
      <c r="AQ115" s="9" t="str">
        <f aca="false">IF($D115="Drift",IF($A115&lt;IF(Setup!$B$14="",0,Setup!$B$14),"",$A115),"")</f>
        <v/>
      </c>
      <c r="AR115" s="9" t="str">
        <f aca="false">IF($D115="Drift",IF($A115&lt;IF(Setup!$B$14="",0,Setup!$B$14),"",IF($BI115="","",$BI115)),"")</f>
        <v/>
      </c>
      <c r="AS115" s="9" t="str">
        <f aca="false">IF($D115="Drift",IF($A115&lt;IF(Setup!$B$14="",0,Setup!$B$14),"",IF(OR($X115="",$BX115=1),"",$X115)),"")</f>
        <v/>
      </c>
      <c r="AT115" s="9" t="str">
        <f aca="false">IF($D115="Drift",IF($A115&lt;IF(Setup!$B$14="",0,Setup!$B$14),"",IF(OR($AC115="",$BY115=1),"",$AC115)),"")</f>
        <v/>
      </c>
      <c r="AU115" s="9" t="str">
        <f aca="false">IF($D115="Anchor",IF(OR($Z115="",$S115=""),"",$Z115),"")</f>
        <v/>
      </c>
      <c r="AV115" s="9" t="str">
        <f aca="false">IF($D115="Anchor",IF(OR($Z115="",$S115=""),"",$S115),"")</f>
        <v/>
      </c>
      <c r="AW115" s="9" t="str">
        <f aca="false">IF($D115="Anchor",IF(OR($AE115="",$T115=""),"",$AE115),"")</f>
        <v/>
      </c>
      <c r="AX115" s="9" t="str">
        <f aca="false">IF($D115="Anchor",IF(OR($AE115="",$T115=""),"",$T115),"")</f>
        <v/>
      </c>
      <c r="AY115" s="9" t="str">
        <f aca="false">IF(OR($D115="Blank",$D115="Exclude",$D115="Sample",$D115="",$G115="",$U115="",$L115=""),"",$G115*1000*$U115/100)</f>
        <v/>
      </c>
      <c r="AZ115" s="9" t="str">
        <f aca="false">IF($AY115="","",$L115)</f>
        <v/>
      </c>
      <c r="BA115" s="9" t="str">
        <f aca="false">IF(OR($D115="Blank",$D115="Exclude",$D115="Sample",$D115="",$G115="",$V115="",$P115=""),"",$G115*1000*$V115/100)</f>
        <v/>
      </c>
      <c r="BB115" s="9" t="str">
        <f aca="false">IF($BA115="","",$P115)</f>
        <v/>
      </c>
      <c r="BC115" s="9" t="str">
        <f aca="false">IF(AND($D115="Blank",$L115&lt;&gt;""),$O115,"")</f>
        <v/>
      </c>
      <c r="BD115" s="9" t="str">
        <f aca="false">IF($BC115="","",$L115)</f>
        <v/>
      </c>
      <c r="BE115" s="9" t="str">
        <f aca="false">IF(AND($D115="Blank",$P115&lt;&gt;""),$R115,"")</f>
        <v/>
      </c>
      <c r="BF115" s="9" t="str">
        <f aca="false">IF($BE115="","",$P115)</f>
        <v/>
      </c>
      <c r="BG115" s="9" t="str">
        <f aca="false">IF(AND($D115="Drift",$BX115&lt;&gt;1),IF($AA115="","",$AA115),"")</f>
        <v/>
      </c>
      <c r="BH115" s="9" t="str">
        <f aca="false">IF(AND($D115="Drift",$BY115&lt;&gt;1),IF($AF115="","",$AF115),"")</f>
        <v/>
      </c>
      <c r="BI115" s="20" t="str">
        <f aca="false">IF($B115="","",IFERROR(INDEX(Raw!$G$2:$G$1001,MATCH($A115&amp;"|N|"&amp;SUMPRODUCT(MAX((Raw!$A$2:$A$1001=$A115)*(Raw!$R$2:$R$1001="N")*(Raw!$I$2:$I$1001=1)*Raw!$D$2:$D$1001)),Raw!$S$2:$S$1001,0)),""))</f>
        <v/>
      </c>
      <c r="BJ115" s="21" t="str">
        <f aca="false">IF(OR($BI115="",Fits!$B$85&lt;=0),"",($BI115-Fits!$B$83)/Fits!$B$85)</f>
        <v/>
      </c>
      <c r="BK115" s="9" t="str">
        <f aca="false">IF($AS115="","",IF($A115&gt;=Fits!$B$86,"",$A115))</f>
        <v/>
      </c>
      <c r="BL115" s="9" t="str">
        <f aca="false">IF($BK115="","",$X115)</f>
        <v/>
      </c>
      <c r="BM115" s="9" t="str">
        <f aca="false">IF($AS115="","",IF($A115&lt;Fits!$B$86,"",$A115))</f>
        <v/>
      </c>
      <c r="BN115" s="9" t="str">
        <f aca="false">IF($BM115="","",$X115)</f>
        <v/>
      </c>
      <c r="BO115" s="9" t="str">
        <f aca="false">IF(AND($D115="Drift",$BX115&lt;&gt;1),IF($O115="","",$O115),"")</f>
        <v/>
      </c>
      <c r="BP115" s="9" t="str">
        <f aca="false">IF(AND($D115="Drift",$BX115&lt;&gt;1),IF($W115="","",$W115),"")</f>
        <v/>
      </c>
      <c r="BQ115" s="9" t="str">
        <f aca="false">IF(AND($D115="Drift",$BX115&lt;&gt;1),IF($X115="","",$X115),"")</f>
        <v/>
      </c>
      <c r="BR115" s="9" t="str">
        <f aca="false">IF(AND($D115="Drift",$BX115&lt;&gt;1),IF($Z115="","",$Z115),"")</f>
        <v/>
      </c>
      <c r="BS115" s="9" t="str">
        <f aca="false">IF(OR($B115="",$H115=""),"",SUMPRODUCT(MIN((Raw!$A$2:$A$1001=$A115)*(Raw!$R$2:$R$1001="N")*(Raw!$I$2:$I$1001=0)*(Raw!$D$2:$D$1001&lt;$H115)*Raw!$D$2:$D$1001+(1-(Raw!$A$2:$A$1001=$A115)*(Raw!$R$2:$R$1001="N")*(Raw!$I$2:$I$1001=0)*(Raw!$D$2:$D$1001&lt;$H115))*9999)))</f>
        <v/>
      </c>
      <c r="BT115" s="16" t="str">
        <f aca="false">IF(OR($BS115="",$BS115=9999,$BS115=0),"",IFERROR(INDEX(Raw!$N$2:$N$1001,MATCH($A115&amp;"|N|"&amp;$BS115,Raw!$S$2:$S$1001,0)),""))</f>
        <v/>
      </c>
      <c r="BU115" s="9" t="str">
        <f aca="false">IF($B115="","",SUMPRODUCT(MIN((Raw!$A$2:$A$1001=$A115)*(Raw!$R$2:$R$1001="C")*(Raw!$I$2:$I$1001=1)*Raw!$D$2:$D$1001+(1-(Raw!$A$2:$A$1001=$A115)*(Raw!$R$2:$R$1001="C")*(Raw!$I$2:$I$1001=1))*9999)))</f>
        <v/>
      </c>
      <c r="BV115" s="9" t="str">
        <f aca="false">IF(OR($BU115="",$BU115=9999),"",SUMPRODUCT(MIN((Raw!$A$2:$A$1001=$A115)*(Raw!$R$2:$R$1001="C")*(Raw!$I$2:$I$1001=0)*(Raw!$D$2:$D$1001&gt;$BU115)*Raw!$D$2:$D$1001+(1-(Raw!$A$2:$A$1001=$A115)*(Raw!$R$2:$R$1001="C")*(Raw!$I$2:$I$1001=0)*(Raw!$D$2:$D$1001&gt;$BU115))*9999)))</f>
        <v/>
      </c>
      <c r="BW115" s="16" t="str">
        <f aca="false">IF(OR($BV115="",$BV115=9999,$BV115=0),"",IFERROR(INDEX(Raw!$O$2:$O$1001,MATCH($A115&amp;"|C|"&amp;$BV115,Raw!$S$2:$S$1001,0)),""))</f>
        <v/>
      </c>
      <c r="BX115" s="9" t="str">
        <f aca="false">IF($B115="","",IF(ISNUMBER(SEARCH(","&amp;$A115&amp;",",","&amp;SUBSTITUTE(Setup!$B$16," ","")&amp;",")),1,0))</f>
        <v/>
      </c>
      <c r="BY115" s="9" t="str">
        <f aca="false">IF($B115="","",IF(ISNUMBER(SEARCH(","&amp;$A115&amp;",",","&amp;SUBSTITUTE(Setup!$B$17," ","")&amp;",")),1,0))</f>
        <v/>
      </c>
      <c r="BZ115" s="22" t="str">
        <f aca="false">IF($AS115="","",IF(Fits!$B$38="Row",$AQ115,IF($AR115="","",$AR115)))</f>
        <v/>
      </c>
      <c r="CA115" s="22" t="str">
        <f aca="false">IF($AT115="","",IF(Fits!$B$50="Row",$AQ115,IF($AR115="","",$AR115)))</f>
        <v/>
      </c>
      <c r="CB115" s="20" t="str">
        <f aca="false">IF(OR($D115&lt;&gt;"Drift",$X115="",$A115&lt;IF(Setup!$B$14="",0,Setup!$B$14),Fits!$B$107&lt;3,Fits!$B$110="",Fits!$B$109=0,IF(Fits!$B$38="Row",$AQ115,$AR115)=""),"",IF($BX115=1,IF(OR(Fits!$B$111="",Fits!$B$111=0),"",($X115-(IF(Fits!$B$38="Row",Fits!$B$32,Fits!$B$35)*IF(Fits!$B$38="Row",$AQ115,$AR115)+Fits!$B$110))/(Fits!$B$111*SQRT(1+(1/Fits!$B$107+(IF(Fits!$B$38="Row",$AQ115,$AR115)-Fits!$B$108)^2/Fits!$B$109)))),IF(OR(Fits!$B$107&lt;4,(1/Fits!$B$107+(IF(Fits!$B$38="Row",$AQ115,$AR115)-Fits!$B$108)^2/Fits!$B$109)&gt;=1),"",IF((Fits!$B$116-($X115-(IF(Fits!$B$38="Row",Fits!$B$32,Fits!$B$35)*IF(Fits!$B$38="Row",$AQ115,$AR115)+Fits!$B$110))^2/(1-(1/Fits!$B$107+(IF(Fits!$B$38="Row",$AQ115,$AR115)-Fits!$B$108)^2/Fits!$B$109)))&lt;=0,"",($X115-(IF(Fits!$B$38="Row",Fits!$B$32,Fits!$B$35)*IF(Fits!$B$38="Row",$AQ115,$AR115)+Fits!$B$110))/(SQRT((Fits!$B$116-($X115-(IF(Fits!$B$38="Row",Fits!$B$32,Fits!$B$35)*IF(Fits!$B$38="Row",$AQ115,$AR115)+Fits!$B$110))^2/(1-(1/Fits!$B$107+(IF(Fits!$B$38="Row",$AQ115,$AR115)-Fits!$B$108)^2/Fits!$B$109)))/(Fits!$B$107-3))*SQRT(1-(1/Fits!$B$107+(IF(Fits!$B$38="Row",$AQ115,$AR115)-Fits!$B$108)^2/Fits!$B$109)))))))</f>
        <v/>
      </c>
      <c r="CC115" s="20" t="str">
        <f aca="false">IF(OR($D115&lt;&gt;"Drift",$AC115="",$A115&lt;IF(Setup!$B$14="",0,Setup!$B$14),Fits!$B$120&lt;3,Fits!$B$123="",Fits!$B$122=0,IF(Fits!$B$50="Row",$AQ115,$AR115)=""),"",IF($BY115=1,IF(OR(Fits!$B$124="",Fits!$B$124=0),"",($AC115-(IF(Fits!$B$50="Row",Fits!$B$44,Fits!$B$47)*IF(Fits!$B$50="Row",$AQ115,$AR115)+Fits!$B$123))/(Fits!$B$124*SQRT(1+(1/Fits!$B$120+(IF(Fits!$B$50="Row",$AQ115,$AR115)-Fits!$B$121)^2/Fits!$B$122)))),IF(OR(Fits!$B$120&lt;4,(1/Fits!$B$120+(IF(Fits!$B$50="Row",$AQ115,$AR115)-Fits!$B$121)^2/Fits!$B$122)&gt;=1),"",IF((Fits!$B$129-($AC115-(IF(Fits!$B$50="Row",Fits!$B$44,Fits!$B$47)*IF(Fits!$B$50="Row",$AQ115,$AR115)+Fits!$B$123))^2/(1-(1/Fits!$B$120+(IF(Fits!$B$50="Row",$AQ115,$AR115)-Fits!$B$121)^2/Fits!$B$122)))&lt;=0,"",($AC115-(IF(Fits!$B$50="Row",Fits!$B$44,Fits!$B$47)*IF(Fits!$B$50="Row",$AQ115,$AR115)+Fits!$B$123))/(SQRT((Fits!$B$129-($AC115-(IF(Fits!$B$50="Row",Fits!$B$44,Fits!$B$47)*IF(Fits!$B$50="Row",$AQ115,$AR115)+Fits!$B$123))^2/(1-(1/Fits!$B$120+(IF(Fits!$B$50="Row",$AQ115,$AR115)-Fits!$B$121)^2/Fits!$B$122)))/(Fits!$B$120-3))*SQRT(1-(1/Fits!$B$120+(IF(Fits!$B$50="Row",$AQ115,$AR115)-Fits!$B$121)^2/Fits!$B$122)))))))</f>
        <v/>
      </c>
      <c r="CD115" s="9" t="str">
        <f aca="false">IF($AU115="","",1)</f>
        <v/>
      </c>
      <c r="CE115" s="24" t="str">
        <f aca="false">IF($AU115="","",$AU115-Fits!$B$133)</f>
        <v/>
      </c>
      <c r="CF115" s="24" t="str">
        <f aca="false">IF($AU115="","",($AV115-(Fits!$B$56*$AU115+Fits!$B$57))-Fits!$B$56*($AU115-Fits!$B$133))</f>
        <v/>
      </c>
      <c r="CG115" s="25" t="str">
        <f aca="false">IF($AU115="","",$AU115^2)</f>
        <v/>
      </c>
      <c r="CH115" s="9" t="str">
        <f aca="false">IF($AW115="","",1)</f>
        <v/>
      </c>
      <c r="CI115" s="24" t="str">
        <f aca="false">IF($AW115="","",$AW115-Fits!$B$153)</f>
        <v/>
      </c>
      <c r="CJ115" s="24" t="str">
        <f aca="false">IF($AW115="","",($AX115-(Fits!$B$63*$AW115+Fits!$B$64))-Fits!$B$63*($AW115-Fits!$B$153))</f>
        <v/>
      </c>
      <c r="CK115" s="25" t="str">
        <f aca="false">IF($AW115="","",$AW115^2)</f>
        <v/>
      </c>
      <c r="CL115" s="26" t="str">
        <f aca="false">IF(OR($Z115="",Fits!$B$55&lt;3,Fits!$B$133="",Fits!$B$134="",Fits!$B$134=0,Fits!$B$136=""),"",SQRT((Fits!$B$136*Fits!$B$56)^2+SUMPRODUCT((Fits!$J$163:$J$175*(Fits!$B$163:$B$175/Fits!$B$55+Fits!$H$163:$H$175*($Z115-Fits!$B$133)/Fits!$B$134))^2)+SUMPRODUCT((Fits!$G$163:$G$175*(($Z115-Fits!$B$133)*Fits!$I$163:$I$175/Fits!$B$134-Fits!$B$163:$B$175*Fits!$B$56/Fits!$B$55))^2)))</f>
        <v/>
      </c>
      <c r="CM115" s="26" t="str">
        <f aca="false">IF($CL115="","",Setup!$B$32*$CL115)</f>
        <v/>
      </c>
      <c r="CN115" s="26" t="str">
        <f aca="false">IF(OR($AE115="",Fits!$B$62&lt;3,Fits!$B$153="",Fits!$B$154="",Fits!$B$154=0,Fits!$B$156=""),"",SQRT((Fits!$B$156*Fits!$B$63)^2+SUMPRODUCT((Fits!$J$183:$J$195*(Fits!$B$183:$B$195/Fits!$B$62+Fits!$H$183:$H$195*($AE115-Fits!$B$153)/Fits!$B$154))^2)+SUMPRODUCT((Fits!$G$183:$G$195*(($AE115-Fits!$B$153)*Fits!$I$183:$I$195/Fits!$B$154-Fits!$B$183:$B$195*Fits!$B$63/Fits!$B$62))^2)))</f>
        <v/>
      </c>
      <c r="CO115" s="26" t="str">
        <f aca="false">IF($CN115="","",Setup!$B$32*$CN115)</f>
        <v/>
      </c>
      <c r="CP115" s="9" t="n">
        <f aca="false">IF(OR(NOT(ISNUMBER($BJ115)),$EK115=1),$CP114,IF($BJ115&lt;=Setup!$B$26,$CP114+1,0))</f>
        <v>26</v>
      </c>
      <c r="CQ115" s="9" t="str">
        <f aca="false">IF($BT115="","",$A115)</f>
        <v/>
      </c>
      <c r="CR115" s="9" t="str">
        <f aca="false">IF($BW115="","",$A115)</f>
        <v/>
      </c>
      <c r="CS115" s="9" t="str">
        <f aca="false">IF($B115="","",IF(Setup!$A$37="",0,IF(ISNUMBER(SEARCH(Setup!$A$37,$B115)),37,0)))</f>
        <v/>
      </c>
      <c r="CT115" s="9" t="str">
        <f aca="false">IF($B115="","",IF(Setup!$A$38="",0,IF(ISNUMBER(SEARCH(Setup!$A$38,$B115)),38,0)))</f>
        <v/>
      </c>
      <c r="CU115" s="9" t="str">
        <f aca="false">IF($B115="","",IF(Setup!$A$39="",0,IF(ISNUMBER(SEARCH(Setup!$A$39,$B115)),39,0)))</f>
        <v/>
      </c>
      <c r="CV115" s="9" t="str">
        <f aca="false">IF($B115="","",IF(Setup!$A$40="",0,IF(ISNUMBER(SEARCH(Setup!$A$40,$B115)),40,0)))</f>
        <v/>
      </c>
      <c r="CW115" s="9" t="str">
        <f aca="false">IF($B115="","",IF(Setup!$A$41="",0,IF(ISNUMBER(SEARCH(Setup!$A$41,$B115)),41,0)))</f>
        <v/>
      </c>
      <c r="CX115" s="9" t="str">
        <f aca="false">IF($B115="","",IF(Setup!$A$42="",0,IF(ISNUMBER(SEARCH(Setup!$A$42,$B115)),42,0)))</f>
        <v/>
      </c>
      <c r="CY115" s="9" t="str">
        <f aca="false">IF($B115="","",IF(Setup!$A$43="",0,IF(ISNUMBER(SEARCH(Setup!$A$43,$B115)),43,0)))</f>
        <v/>
      </c>
      <c r="CZ115" s="9" t="str">
        <f aca="false">IF($B115="","",IF(Setup!$A$44="",0,IF(ISNUMBER(SEARCH(Setup!$A$44,$B115)),44,0)))</f>
        <v/>
      </c>
      <c r="DA115" s="9" t="str">
        <f aca="false">IF($B115="","",IF(Setup!$A$45="",0,IF(ISNUMBER(SEARCH(Setup!$A$45,$B115)),45,0)))</f>
        <v/>
      </c>
      <c r="DB115" s="9" t="str">
        <f aca="false">IF($B115="","",IF(Setup!$A$46="",0,IF(ISNUMBER(SEARCH(Setup!$A$46,$B115)),46,0)))</f>
        <v/>
      </c>
      <c r="DC115" s="9" t="str">
        <f aca="false">IF($B115="","",IF(Setup!$A$47="",0,IF(ISNUMBER(SEARCH(Setup!$A$47,$B115)),47,0)))</f>
        <v/>
      </c>
      <c r="DD115" s="9" t="str">
        <f aca="false">IF($B115="","",IF(Setup!$A$48="",0,IF(ISNUMBER(SEARCH(Setup!$A$48,$B115)),48,0)))</f>
        <v/>
      </c>
      <c r="DE115" s="9" t="str">
        <f aca="false">IF($B115="","",IF(Setup!$A$49="",0,IF(ISNUMBER(SEARCH(Setup!$A$49,$B115)),49,0)))</f>
        <v/>
      </c>
      <c r="DF115" s="9" t="e">
        <f aca="false">IF($B115="",NA(),$A115)</f>
        <v>#N/A</v>
      </c>
      <c r="DG115" s="9" t="e">
        <f aca="false">IF($BI115="",NA(),$BI115)</f>
        <v>#N/A</v>
      </c>
      <c r="DH115" s="9" t="e">
        <f aca="false">IF($N115="",NA(),$N115)</f>
        <v>#N/A</v>
      </c>
      <c r="DI115" s="9" t="e">
        <f aca="false">IF(AND($D115="Drift",$N115&lt;&gt;""),$N115,NA())</f>
        <v>#N/A</v>
      </c>
      <c r="DJ115" s="9" t="str">
        <f aca="false">IF(AND($D115="Drift",$N115&lt;&gt;""),$N115,"")</f>
        <v/>
      </c>
      <c r="DK115" s="9" t="str">
        <f aca="false">IF($DJ115="","",$A115)</f>
        <v/>
      </c>
      <c r="DL115" s="9" t="e">
        <f aca="false">IF($AN115="",NA(),$AM115)</f>
        <v>#N/A</v>
      </c>
      <c r="DM115" s="9" t="e">
        <f aca="false">IF($AN115="",NA(),$AN115)</f>
        <v>#N/A</v>
      </c>
      <c r="DN115" s="9" t="e">
        <f aca="false">IF(AND($D115="Sample",$L115&lt;&gt;""),$L115,NA())</f>
        <v>#N/A</v>
      </c>
      <c r="DO115" s="9" t="e">
        <f aca="false">IF(AND($D115="Sample",$L115&lt;&gt;"",Fits!$B$98&lt;&gt;""),Fits!$B$98,NA())</f>
        <v>#N/A</v>
      </c>
      <c r="DP115" s="9" t="e">
        <f aca="false">IF($AS115="",NA(),$AS115)</f>
        <v>#N/A</v>
      </c>
      <c r="DQ115" s="9" t="e">
        <f aca="false">IF(AND($D115="Drift",$AS115="",$X115&lt;&gt;""),$X115,NA())</f>
        <v>#N/A</v>
      </c>
      <c r="DR115" s="9" t="e">
        <f aca="false">IF(AND($D115="Drift",$Z115&lt;&gt;""),$Z115,NA())</f>
        <v>#N/A</v>
      </c>
      <c r="DS115" s="9" t="e">
        <f aca="false">IF(AND(OR($D115="Sample",$D115="Check"),$AA115&lt;&gt;""),$AA115,NA())</f>
        <v>#N/A</v>
      </c>
      <c r="DT115" s="9" t="e">
        <f aca="false">IF(OR($B115="",Fits!$B$138=""),NA(),Fits!$B$138)</f>
        <v>#N/A</v>
      </c>
      <c r="DU115" s="9" t="e">
        <f aca="false">IF(OR($B115="",Fits!$B$139=""),NA(),Fits!$B$139)</f>
        <v>#N/A</v>
      </c>
      <c r="DV115" s="9" t="e">
        <f aca="false">IF($BT115="",NA(),$BT115)</f>
        <v>#N/A</v>
      </c>
      <c r="DW115" s="9" t="e">
        <f aca="false">IF($AP115="",NA(),$AO115)</f>
        <v>#N/A</v>
      </c>
      <c r="DX115" s="9" t="e">
        <f aca="false">IF($AP115="",NA(),$AP115)</f>
        <v>#N/A</v>
      </c>
      <c r="DY115" s="9" t="e">
        <f aca="false">IF(AND($D115="Sample",$P115&lt;&gt;""),$P115,NA())</f>
        <v>#N/A</v>
      </c>
      <c r="DZ115" s="9" t="e">
        <f aca="false">IF(AND($D115="Sample",$P115&lt;&gt;"",Fits!$B$105&lt;&gt;""),Fits!$B$105,NA())</f>
        <v>#N/A</v>
      </c>
      <c r="EA115" s="9" t="e">
        <f aca="false">IF($AT115="",NA(),$AT115)</f>
        <v>#N/A</v>
      </c>
      <c r="EB115" s="9" t="e">
        <f aca="false">IF(AND($D115="Drift",$AT115="",$AC115&lt;&gt;""),$AC115,NA())</f>
        <v>#N/A</v>
      </c>
      <c r="EC115" s="9" t="e">
        <f aca="false">IF(AND($D115="Drift",$AE115&lt;&gt;""),$AE115,NA())</f>
        <v>#N/A</v>
      </c>
      <c r="ED115" s="9" t="e">
        <f aca="false">IF(AND(OR($D115="Sample",$D115="Check"),$AF115&lt;&gt;""),$AF115,NA())</f>
        <v>#N/A</v>
      </c>
      <c r="EE115" s="9" t="e">
        <f aca="false">IF(OR($B115="",Fits!$B$158=""),NA(),Fits!$B$158)</f>
        <v>#N/A</v>
      </c>
      <c r="EF115" s="9" t="e">
        <f aca="false">IF(OR($B115="",Fits!$B$159=""),NA(),Fits!$B$159)</f>
        <v>#N/A</v>
      </c>
      <c r="EG115" s="9" t="e">
        <f aca="false">IF($BW115="",NA(),$BW115)</f>
        <v>#N/A</v>
      </c>
      <c r="EH115" s="9" t="e">
        <f aca="false">IF(AND($EN115=1,ISNUMBER($N115)),$N115,NA())</f>
        <v>#N/A</v>
      </c>
      <c r="EI115" s="9" t="str">
        <f aca="false">IF($B115="","",$A115)</f>
        <v/>
      </c>
      <c r="EJ115" s="9" t="n">
        <f aca="false">IF(OR(AND(ISNUMBER($L115),Fits!$B$97&gt;0,$L115&gt;Fits!$B$97),AND(ISNUMBER($P115),Fits!$B$104&gt;0,$P115&gt;Fits!$B$104)),1,0)</f>
        <v>0</v>
      </c>
      <c r="EK115" s="9" t="n">
        <f aca="false">IF(OR($EJ114=1,$EJ113=1),1,0)</f>
        <v>0</v>
      </c>
      <c r="EL115" s="22" t="n">
        <f aca="false">IF(AND($EK115=0,ISNUMBER($N115)),$N115,$EL114)</f>
        <v>25.7</v>
      </c>
      <c r="EM115" s="9" t="str">
        <f aca="false">IF(AND($EK115=1,ISNUMBER($N115),ISNUMBER($EL115)),$N115-$EL115,"")</f>
        <v/>
      </c>
      <c r="EN115" s="9" t="n">
        <f aca="false">IF(Setup!$B$28="",0,IF(ISNUMBER($EM115),IF($EM115&gt;Setup!$B$28,1,0),0))</f>
        <v>0</v>
      </c>
      <c r="EO115" s="9" t="str">
        <f aca="false">IF($EN115=1,COUNTIF($EN$6:$EN115,1),"")</f>
        <v/>
      </c>
      <c r="EP115" s="9" t="n">
        <f aca="false">IF(AND($EJ114=1,OR($D115="Sample",$D115="Check")),1,0)</f>
        <v>0</v>
      </c>
      <c r="EQ115" s="9" t="str">
        <f aca="false">IF(ISNUMBER($BI115),IF(COUNT($BI$6:$BI115)&lt;=5,$BI115,""),"")</f>
        <v/>
      </c>
      <c r="ER115" s="9" t="n">
        <f aca="false">IF(OR(NOT(ISNUMBER($BJ115)),$EK115=1),$ER114,IF($BJ115&lt;=Setup!$B$26,IF($CP114=0,$A115,$ER114),""))</f>
        <v>27</v>
      </c>
    </row>
    <row r="116" customFormat="false" ht="15" hidden="false" customHeight="false" outlineLevel="0" collapsed="false">
      <c r="A116" s="8" t="n">
        <v>111</v>
      </c>
      <c r="B116" s="8" t="str">
        <f aca="false">IFERROR(INDEX(Raw!$B$2:$B$1001,MATCH($A116,Raw!$A$2:$A$1001,0)),"")</f>
        <v/>
      </c>
      <c r="C116" s="9" t="str">
        <f aca="false">IF($B116="","",MAX($CS116:$DE116))</f>
        <v/>
      </c>
      <c r="D116" s="8" t="str">
        <f aca="false">IF($B116="","",IF($C116=0,"Sample",INDEX(Setup!$B$37:$B$49,$C116-36)))</f>
        <v/>
      </c>
      <c r="E116" s="16" t="str">
        <f aca="false">IF($B116="","",IFERROR(IF(INDEX(Raw!$E$2:$E$1001,MATCH($A116,Raw!$A$2:$A$1001,0))=0,"",INDEX(Raw!$E$2:$E$1001,MATCH($A116,Raw!$A$2:$A$1001,0))),""))</f>
        <v/>
      </c>
      <c r="F116" s="18"/>
      <c r="G116" s="16" t="str">
        <f aca="false">IF($B116="","",IF($F116&lt;&gt;"",$F116,IF($E116="","",$E116)))</f>
        <v/>
      </c>
      <c r="H116" s="9" t="str">
        <f aca="false">IF($B116="","",SUMPRODUCT(MAX((Raw!$A$2:$A$1001=$A116)*(Raw!$R$2:$R$1001="N")*Raw!$D$2:$D$1001)))</f>
        <v/>
      </c>
      <c r="I116" s="9" t="str">
        <f aca="false">IF(OR($H116="",$H116=0),"",$A116&amp;"|N|"&amp;$H116)</f>
        <v/>
      </c>
      <c r="J116" s="9" t="str">
        <f aca="false">IF($B116="","",SUMPRODUCT(MIN((Raw!$A$2:$A$1001=$A116)*(Raw!$R$2:$R$1001="C")*Raw!$D$2:$D$1001+(1-(Raw!$A$2:$A$1001=$A116)*(Raw!$R$2:$R$1001="C"))*9999)))</f>
        <v/>
      </c>
      <c r="K116" s="9" t="str">
        <f aca="false">IF(OR($J116="",$J116=0,$J116=9999),"",$A116&amp;"|C|"&amp;$J116)</f>
        <v/>
      </c>
      <c r="L116" s="16" t="str">
        <f aca="false">IF($I116="","",IF(INDEX(Raw!$I$2:$I$1001,MATCH($I116,Raw!$S$2:$S$1001,0))&lt;&gt;0,"",INDEX(Raw!$H$2:$H$1001,MATCH($I116,Raw!$S$2:$S$1001,0))))</f>
        <v/>
      </c>
      <c r="M116" s="19" t="str">
        <f aca="false">IF($I116="","",IF(INDEX(Raw!$I$2:$I$1001,MATCH($I116,Raw!$S$2:$S$1001,0))&lt;&gt;0,"",INDEX(Raw!$F$2:$F$1001,MATCH($I116,Raw!$S$2:$S$1001,0))))</f>
        <v/>
      </c>
      <c r="N116" s="20" t="str">
        <f aca="false">IF($I116="","",IF(INDEX(Raw!$I$2:$I$1001,MATCH($I116,Raw!$S$2:$S$1001,0))&lt;&gt;0,"",INDEX(Raw!$G$2:$G$1001,MATCH($I116,Raw!$S$2:$S$1001,0))))</f>
        <v/>
      </c>
      <c r="O116" s="16" t="str">
        <f aca="false">IF($I116="","",IF(INDEX(Raw!$I$2:$I$1001,MATCH($I116,Raw!$S$2:$S$1001,0))&lt;&gt;0,"",INDEX(Raw!$N$2:$N$1001,MATCH($I116,Raw!$S$2:$S$1001,0))))</f>
        <v/>
      </c>
      <c r="P116" s="16" t="str">
        <f aca="false">IF($K116="","",IF(INDEX(Raw!$I$2:$I$1001,MATCH($K116,Raw!$S$2:$S$1001,0))&lt;&gt;0,"",INDEX(Raw!$K$2:$K$1001,MATCH($K116,Raw!$S$2:$S$1001,0))))</f>
        <v/>
      </c>
      <c r="Q116" s="19" t="str">
        <f aca="false">IF($K116="","",IF(INDEX(Raw!$I$2:$I$1001,MATCH($K116,Raw!$S$2:$S$1001,0))&lt;&gt;0,"",INDEX(Raw!$J$2:$J$1001,MATCH($K116,Raw!$S$2:$S$1001,0))))</f>
        <v/>
      </c>
      <c r="R116" s="16" t="str">
        <f aca="false">IF($K116="","",IF(INDEX(Raw!$I$2:$I$1001,MATCH($K116,Raw!$S$2:$S$1001,0))&lt;&gt;0,"",INDEX(Raw!$O$2:$O$1001,MATCH($K116,Raw!$S$2:$S$1001,0))))</f>
        <v/>
      </c>
      <c r="S116" s="21" t="str">
        <f aca="false">IF($B116="","",IF($C116=0,"",IF(INDEX(Setup!$D$37:$D$49,$C116-36)="","",INDEX(Setup!$D$37:$D$49,$C116-36))))</f>
        <v/>
      </c>
      <c r="T116" s="21" t="str">
        <f aca="false">IF($B116="","",IF($C116=0,"",IF(INDEX(Setup!$C$37:$C$49,$C116-36)="","",INDEX(Setup!$C$37:$C$49,$C116-36))))</f>
        <v/>
      </c>
      <c r="U116" s="21" t="str">
        <f aca="false">IF($B116="","",IF($C116=0,"",IF(INDEX(Setup!$F$37:$F$49,$C116-36)="","",INDEX(Setup!$F$37:$F$49,$C116-36))))</f>
        <v/>
      </c>
      <c r="V116" s="21" t="str">
        <f aca="false">IF($B116="","",IF($C116=0,"",IF(INDEX(Setup!$E$37:$E$49,$C116-36)="","",INDEX(Setup!$E$37:$E$49,$C116-36))))</f>
        <v/>
      </c>
      <c r="W116" s="16" t="str">
        <f aca="false">IF($O116="","",IF(OR(Fits!$C$5&lt;&gt;"Yes",$D116="Blank",$L116&lt;=Fits!$B$6),$O116,($L116*$O116-Fits!$B$6*Fits!$B$7)/($L116-Fits!$B$6)))</f>
        <v/>
      </c>
      <c r="X116" s="16" t="str">
        <f aca="false">IF($W116="","",$W116-Fits!$B$20*($L116-Fits!$B$16))</f>
        <v/>
      </c>
      <c r="Y116" s="22" t="str">
        <f aca="false">IF($W116="","",IF(OR(Fits!$B$38="Row",$BI116=""),$A116,$BI116))</f>
        <v/>
      </c>
      <c r="Z116" s="16" t="str">
        <f aca="false">IF($X116="","",$X116-Fits!$B$39*($Y116-Fits!$B$40))</f>
        <v/>
      </c>
      <c r="AA116" s="23" t="str">
        <f aca="false">IF(OR($Z116="",Fits!$B$55&lt;2),"",Fits!$B$56*$Z116+Fits!$B$57)</f>
        <v/>
      </c>
      <c r="AB116" s="16" t="str">
        <f aca="false">IF($R116="","",IF(OR(Fits!$C$9&lt;&gt;"Yes",$D116="Blank",$P116&lt;=Fits!$B$10),$R116,($P116*$R116-Fits!$B$10*Fits!$B$11)/($P116-Fits!$B$10)))</f>
        <v/>
      </c>
      <c r="AC116" s="16" t="str">
        <f aca="false">IF($AB116="","",$AB116-Fits!$B$28*($P116-Fits!$B$24))</f>
        <v/>
      </c>
      <c r="AD116" s="22" t="str">
        <f aca="false">IF($AB116="","",IF(OR(Fits!$B$50="Row",$BI116=""),$A116,$BI116))</f>
        <v/>
      </c>
      <c r="AE116" s="16" t="str">
        <f aca="false">IF($AC116="","",$AC116-Fits!$B$51*($AD116-Fits!$B$52))</f>
        <v/>
      </c>
      <c r="AF116" s="23" t="str">
        <f aca="false">IF(OR($AE116="",Fits!$B$62&lt;2),"",Fits!$B$63*$AE116+Fits!$B$64)</f>
        <v/>
      </c>
      <c r="AG116" s="21" t="str">
        <f aca="false">IF(OR($L116="",Fits!$B$69&lt;3),"",($L116-Fits!$B$71)/Fits!$B$70)</f>
        <v/>
      </c>
      <c r="AH116" s="21" t="str">
        <f aca="false">IF(OR($P116="",Fits!$B$75&lt;3),"",($P116-Fits!$B$77)/Fits!$B$76)</f>
        <v/>
      </c>
      <c r="AI116" s="23" t="str">
        <f aca="false">IF(OR($AG116="",$G116="",$G116=0),"",$AG116/($G116*1000)*100)</f>
        <v/>
      </c>
      <c r="AJ116" s="23" t="str">
        <f aca="false">IF(OR($AH116="",$G116="",$G116=0),"",$AH116/($G116*1000)*100)</f>
        <v/>
      </c>
      <c r="AK116" s="23" t="str">
        <f aca="false">IF(OR($AG116="",$AH116="",$AG116&lt;=0),"",($AH116/Setup!$B$52)/($AG116/Setup!$B$53))</f>
        <v/>
      </c>
      <c r="AL116" s="23" t="str">
        <f aca="false">IF(OR($AG116="",$AH116="",$AG116&lt;=0),"",$AH116/$AG116)</f>
        <v/>
      </c>
      <c r="AM116" s="9" t="str">
        <f aca="false">IF($D116="Linearity",IF($L116="","",$L116),"")</f>
        <v/>
      </c>
      <c r="AN116" s="9" t="str">
        <f aca="false">IF($D116="Linearity",IF($W116="","",$W116),"")</f>
        <v/>
      </c>
      <c r="AO116" s="9" t="str">
        <f aca="false">IF($D116="Linearity",IF($P116="","",$P116),"")</f>
        <v/>
      </c>
      <c r="AP116" s="9" t="str">
        <f aca="false">IF($D116="Linearity",IF($AB116="","",$AB116),"")</f>
        <v/>
      </c>
      <c r="AQ116" s="9" t="str">
        <f aca="false">IF($D116="Drift",IF($A116&lt;IF(Setup!$B$14="",0,Setup!$B$14),"",$A116),"")</f>
        <v/>
      </c>
      <c r="AR116" s="9" t="str">
        <f aca="false">IF($D116="Drift",IF($A116&lt;IF(Setup!$B$14="",0,Setup!$B$14),"",IF($BI116="","",$BI116)),"")</f>
        <v/>
      </c>
      <c r="AS116" s="9" t="str">
        <f aca="false">IF($D116="Drift",IF($A116&lt;IF(Setup!$B$14="",0,Setup!$B$14),"",IF(OR($X116="",$BX116=1),"",$X116)),"")</f>
        <v/>
      </c>
      <c r="AT116" s="9" t="str">
        <f aca="false">IF($D116="Drift",IF($A116&lt;IF(Setup!$B$14="",0,Setup!$B$14),"",IF(OR($AC116="",$BY116=1),"",$AC116)),"")</f>
        <v/>
      </c>
      <c r="AU116" s="9" t="str">
        <f aca="false">IF($D116="Anchor",IF(OR($Z116="",$S116=""),"",$Z116),"")</f>
        <v/>
      </c>
      <c r="AV116" s="9" t="str">
        <f aca="false">IF($D116="Anchor",IF(OR($Z116="",$S116=""),"",$S116),"")</f>
        <v/>
      </c>
      <c r="AW116" s="9" t="str">
        <f aca="false">IF($D116="Anchor",IF(OR($AE116="",$T116=""),"",$AE116),"")</f>
        <v/>
      </c>
      <c r="AX116" s="9" t="str">
        <f aca="false">IF($D116="Anchor",IF(OR($AE116="",$T116=""),"",$T116),"")</f>
        <v/>
      </c>
      <c r="AY116" s="9" t="str">
        <f aca="false">IF(OR($D116="Blank",$D116="Exclude",$D116="Sample",$D116="",$G116="",$U116="",$L116=""),"",$G116*1000*$U116/100)</f>
        <v/>
      </c>
      <c r="AZ116" s="9" t="str">
        <f aca="false">IF($AY116="","",$L116)</f>
        <v/>
      </c>
      <c r="BA116" s="9" t="str">
        <f aca="false">IF(OR($D116="Blank",$D116="Exclude",$D116="Sample",$D116="",$G116="",$V116="",$P116=""),"",$G116*1000*$V116/100)</f>
        <v/>
      </c>
      <c r="BB116" s="9" t="str">
        <f aca="false">IF($BA116="","",$P116)</f>
        <v/>
      </c>
      <c r="BC116" s="9" t="str">
        <f aca="false">IF(AND($D116="Blank",$L116&lt;&gt;""),$O116,"")</f>
        <v/>
      </c>
      <c r="BD116" s="9" t="str">
        <f aca="false">IF($BC116="","",$L116)</f>
        <v/>
      </c>
      <c r="BE116" s="9" t="str">
        <f aca="false">IF(AND($D116="Blank",$P116&lt;&gt;""),$R116,"")</f>
        <v/>
      </c>
      <c r="BF116" s="9" t="str">
        <f aca="false">IF($BE116="","",$P116)</f>
        <v/>
      </c>
      <c r="BG116" s="9" t="str">
        <f aca="false">IF(AND($D116="Drift",$BX116&lt;&gt;1),IF($AA116="","",$AA116),"")</f>
        <v/>
      </c>
      <c r="BH116" s="9" t="str">
        <f aca="false">IF(AND($D116="Drift",$BY116&lt;&gt;1),IF($AF116="","",$AF116),"")</f>
        <v/>
      </c>
      <c r="BI116" s="20" t="str">
        <f aca="false">IF($B116="","",IFERROR(INDEX(Raw!$G$2:$G$1001,MATCH($A116&amp;"|N|"&amp;SUMPRODUCT(MAX((Raw!$A$2:$A$1001=$A116)*(Raw!$R$2:$R$1001="N")*(Raw!$I$2:$I$1001=1)*Raw!$D$2:$D$1001)),Raw!$S$2:$S$1001,0)),""))</f>
        <v/>
      </c>
      <c r="BJ116" s="21" t="str">
        <f aca="false">IF(OR($BI116="",Fits!$B$85&lt;=0),"",($BI116-Fits!$B$83)/Fits!$B$85)</f>
        <v/>
      </c>
      <c r="BK116" s="9" t="str">
        <f aca="false">IF($AS116="","",IF($A116&gt;=Fits!$B$86,"",$A116))</f>
        <v/>
      </c>
      <c r="BL116" s="9" t="str">
        <f aca="false">IF($BK116="","",$X116)</f>
        <v/>
      </c>
      <c r="BM116" s="9" t="str">
        <f aca="false">IF($AS116="","",IF($A116&lt;Fits!$B$86,"",$A116))</f>
        <v/>
      </c>
      <c r="BN116" s="9" t="str">
        <f aca="false">IF($BM116="","",$X116)</f>
        <v/>
      </c>
      <c r="BO116" s="9" t="str">
        <f aca="false">IF(AND($D116="Drift",$BX116&lt;&gt;1),IF($O116="","",$O116),"")</f>
        <v/>
      </c>
      <c r="BP116" s="9" t="str">
        <f aca="false">IF(AND($D116="Drift",$BX116&lt;&gt;1),IF($W116="","",$W116),"")</f>
        <v/>
      </c>
      <c r="BQ116" s="9" t="str">
        <f aca="false">IF(AND($D116="Drift",$BX116&lt;&gt;1),IF($X116="","",$X116),"")</f>
        <v/>
      </c>
      <c r="BR116" s="9" t="str">
        <f aca="false">IF(AND($D116="Drift",$BX116&lt;&gt;1),IF($Z116="","",$Z116),"")</f>
        <v/>
      </c>
      <c r="BS116" s="9" t="str">
        <f aca="false">IF(OR($B116="",$H116=""),"",SUMPRODUCT(MIN((Raw!$A$2:$A$1001=$A116)*(Raw!$R$2:$R$1001="N")*(Raw!$I$2:$I$1001=0)*(Raw!$D$2:$D$1001&lt;$H116)*Raw!$D$2:$D$1001+(1-(Raw!$A$2:$A$1001=$A116)*(Raw!$R$2:$R$1001="N")*(Raw!$I$2:$I$1001=0)*(Raw!$D$2:$D$1001&lt;$H116))*9999)))</f>
        <v/>
      </c>
      <c r="BT116" s="16" t="str">
        <f aca="false">IF(OR($BS116="",$BS116=9999,$BS116=0),"",IFERROR(INDEX(Raw!$N$2:$N$1001,MATCH($A116&amp;"|N|"&amp;$BS116,Raw!$S$2:$S$1001,0)),""))</f>
        <v/>
      </c>
      <c r="BU116" s="9" t="str">
        <f aca="false">IF($B116="","",SUMPRODUCT(MIN((Raw!$A$2:$A$1001=$A116)*(Raw!$R$2:$R$1001="C")*(Raw!$I$2:$I$1001=1)*Raw!$D$2:$D$1001+(1-(Raw!$A$2:$A$1001=$A116)*(Raw!$R$2:$R$1001="C")*(Raw!$I$2:$I$1001=1))*9999)))</f>
        <v/>
      </c>
      <c r="BV116" s="9" t="str">
        <f aca="false">IF(OR($BU116="",$BU116=9999),"",SUMPRODUCT(MIN((Raw!$A$2:$A$1001=$A116)*(Raw!$R$2:$R$1001="C")*(Raw!$I$2:$I$1001=0)*(Raw!$D$2:$D$1001&gt;$BU116)*Raw!$D$2:$D$1001+(1-(Raw!$A$2:$A$1001=$A116)*(Raw!$R$2:$R$1001="C")*(Raw!$I$2:$I$1001=0)*(Raw!$D$2:$D$1001&gt;$BU116))*9999)))</f>
        <v/>
      </c>
      <c r="BW116" s="16" t="str">
        <f aca="false">IF(OR($BV116="",$BV116=9999,$BV116=0),"",IFERROR(INDEX(Raw!$O$2:$O$1001,MATCH($A116&amp;"|C|"&amp;$BV116,Raw!$S$2:$S$1001,0)),""))</f>
        <v/>
      </c>
      <c r="BX116" s="9" t="str">
        <f aca="false">IF($B116="","",IF(ISNUMBER(SEARCH(","&amp;$A116&amp;",",","&amp;SUBSTITUTE(Setup!$B$16," ","")&amp;",")),1,0))</f>
        <v/>
      </c>
      <c r="BY116" s="9" t="str">
        <f aca="false">IF($B116="","",IF(ISNUMBER(SEARCH(","&amp;$A116&amp;",",","&amp;SUBSTITUTE(Setup!$B$17," ","")&amp;",")),1,0))</f>
        <v/>
      </c>
      <c r="BZ116" s="22" t="str">
        <f aca="false">IF($AS116="","",IF(Fits!$B$38="Row",$AQ116,IF($AR116="","",$AR116)))</f>
        <v/>
      </c>
      <c r="CA116" s="22" t="str">
        <f aca="false">IF($AT116="","",IF(Fits!$B$50="Row",$AQ116,IF($AR116="","",$AR116)))</f>
        <v/>
      </c>
      <c r="CB116" s="20" t="str">
        <f aca="false">IF(OR($D116&lt;&gt;"Drift",$X116="",$A116&lt;IF(Setup!$B$14="",0,Setup!$B$14),Fits!$B$107&lt;3,Fits!$B$110="",Fits!$B$109=0,IF(Fits!$B$38="Row",$AQ116,$AR116)=""),"",IF($BX116=1,IF(OR(Fits!$B$111="",Fits!$B$111=0),"",($X116-(IF(Fits!$B$38="Row",Fits!$B$32,Fits!$B$35)*IF(Fits!$B$38="Row",$AQ116,$AR116)+Fits!$B$110))/(Fits!$B$111*SQRT(1+(1/Fits!$B$107+(IF(Fits!$B$38="Row",$AQ116,$AR116)-Fits!$B$108)^2/Fits!$B$109)))),IF(OR(Fits!$B$107&lt;4,(1/Fits!$B$107+(IF(Fits!$B$38="Row",$AQ116,$AR116)-Fits!$B$108)^2/Fits!$B$109)&gt;=1),"",IF((Fits!$B$116-($X116-(IF(Fits!$B$38="Row",Fits!$B$32,Fits!$B$35)*IF(Fits!$B$38="Row",$AQ116,$AR116)+Fits!$B$110))^2/(1-(1/Fits!$B$107+(IF(Fits!$B$38="Row",$AQ116,$AR116)-Fits!$B$108)^2/Fits!$B$109)))&lt;=0,"",($X116-(IF(Fits!$B$38="Row",Fits!$B$32,Fits!$B$35)*IF(Fits!$B$38="Row",$AQ116,$AR116)+Fits!$B$110))/(SQRT((Fits!$B$116-($X116-(IF(Fits!$B$38="Row",Fits!$B$32,Fits!$B$35)*IF(Fits!$B$38="Row",$AQ116,$AR116)+Fits!$B$110))^2/(1-(1/Fits!$B$107+(IF(Fits!$B$38="Row",$AQ116,$AR116)-Fits!$B$108)^2/Fits!$B$109)))/(Fits!$B$107-3))*SQRT(1-(1/Fits!$B$107+(IF(Fits!$B$38="Row",$AQ116,$AR116)-Fits!$B$108)^2/Fits!$B$109)))))))</f>
        <v/>
      </c>
      <c r="CC116" s="20" t="str">
        <f aca="false">IF(OR($D116&lt;&gt;"Drift",$AC116="",$A116&lt;IF(Setup!$B$14="",0,Setup!$B$14),Fits!$B$120&lt;3,Fits!$B$123="",Fits!$B$122=0,IF(Fits!$B$50="Row",$AQ116,$AR116)=""),"",IF($BY116=1,IF(OR(Fits!$B$124="",Fits!$B$124=0),"",($AC116-(IF(Fits!$B$50="Row",Fits!$B$44,Fits!$B$47)*IF(Fits!$B$50="Row",$AQ116,$AR116)+Fits!$B$123))/(Fits!$B$124*SQRT(1+(1/Fits!$B$120+(IF(Fits!$B$50="Row",$AQ116,$AR116)-Fits!$B$121)^2/Fits!$B$122)))),IF(OR(Fits!$B$120&lt;4,(1/Fits!$B$120+(IF(Fits!$B$50="Row",$AQ116,$AR116)-Fits!$B$121)^2/Fits!$B$122)&gt;=1),"",IF((Fits!$B$129-($AC116-(IF(Fits!$B$50="Row",Fits!$B$44,Fits!$B$47)*IF(Fits!$B$50="Row",$AQ116,$AR116)+Fits!$B$123))^2/(1-(1/Fits!$B$120+(IF(Fits!$B$50="Row",$AQ116,$AR116)-Fits!$B$121)^2/Fits!$B$122)))&lt;=0,"",($AC116-(IF(Fits!$B$50="Row",Fits!$B$44,Fits!$B$47)*IF(Fits!$B$50="Row",$AQ116,$AR116)+Fits!$B$123))/(SQRT((Fits!$B$129-($AC116-(IF(Fits!$B$50="Row",Fits!$B$44,Fits!$B$47)*IF(Fits!$B$50="Row",$AQ116,$AR116)+Fits!$B$123))^2/(1-(1/Fits!$B$120+(IF(Fits!$B$50="Row",$AQ116,$AR116)-Fits!$B$121)^2/Fits!$B$122)))/(Fits!$B$120-3))*SQRT(1-(1/Fits!$B$120+(IF(Fits!$B$50="Row",$AQ116,$AR116)-Fits!$B$121)^2/Fits!$B$122)))))))</f>
        <v/>
      </c>
      <c r="CD116" s="9" t="str">
        <f aca="false">IF($AU116="","",1)</f>
        <v/>
      </c>
      <c r="CE116" s="24" t="str">
        <f aca="false">IF($AU116="","",$AU116-Fits!$B$133)</f>
        <v/>
      </c>
      <c r="CF116" s="24" t="str">
        <f aca="false">IF($AU116="","",($AV116-(Fits!$B$56*$AU116+Fits!$B$57))-Fits!$B$56*($AU116-Fits!$B$133))</f>
        <v/>
      </c>
      <c r="CG116" s="25" t="str">
        <f aca="false">IF($AU116="","",$AU116^2)</f>
        <v/>
      </c>
      <c r="CH116" s="9" t="str">
        <f aca="false">IF($AW116="","",1)</f>
        <v/>
      </c>
      <c r="CI116" s="24" t="str">
        <f aca="false">IF($AW116="","",$AW116-Fits!$B$153)</f>
        <v/>
      </c>
      <c r="CJ116" s="24" t="str">
        <f aca="false">IF($AW116="","",($AX116-(Fits!$B$63*$AW116+Fits!$B$64))-Fits!$B$63*($AW116-Fits!$B$153))</f>
        <v/>
      </c>
      <c r="CK116" s="25" t="str">
        <f aca="false">IF($AW116="","",$AW116^2)</f>
        <v/>
      </c>
      <c r="CL116" s="26" t="str">
        <f aca="false">IF(OR($Z116="",Fits!$B$55&lt;3,Fits!$B$133="",Fits!$B$134="",Fits!$B$134=0,Fits!$B$136=""),"",SQRT((Fits!$B$136*Fits!$B$56)^2+SUMPRODUCT((Fits!$J$163:$J$175*(Fits!$B$163:$B$175/Fits!$B$55+Fits!$H$163:$H$175*($Z116-Fits!$B$133)/Fits!$B$134))^2)+SUMPRODUCT((Fits!$G$163:$G$175*(($Z116-Fits!$B$133)*Fits!$I$163:$I$175/Fits!$B$134-Fits!$B$163:$B$175*Fits!$B$56/Fits!$B$55))^2)))</f>
        <v/>
      </c>
      <c r="CM116" s="26" t="str">
        <f aca="false">IF($CL116="","",Setup!$B$32*$CL116)</f>
        <v/>
      </c>
      <c r="CN116" s="26" t="str">
        <f aca="false">IF(OR($AE116="",Fits!$B$62&lt;3,Fits!$B$153="",Fits!$B$154="",Fits!$B$154=0,Fits!$B$156=""),"",SQRT((Fits!$B$156*Fits!$B$63)^2+SUMPRODUCT((Fits!$J$183:$J$195*(Fits!$B$183:$B$195/Fits!$B$62+Fits!$H$183:$H$195*($AE116-Fits!$B$153)/Fits!$B$154))^2)+SUMPRODUCT((Fits!$G$183:$G$195*(($AE116-Fits!$B$153)*Fits!$I$183:$I$195/Fits!$B$154-Fits!$B$183:$B$195*Fits!$B$63/Fits!$B$62))^2)))</f>
        <v/>
      </c>
      <c r="CO116" s="26" t="str">
        <f aca="false">IF($CN116="","",Setup!$B$32*$CN116)</f>
        <v/>
      </c>
      <c r="CP116" s="9" t="n">
        <f aca="false">IF(OR(NOT(ISNUMBER($BJ116)),$EK116=1),$CP115,IF($BJ116&lt;=Setup!$B$26,$CP115+1,0))</f>
        <v>26</v>
      </c>
      <c r="CQ116" s="9" t="str">
        <f aca="false">IF($BT116="","",$A116)</f>
        <v/>
      </c>
      <c r="CR116" s="9" t="str">
        <f aca="false">IF($BW116="","",$A116)</f>
        <v/>
      </c>
      <c r="CS116" s="9" t="str">
        <f aca="false">IF($B116="","",IF(Setup!$A$37="",0,IF(ISNUMBER(SEARCH(Setup!$A$37,$B116)),37,0)))</f>
        <v/>
      </c>
      <c r="CT116" s="9" t="str">
        <f aca="false">IF($B116="","",IF(Setup!$A$38="",0,IF(ISNUMBER(SEARCH(Setup!$A$38,$B116)),38,0)))</f>
        <v/>
      </c>
      <c r="CU116" s="9" t="str">
        <f aca="false">IF($B116="","",IF(Setup!$A$39="",0,IF(ISNUMBER(SEARCH(Setup!$A$39,$B116)),39,0)))</f>
        <v/>
      </c>
      <c r="CV116" s="9" t="str">
        <f aca="false">IF($B116="","",IF(Setup!$A$40="",0,IF(ISNUMBER(SEARCH(Setup!$A$40,$B116)),40,0)))</f>
        <v/>
      </c>
      <c r="CW116" s="9" t="str">
        <f aca="false">IF($B116="","",IF(Setup!$A$41="",0,IF(ISNUMBER(SEARCH(Setup!$A$41,$B116)),41,0)))</f>
        <v/>
      </c>
      <c r="CX116" s="9" t="str">
        <f aca="false">IF($B116="","",IF(Setup!$A$42="",0,IF(ISNUMBER(SEARCH(Setup!$A$42,$B116)),42,0)))</f>
        <v/>
      </c>
      <c r="CY116" s="9" t="str">
        <f aca="false">IF($B116="","",IF(Setup!$A$43="",0,IF(ISNUMBER(SEARCH(Setup!$A$43,$B116)),43,0)))</f>
        <v/>
      </c>
      <c r="CZ116" s="9" t="str">
        <f aca="false">IF($B116="","",IF(Setup!$A$44="",0,IF(ISNUMBER(SEARCH(Setup!$A$44,$B116)),44,0)))</f>
        <v/>
      </c>
      <c r="DA116" s="9" t="str">
        <f aca="false">IF($B116="","",IF(Setup!$A$45="",0,IF(ISNUMBER(SEARCH(Setup!$A$45,$B116)),45,0)))</f>
        <v/>
      </c>
      <c r="DB116" s="9" t="str">
        <f aca="false">IF($B116="","",IF(Setup!$A$46="",0,IF(ISNUMBER(SEARCH(Setup!$A$46,$B116)),46,0)))</f>
        <v/>
      </c>
      <c r="DC116" s="9" t="str">
        <f aca="false">IF($B116="","",IF(Setup!$A$47="",0,IF(ISNUMBER(SEARCH(Setup!$A$47,$B116)),47,0)))</f>
        <v/>
      </c>
      <c r="DD116" s="9" t="str">
        <f aca="false">IF($B116="","",IF(Setup!$A$48="",0,IF(ISNUMBER(SEARCH(Setup!$A$48,$B116)),48,0)))</f>
        <v/>
      </c>
      <c r="DE116" s="9" t="str">
        <f aca="false">IF($B116="","",IF(Setup!$A$49="",0,IF(ISNUMBER(SEARCH(Setup!$A$49,$B116)),49,0)))</f>
        <v/>
      </c>
      <c r="DF116" s="9" t="e">
        <f aca="false">IF($B116="",NA(),$A116)</f>
        <v>#N/A</v>
      </c>
      <c r="DG116" s="9" t="e">
        <f aca="false">IF($BI116="",NA(),$BI116)</f>
        <v>#N/A</v>
      </c>
      <c r="DH116" s="9" t="e">
        <f aca="false">IF($N116="",NA(),$N116)</f>
        <v>#N/A</v>
      </c>
      <c r="DI116" s="9" t="e">
        <f aca="false">IF(AND($D116="Drift",$N116&lt;&gt;""),$N116,NA())</f>
        <v>#N/A</v>
      </c>
      <c r="DJ116" s="9" t="str">
        <f aca="false">IF(AND($D116="Drift",$N116&lt;&gt;""),$N116,"")</f>
        <v/>
      </c>
      <c r="DK116" s="9" t="str">
        <f aca="false">IF($DJ116="","",$A116)</f>
        <v/>
      </c>
      <c r="DL116" s="9" t="e">
        <f aca="false">IF($AN116="",NA(),$AM116)</f>
        <v>#N/A</v>
      </c>
      <c r="DM116" s="9" t="e">
        <f aca="false">IF($AN116="",NA(),$AN116)</f>
        <v>#N/A</v>
      </c>
      <c r="DN116" s="9" t="e">
        <f aca="false">IF(AND($D116="Sample",$L116&lt;&gt;""),$L116,NA())</f>
        <v>#N/A</v>
      </c>
      <c r="DO116" s="9" t="e">
        <f aca="false">IF(AND($D116="Sample",$L116&lt;&gt;"",Fits!$B$98&lt;&gt;""),Fits!$B$98,NA())</f>
        <v>#N/A</v>
      </c>
      <c r="DP116" s="9" t="e">
        <f aca="false">IF($AS116="",NA(),$AS116)</f>
        <v>#N/A</v>
      </c>
      <c r="DQ116" s="9" t="e">
        <f aca="false">IF(AND($D116="Drift",$AS116="",$X116&lt;&gt;""),$X116,NA())</f>
        <v>#N/A</v>
      </c>
      <c r="DR116" s="9" t="e">
        <f aca="false">IF(AND($D116="Drift",$Z116&lt;&gt;""),$Z116,NA())</f>
        <v>#N/A</v>
      </c>
      <c r="DS116" s="9" t="e">
        <f aca="false">IF(AND(OR($D116="Sample",$D116="Check"),$AA116&lt;&gt;""),$AA116,NA())</f>
        <v>#N/A</v>
      </c>
      <c r="DT116" s="9" t="e">
        <f aca="false">IF(OR($B116="",Fits!$B$138=""),NA(),Fits!$B$138)</f>
        <v>#N/A</v>
      </c>
      <c r="DU116" s="9" t="e">
        <f aca="false">IF(OR($B116="",Fits!$B$139=""),NA(),Fits!$B$139)</f>
        <v>#N/A</v>
      </c>
      <c r="DV116" s="9" t="e">
        <f aca="false">IF($BT116="",NA(),$BT116)</f>
        <v>#N/A</v>
      </c>
      <c r="DW116" s="9" t="e">
        <f aca="false">IF($AP116="",NA(),$AO116)</f>
        <v>#N/A</v>
      </c>
      <c r="DX116" s="9" t="e">
        <f aca="false">IF($AP116="",NA(),$AP116)</f>
        <v>#N/A</v>
      </c>
      <c r="DY116" s="9" t="e">
        <f aca="false">IF(AND($D116="Sample",$P116&lt;&gt;""),$P116,NA())</f>
        <v>#N/A</v>
      </c>
      <c r="DZ116" s="9" t="e">
        <f aca="false">IF(AND($D116="Sample",$P116&lt;&gt;"",Fits!$B$105&lt;&gt;""),Fits!$B$105,NA())</f>
        <v>#N/A</v>
      </c>
      <c r="EA116" s="9" t="e">
        <f aca="false">IF($AT116="",NA(),$AT116)</f>
        <v>#N/A</v>
      </c>
      <c r="EB116" s="9" t="e">
        <f aca="false">IF(AND($D116="Drift",$AT116="",$AC116&lt;&gt;""),$AC116,NA())</f>
        <v>#N/A</v>
      </c>
      <c r="EC116" s="9" t="e">
        <f aca="false">IF(AND($D116="Drift",$AE116&lt;&gt;""),$AE116,NA())</f>
        <v>#N/A</v>
      </c>
      <c r="ED116" s="9" t="e">
        <f aca="false">IF(AND(OR($D116="Sample",$D116="Check"),$AF116&lt;&gt;""),$AF116,NA())</f>
        <v>#N/A</v>
      </c>
      <c r="EE116" s="9" t="e">
        <f aca="false">IF(OR($B116="",Fits!$B$158=""),NA(),Fits!$B$158)</f>
        <v>#N/A</v>
      </c>
      <c r="EF116" s="9" t="e">
        <f aca="false">IF(OR($B116="",Fits!$B$159=""),NA(),Fits!$B$159)</f>
        <v>#N/A</v>
      </c>
      <c r="EG116" s="9" t="e">
        <f aca="false">IF($BW116="",NA(),$BW116)</f>
        <v>#N/A</v>
      </c>
      <c r="EH116" s="9" t="e">
        <f aca="false">IF(AND($EN116=1,ISNUMBER($N116)),$N116,NA())</f>
        <v>#N/A</v>
      </c>
      <c r="EI116" s="9" t="str">
        <f aca="false">IF($B116="","",$A116)</f>
        <v/>
      </c>
      <c r="EJ116" s="9" t="n">
        <f aca="false">IF(OR(AND(ISNUMBER($L116),Fits!$B$97&gt;0,$L116&gt;Fits!$B$97),AND(ISNUMBER($P116),Fits!$B$104&gt;0,$P116&gt;Fits!$B$104)),1,0)</f>
        <v>0</v>
      </c>
      <c r="EK116" s="9" t="n">
        <f aca="false">IF(OR($EJ115=1,$EJ114=1),1,0)</f>
        <v>0</v>
      </c>
      <c r="EL116" s="22" t="n">
        <f aca="false">IF(AND($EK116=0,ISNUMBER($N116)),$N116,$EL115)</f>
        <v>25.7</v>
      </c>
      <c r="EM116" s="9" t="str">
        <f aca="false">IF(AND($EK116=1,ISNUMBER($N116),ISNUMBER($EL116)),$N116-$EL116,"")</f>
        <v/>
      </c>
      <c r="EN116" s="9" t="n">
        <f aca="false">IF(Setup!$B$28="",0,IF(ISNUMBER($EM116),IF($EM116&gt;Setup!$B$28,1,0),0))</f>
        <v>0</v>
      </c>
      <c r="EO116" s="9" t="str">
        <f aca="false">IF($EN116=1,COUNTIF($EN$6:$EN116,1),"")</f>
        <v/>
      </c>
      <c r="EP116" s="9" t="n">
        <f aca="false">IF(AND($EJ115=1,OR($D116="Sample",$D116="Check")),1,0)</f>
        <v>0</v>
      </c>
      <c r="EQ116" s="9" t="str">
        <f aca="false">IF(ISNUMBER($BI116),IF(COUNT($BI$6:$BI116)&lt;=5,$BI116,""),"")</f>
        <v/>
      </c>
      <c r="ER116" s="9" t="n">
        <f aca="false">IF(OR(NOT(ISNUMBER($BJ116)),$EK116=1),$ER115,IF($BJ116&lt;=Setup!$B$26,IF($CP115=0,$A116,$ER115),""))</f>
        <v>27</v>
      </c>
    </row>
    <row r="117" customFormat="false" ht="15" hidden="false" customHeight="false" outlineLevel="0" collapsed="false">
      <c r="A117" s="8" t="n">
        <v>112</v>
      </c>
      <c r="B117" s="8" t="str">
        <f aca="false">IFERROR(INDEX(Raw!$B$2:$B$1001,MATCH($A117,Raw!$A$2:$A$1001,0)),"")</f>
        <v/>
      </c>
      <c r="C117" s="9" t="str">
        <f aca="false">IF($B117="","",MAX($CS117:$DE117))</f>
        <v/>
      </c>
      <c r="D117" s="8" t="str">
        <f aca="false">IF($B117="","",IF($C117=0,"Sample",INDEX(Setup!$B$37:$B$49,$C117-36)))</f>
        <v/>
      </c>
      <c r="E117" s="16" t="str">
        <f aca="false">IF($B117="","",IFERROR(IF(INDEX(Raw!$E$2:$E$1001,MATCH($A117,Raw!$A$2:$A$1001,0))=0,"",INDEX(Raw!$E$2:$E$1001,MATCH($A117,Raw!$A$2:$A$1001,0))),""))</f>
        <v/>
      </c>
      <c r="F117" s="18"/>
      <c r="G117" s="16" t="str">
        <f aca="false">IF($B117="","",IF($F117&lt;&gt;"",$F117,IF($E117="","",$E117)))</f>
        <v/>
      </c>
      <c r="H117" s="9" t="str">
        <f aca="false">IF($B117="","",SUMPRODUCT(MAX((Raw!$A$2:$A$1001=$A117)*(Raw!$R$2:$R$1001="N")*Raw!$D$2:$D$1001)))</f>
        <v/>
      </c>
      <c r="I117" s="9" t="str">
        <f aca="false">IF(OR($H117="",$H117=0),"",$A117&amp;"|N|"&amp;$H117)</f>
        <v/>
      </c>
      <c r="J117" s="9" t="str">
        <f aca="false">IF($B117="","",SUMPRODUCT(MIN((Raw!$A$2:$A$1001=$A117)*(Raw!$R$2:$R$1001="C")*Raw!$D$2:$D$1001+(1-(Raw!$A$2:$A$1001=$A117)*(Raw!$R$2:$R$1001="C"))*9999)))</f>
        <v/>
      </c>
      <c r="K117" s="9" t="str">
        <f aca="false">IF(OR($J117="",$J117=0,$J117=9999),"",$A117&amp;"|C|"&amp;$J117)</f>
        <v/>
      </c>
      <c r="L117" s="16" t="str">
        <f aca="false">IF($I117="","",IF(INDEX(Raw!$I$2:$I$1001,MATCH($I117,Raw!$S$2:$S$1001,0))&lt;&gt;0,"",INDEX(Raw!$H$2:$H$1001,MATCH($I117,Raw!$S$2:$S$1001,0))))</f>
        <v/>
      </c>
      <c r="M117" s="19" t="str">
        <f aca="false">IF($I117="","",IF(INDEX(Raw!$I$2:$I$1001,MATCH($I117,Raw!$S$2:$S$1001,0))&lt;&gt;0,"",INDEX(Raw!$F$2:$F$1001,MATCH($I117,Raw!$S$2:$S$1001,0))))</f>
        <v/>
      </c>
      <c r="N117" s="20" t="str">
        <f aca="false">IF($I117="","",IF(INDEX(Raw!$I$2:$I$1001,MATCH($I117,Raw!$S$2:$S$1001,0))&lt;&gt;0,"",INDEX(Raw!$G$2:$G$1001,MATCH($I117,Raw!$S$2:$S$1001,0))))</f>
        <v/>
      </c>
      <c r="O117" s="16" t="str">
        <f aca="false">IF($I117="","",IF(INDEX(Raw!$I$2:$I$1001,MATCH($I117,Raw!$S$2:$S$1001,0))&lt;&gt;0,"",INDEX(Raw!$N$2:$N$1001,MATCH($I117,Raw!$S$2:$S$1001,0))))</f>
        <v/>
      </c>
      <c r="P117" s="16" t="str">
        <f aca="false">IF($K117="","",IF(INDEX(Raw!$I$2:$I$1001,MATCH($K117,Raw!$S$2:$S$1001,0))&lt;&gt;0,"",INDEX(Raw!$K$2:$K$1001,MATCH($K117,Raw!$S$2:$S$1001,0))))</f>
        <v/>
      </c>
      <c r="Q117" s="19" t="str">
        <f aca="false">IF($K117="","",IF(INDEX(Raw!$I$2:$I$1001,MATCH($K117,Raw!$S$2:$S$1001,0))&lt;&gt;0,"",INDEX(Raw!$J$2:$J$1001,MATCH($K117,Raw!$S$2:$S$1001,0))))</f>
        <v/>
      </c>
      <c r="R117" s="16" t="str">
        <f aca="false">IF($K117="","",IF(INDEX(Raw!$I$2:$I$1001,MATCH($K117,Raw!$S$2:$S$1001,0))&lt;&gt;0,"",INDEX(Raw!$O$2:$O$1001,MATCH($K117,Raw!$S$2:$S$1001,0))))</f>
        <v/>
      </c>
      <c r="S117" s="21" t="str">
        <f aca="false">IF($B117="","",IF($C117=0,"",IF(INDEX(Setup!$D$37:$D$49,$C117-36)="","",INDEX(Setup!$D$37:$D$49,$C117-36))))</f>
        <v/>
      </c>
      <c r="T117" s="21" t="str">
        <f aca="false">IF($B117="","",IF($C117=0,"",IF(INDEX(Setup!$C$37:$C$49,$C117-36)="","",INDEX(Setup!$C$37:$C$49,$C117-36))))</f>
        <v/>
      </c>
      <c r="U117" s="21" t="str">
        <f aca="false">IF($B117="","",IF($C117=0,"",IF(INDEX(Setup!$F$37:$F$49,$C117-36)="","",INDEX(Setup!$F$37:$F$49,$C117-36))))</f>
        <v/>
      </c>
      <c r="V117" s="21" t="str">
        <f aca="false">IF($B117="","",IF($C117=0,"",IF(INDEX(Setup!$E$37:$E$49,$C117-36)="","",INDEX(Setup!$E$37:$E$49,$C117-36))))</f>
        <v/>
      </c>
      <c r="W117" s="16" t="str">
        <f aca="false">IF($O117="","",IF(OR(Fits!$C$5&lt;&gt;"Yes",$D117="Blank",$L117&lt;=Fits!$B$6),$O117,($L117*$O117-Fits!$B$6*Fits!$B$7)/($L117-Fits!$B$6)))</f>
        <v/>
      </c>
      <c r="X117" s="16" t="str">
        <f aca="false">IF($W117="","",$W117-Fits!$B$20*($L117-Fits!$B$16))</f>
        <v/>
      </c>
      <c r="Y117" s="22" t="str">
        <f aca="false">IF($W117="","",IF(OR(Fits!$B$38="Row",$BI117=""),$A117,$BI117))</f>
        <v/>
      </c>
      <c r="Z117" s="16" t="str">
        <f aca="false">IF($X117="","",$X117-Fits!$B$39*($Y117-Fits!$B$40))</f>
        <v/>
      </c>
      <c r="AA117" s="23" t="str">
        <f aca="false">IF(OR($Z117="",Fits!$B$55&lt;2),"",Fits!$B$56*$Z117+Fits!$B$57)</f>
        <v/>
      </c>
      <c r="AB117" s="16" t="str">
        <f aca="false">IF($R117="","",IF(OR(Fits!$C$9&lt;&gt;"Yes",$D117="Blank",$P117&lt;=Fits!$B$10),$R117,($P117*$R117-Fits!$B$10*Fits!$B$11)/($P117-Fits!$B$10)))</f>
        <v/>
      </c>
      <c r="AC117" s="16" t="str">
        <f aca="false">IF($AB117="","",$AB117-Fits!$B$28*($P117-Fits!$B$24))</f>
        <v/>
      </c>
      <c r="AD117" s="22" t="str">
        <f aca="false">IF($AB117="","",IF(OR(Fits!$B$50="Row",$BI117=""),$A117,$BI117))</f>
        <v/>
      </c>
      <c r="AE117" s="16" t="str">
        <f aca="false">IF($AC117="","",$AC117-Fits!$B$51*($AD117-Fits!$B$52))</f>
        <v/>
      </c>
      <c r="AF117" s="23" t="str">
        <f aca="false">IF(OR($AE117="",Fits!$B$62&lt;2),"",Fits!$B$63*$AE117+Fits!$B$64)</f>
        <v/>
      </c>
      <c r="AG117" s="21" t="str">
        <f aca="false">IF(OR($L117="",Fits!$B$69&lt;3),"",($L117-Fits!$B$71)/Fits!$B$70)</f>
        <v/>
      </c>
      <c r="AH117" s="21" t="str">
        <f aca="false">IF(OR($P117="",Fits!$B$75&lt;3),"",($P117-Fits!$B$77)/Fits!$B$76)</f>
        <v/>
      </c>
      <c r="AI117" s="23" t="str">
        <f aca="false">IF(OR($AG117="",$G117="",$G117=0),"",$AG117/($G117*1000)*100)</f>
        <v/>
      </c>
      <c r="AJ117" s="23" t="str">
        <f aca="false">IF(OR($AH117="",$G117="",$G117=0),"",$AH117/($G117*1000)*100)</f>
        <v/>
      </c>
      <c r="AK117" s="23" t="str">
        <f aca="false">IF(OR($AG117="",$AH117="",$AG117&lt;=0),"",($AH117/Setup!$B$52)/($AG117/Setup!$B$53))</f>
        <v/>
      </c>
      <c r="AL117" s="23" t="str">
        <f aca="false">IF(OR($AG117="",$AH117="",$AG117&lt;=0),"",$AH117/$AG117)</f>
        <v/>
      </c>
      <c r="AM117" s="9" t="str">
        <f aca="false">IF($D117="Linearity",IF($L117="","",$L117),"")</f>
        <v/>
      </c>
      <c r="AN117" s="9" t="str">
        <f aca="false">IF($D117="Linearity",IF($W117="","",$W117),"")</f>
        <v/>
      </c>
      <c r="AO117" s="9" t="str">
        <f aca="false">IF($D117="Linearity",IF($P117="","",$P117),"")</f>
        <v/>
      </c>
      <c r="AP117" s="9" t="str">
        <f aca="false">IF($D117="Linearity",IF($AB117="","",$AB117),"")</f>
        <v/>
      </c>
      <c r="AQ117" s="9" t="str">
        <f aca="false">IF($D117="Drift",IF($A117&lt;IF(Setup!$B$14="",0,Setup!$B$14),"",$A117),"")</f>
        <v/>
      </c>
      <c r="AR117" s="9" t="str">
        <f aca="false">IF($D117="Drift",IF($A117&lt;IF(Setup!$B$14="",0,Setup!$B$14),"",IF($BI117="","",$BI117)),"")</f>
        <v/>
      </c>
      <c r="AS117" s="9" t="str">
        <f aca="false">IF($D117="Drift",IF($A117&lt;IF(Setup!$B$14="",0,Setup!$B$14),"",IF(OR($X117="",$BX117=1),"",$X117)),"")</f>
        <v/>
      </c>
      <c r="AT117" s="9" t="str">
        <f aca="false">IF($D117="Drift",IF($A117&lt;IF(Setup!$B$14="",0,Setup!$B$14),"",IF(OR($AC117="",$BY117=1),"",$AC117)),"")</f>
        <v/>
      </c>
      <c r="AU117" s="9" t="str">
        <f aca="false">IF($D117="Anchor",IF(OR($Z117="",$S117=""),"",$Z117),"")</f>
        <v/>
      </c>
      <c r="AV117" s="9" t="str">
        <f aca="false">IF($D117="Anchor",IF(OR($Z117="",$S117=""),"",$S117),"")</f>
        <v/>
      </c>
      <c r="AW117" s="9" t="str">
        <f aca="false">IF($D117="Anchor",IF(OR($AE117="",$T117=""),"",$AE117),"")</f>
        <v/>
      </c>
      <c r="AX117" s="9" t="str">
        <f aca="false">IF($D117="Anchor",IF(OR($AE117="",$T117=""),"",$T117),"")</f>
        <v/>
      </c>
      <c r="AY117" s="9" t="str">
        <f aca="false">IF(OR($D117="Blank",$D117="Exclude",$D117="Sample",$D117="",$G117="",$U117="",$L117=""),"",$G117*1000*$U117/100)</f>
        <v/>
      </c>
      <c r="AZ117" s="9" t="str">
        <f aca="false">IF($AY117="","",$L117)</f>
        <v/>
      </c>
      <c r="BA117" s="9" t="str">
        <f aca="false">IF(OR($D117="Blank",$D117="Exclude",$D117="Sample",$D117="",$G117="",$V117="",$P117=""),"",$G117*1000*$V117/100)</f>
        <v/>
      </c>
      <c r="BB117" s="9" t="str">
        <f aca="false">IF($BA117="","",$P117)</f>
        <v/>
      </c>
      <c r="BC117" s="9" t="str">
        <f aca="false">IF(AND($D117="Blank",$L117&lt;&gt;""),$O117,"")</f>
        <v/>
      </c>
      <c r="BD117" s="9" t="str">
        <f aca="false">IF($BC117="","",$L117)</f>
        <v/>
      </c>
      <c r="BE117" s="9" t="str">
        <f aca="false">IF(AND($D117="Blank",$P117&lt;&gt;""),$R117,"")</f>
        <v/>
      </c>
      <c r="BF117" s="9" t="str">
        <f aca="false">IF($BE117="","",$P117)</f>
        <v/>
      </c>
      <c r="BG117" s="9" t="str">
        <f aca="false">IF(AND($D117="Drift",$BX117&lt;&gt;1),IF($AA117="","",$AA117),"")</f>
        <v/>
      </c>
      <c r="BH117" s="9" t="str">
        <f aca="false">IF(AND($D117="Drift",$BY117&lt;&gt;1),IF($AF117="","",$AF117),"")</f>
        <v/>
      </c>
      <c r="BI117" s="20" t="str">
        <f aca="false">IF($B117="","",IFERROR(INDEX(Raw!$G$2:$G$1001,MATCH($A117&amp;"|N|"&amp;SUMPRODUCT(MAX((Raw!$A$2:$A$1001=$A117)*(Raw!$R$2:$R$1001="N")*(Raw!$I$2:$I$1001=1)*Raw!$D$2:$D$1001)),Raw!$S$2:$S$1001,0)),""))</f>
        <v/>
      </c>
      <c r="BJ117" s="21" t="str">
        <f aca="false">IF(OR($BI117="",Fits!$B$85&lt;=0),"",($BI117-Fits!$B$83)/Fits!$B$85)</f>
        <v/>
      </c>
      <c r="BK117" s="9" t="str">
        <f aca="false">IF($AS117="","",IF($A117&gt;=Fits!$B$86,"",$A117))</f>
        <v/>
      </c>
      <c r="BL117" s="9" t="str">
        <f aca="false">IF($BK117="","",$X117)</f>
        <v/>
      </c>
      <c r="BM117" s="9" t="str">
        <f aca="false">IF($AS117="","",IF($A117&lt;Fits!$B$86,"",$A117))</f>
        <v/>
      </c>
      <c r="BN117" s="9" t="str">
        <f aca="false">IF($BM117="","",$X117)</f>
        <v/>
      </c>
      <c r="BO117" s="9" t="str">
        <f aca="false">IF(AND($D117="Drift",$BX117&lt;&gt;1),IF($O117="","",$O117),"")</f>
        <v/>
      </c>
      <c r="BP117" s="9" t="str">
        <f aca="false">IF(AND($D117="Drift",$BX117&lt;&gt;1),IF($W117="","",$W117),"")</f>
        <v/>
      </c>
      <c r="BQ117" s="9" t="str">
        <f aca="false">IF(AND($D117="Drift",$BX117&lt;&gt;1),IF($X117="","",$X117),"")</f>
        <v/>
      </c>
      <c r="BR117" s="9" t="str">
        <f aca="false">IF(AND($D117="Drift",$BX117&lt;&gt;1),IF($Z117="","",$Z117),"")</f>
        <v/>
      </c>
      <c r="BS117" s="9" t="str">
        <f aca="false">IF(OR($B117="",$H117=""),"",SUMPRODUCT(MIN((Raw!$A$2:$A$1001=$A117)*(Raw!$R$2:$R$1001="N")*(Raw!$I$2:$I$1001=0)*(Raw!$D$2:$D$1001&lt;$H117)*Raw!$D$2:$D$1001+(1-(Raw!$A$2:$A$1001=$A117)*(Raw!$R$2:$R$1001="N")*(Raw!$I$2:$I$1001=0)*(Raw!$D$2:$D$1001&lt;$H117))*9999)))</f>
        <v/>
      </c>
      <c r="BT117" s="16" t="str">
        <f aca="false">IF(OR($BS117="",$BS117=9999,$BS117=0),"",IFERROR(INDEX(Raw!$N$2:$N$1001,MATCH($A117&amp;"|N|"&amp;$BS117,Raw!$S$2:$S$1001,0)),""))</f>
        <v/>
      </c>
      <c r="BU117" s="9" t="str">
        <f aca="false">IF($B117="","",SUMPRODUCT(MIN((Raw!$A$2:$A$1001=$A117)*(Raw!$R$2:$R$1001="C")*(Raw!$I$2:$I$1001=1)*Raw!$D$2:$D$1001+(1-(Raw!$A$2:$A$1001=$A117)*(Raw!$R$2:$R$1001="C")*(Raw!$I$2:$I$1001=1))*9999)))</f>
        <v/>
      </c>
      <c r="BV117" s="9" t="str">
        <f aca="false">IF(OR($BU117="",$BU117=9999),"",SUMPRODUCT(MIN((Raw!$A$2:$A$1001=$A117)*(Raw!$R$2:$R$1001="C")*(Raw!$I$2:$I$1001=0)*(Raw!$D$2:$D$1001&gt;$BU117)*Raw!$D$2:$D$1001+(1-(Raw!$A$2:$A$1001=$A117)*(Raw!$R$2:$R$1001="C")*(Raw!$I$2:$I$1001=0)*(Raw!$D$2:$D$1001&gt;$BU117))*9999)))</f>
        <v/>
      </c>
      <c r="BW117" s="16" t="str">
        <f aca="false">IF(OR($BV117="",$BV117=9999,$BV117=0),"",IFERROR(INDEX(Raw!$O$2:$O$1001,MATCH($A117&amp;"|C|"&amp;$BV117,Raw!$S$2:$S$1001,0)),""))</f>
        <v/>
      </c>
      <c r="BX117" s="9" t="str">
        <f aca="false">IF($B117="","",IF(ISNUMBER(SEARCH(","&amp;$A117&amp;",",","&amp;SUBSTITUTE(Setup!$B$16," ","")&amp;",")),1,0))</f>
        <v/>
      </c>
      <c r="BY117" s="9" t="str">
        <f aca="false">IF($B117="","",IF(ISNUMBER(SEARCH(","&amp;$A117&amp;",",","&amp;SUBSTITUTE(Setup!$B$17," ","")&amp;",")),1,0))</f>
        <v/>
      </c>
      <c r="BZ117" s="22" t="str">
        <f aca="false">IF($AS117="","",IF(Fits!$B$38="Row",$AQ117,IF($AR117="","",$AR117)))</f>
        <v/>
      </c>
      <c r="CA117" s="22" t="str">
        <f aca="false">IF($AT117="","",IF(Fits!$B$50="Row",$AQ117,IF($AR117="","",$AR117)))</f>
        <v/>
      </c>
      <c r="CB117" s="20" t="str">
        <f aca="false">IF(OR($D117&lt;&gt;"Drift",$X117="",$A117&lt;IF(Setup!$B$14="",0,Setup!$B$14),Fits!$B$107&lt;3,Fits!$B$110="",Fits!$B$109=0,IF(Fits!$B$38="Row",$AQ117,$AR117)=""),"",IF($BX117=1,IF(OR(Fits!$B$111="",Fits!$B$111=0),"",($X117-(IF(Fits!$B$38="Row",Fits!$B$32,Fits!$B$35)*IF(Fits!$B$38="Row",$AQ117,$AR117)+Fits!$B$110))/(Fits!$B$111*SQRT(1+(1/Fits!$B$107+(IF(Fits!$B$38="Row",$AQ117,$AR117)-Fits!$B$108)^2/Fits!$B$109)))),IF(OR(Fits!$B$107&lt;4,(1/Fits!$B$107+(IF(Fits!$B$38="Row",$AQ117,$AR117)-Fits!$B$108)^2/Fits!$B$109)&gt;=1),"",IF((Fits!$B$116-($X117-(IF(Fits!$B$38="Row",Fits!$B$32,Fits!$B$35)*IF(Fits!$B$38="Row",$AQ117,$AR117)+Fits!$B$110))^2/(1-(1/Fits!$B$107+(IF(Fits!$B$38="Row",$AQ117,$AR117)-Fits!$B$108)^2/Fits!$B$109)))&lt;=0,"",($X117-(IF(Fits!$B$38="Row",Fits!$B$32,Fits!$B$35)*IF(Fits!$B$38="Row",$AQ117,$AR117)+Fits!$B$110))/(SQRT((Fits!$B$116-($X117-(IF(Fits!$B$38="Row",Fits!$B$32,Fits!$B$35)*IF(Fits!$B$38="Row",$AQ117,$AR117)+Fits!$B$110))^2/(1-(1/Fits!$B$107+(IF(Fits!$B$38="Row",$AQ117,$AR117)-Fits!$B$108)^2/Fits!$B$109)))/(Fits!$B$107-3))*SQRT(1-(1/Fits!$B$107+(IF(Fits!$B$38="Row",$AQ117,$AR117)-Fits!$B$108)^2/Fits!$B$109)))))))</f>
        <v/>
      </c>
      <c r="CC117" s="20" t="str">
        <f aca="false">IF(OR($D117&lt;&gt;"Drift",$AC117="",$A117&lt;IF(Setup!$B$14="",0,Setup!$B$14),Fits!$B$120&lt;3,Fits!$B$123="",Fits!$B$122=0,IF(Fits!$B$50="Row",$AQ117,$AR117)=""),"",IF($BY117=1,IF(OR(Fits!$B$124="",Fits!$B$124=0),"",($AC117-(IF(Fits!$B$50="Row",Fits!$B$44,Fits!$B$47)*IF(Fits!$B$50="Row",$AQ117,$AR117)+Fits!$B$123))/(Fits!$B$124*SQRT(1+(1/Fits!$B$120+(IF(Fits!$B$50="Row",$AQ117,$AR117)-Fits!$B$121)^2/Fits!$B$122)))),IF(OR(Fits!$B$120&lt;4,(1/Fits!$B$120+(IF(Fits!$B$50="Row",$AQ117,$AR117)-Fits!$B$121)^2/Fits!$B$122)&gt;=1),"",IF((Fits!$B$129-($AC117-(IF(Fits!$B$50="Row",Fits!$B$44,Fits!$B$47)*IF(Fits!$B$50="Row",$AQ117,$AR117)+Fits!$B$123))^2/(1-(1/Fits!$B$120+(IF(Fits!$B$50="Row",$AQ117,$AR117)-Fits!$B$121)^2/Fits!$B$122)))&lt;=0,"",($AC117-(IF(Fits!$B$50="Row",Fits!$B$44,Fits!$B$47)*IF(Fits!$B$50="Row",$AQ117,$AR117)+Fits!$B$123))/(SQRT((Fits!$B$129-($AC117-(IF(Fits!$B$50="Row",Fits!$B$44,Fits!$B$47)*IF(Fits!$B$50="Row",$AQ117,$AR117)+Fits!$B$123))^2/(1-(1/Fits!$B$120+(IF(Fits!$B$50="Row",$AQ117,$AR117)-Fits!$B$121)^2/Fits!$B$122)))/(Fits!$B$120-3))*SQRT(1-(1/Fits!$B$120+(IF(Fits!$B$50="Row",$AQ117,$AR117)-Fits!$B$121)^2/Fits!$B$122)))))))</f>
        <v/>
      </c>
      <c r="CD117" s="9" t="str">
        <f aca="false">IF($AU117="","",1)</f>
        <v/>
      </c>
      <c r="CE117" s="24" t="str">
        <f aca="false">IF($AU117="","",$AU117-Fits!$B$133)</f>
        <v/>
      </c>
      <c r="CF117" s="24" t="str">
        <f aca="false">IF($AU117="","",($AV117-(Fits!$B$56*$AU117+Fits!$B$57))-Fits!$B$56*($AU117-Fits!$B$133))</f>
        <v/>
      </c>
      <c r="CG117" s="25" t="str">
        <f aca="false">IF($AU117="","",$AU117^2)</f>
        <v/>
      </c>
      <c r="CH117" s="9" t="str">
        <f aca="false">IF($AW117="","",1)</f>
        <v/>
      </c>
      <c r="CI117" s="24" t="str">
        <f aca="false">IF($AW117="","",$AW117-Fits!$B$153)</f>
        <v/>
      </c>
      <c r="CJ117" s="24" t="str">
        <f aca="false">IF($AW117="","",($AX117-(Fits!$B$63*$AW117+Fits!$B$64))-Fits!$B$63*($AW117-Fits!$B$153))</f>
        <v/>
      </c>
      <c r="CK117" s="25" t="str">
        <f aca="false">IF($AW117="","",$AW117^2)</f>
        <v/>
      </c>
      <c r="CL117" s="26" t="str">
        <f aca="false">IF(OR($Z117="",Fits!$B$55&lt;3,Fits!$B$133="",Fits!$B$134="",Fits!$B$134=0,Fits!$B$136=""),"",SQRT((Fits!$B$136*Fits!$B$56)^2+SUMPRODUCT((Fits!$J$163:$J$175*(Fits!$B$163:$B$175/Fits!$B$55+Fits!$H$163:$H$175*($Z117-Fits!$B$133)/Fits!$B$134))^2)+SUMPRODUCT((Fits!$G$163:$G$175*(($Z117-Fits!$B$133)*Fits!$I$163:$I$175/Fits!$B$134-Fits!$B$163:$B$175*Fits!$B$56/Fits!$B$55))^2)))</f>
        <v/>
      </c>
      <c r="CM117" s="26" t="str">
        <f aca="false">IF($CL117="","",Setup!$B$32*$CL117)</f>
        <v/>
      </c>
      <c r="CN117" s="26" t="str">
        <f aca="false">IF(OR($AE117="",Fits!$B$62&lt;3,Fits!$B$153="",Fits!$B$154="",Fits!$B$154=0,Fits!$B$156=""),"",SQRT((Fits!$B$156*Fits!$B$63)^2+SUMPRODUCT((Fits!$J$183:$J$195*(Fits!$B$183:$B$195/Fits!$B$62+Fits!$H$183:$H$195*($AE117-Fits!$B$153)/Fits!$B$154))^2)+SUMPRODUCT((Fits!$G$183:$G$195*(($AE117-Fits!$B$153)*Fits!$I$183:$I$195/Fits!$B$154-Fits!$B$183:$B$195*Fits!$B$63/Fits!$B$62))^2)))</f>
        <v/>
      </c>
      <c r="CO117" s="26" t="str">
        <f aca="false">IF($CN117="","",Setup!$B$32*$CN117)</f>
        <v/>
      </c>
      <c r="CP117" s="9" t="n">
        <f aca="false">IF(OR(NOT(ISNUMBER($BJ117)),$EK117=1),$CP116,IF($BJ117&lt;=Setup!$B$26,$CP116+1,0))</f>
        <v>26</v>
      </c>
      <c r="CQ117" s="9" t="str">
        <f aca="false">IF($BT117="","",$A117)</f>
        <v/>
      </c>
      <c r="CR117" s="9" t="str">
        <f aca="false">IF($BW117="","",$A117)</f>
        <v/>
      </c>
      <c r="CS117" s="9" t="str">
        <f aca="false">IF($B117="","",IF(Setup!$A$37="",0,IF(ISNUMBER(SEARCH(Setup!$A$37,$B117)),37,0)))</f>
        <v/>
      </c>
      <c r="CT117" s="9" t="str">
        <f aca="false">IF($B117="","",IF(Setup!$A$38="",0,IF(ISNUMBER(SEARCH(Setup!$A$38,$B117)),38,0)))</f>
        <v/>
      </c>
      <c r="CU117" s="9" t="str">
        <f aca="false">IF($B117="","",IF(Setup!$A$39="",0,IF(ISNUMBER(SEARCH(Setup!$A$39,$B117)),39,0)))</f>
        <v/>
      </c>
      <c r="CV117" s="9" t="str">
        <f aca="false">IF($B117="","",IF(Setup!$A$40="",0,IF(ISNUMBER(SEARCH(Setup!$A$40,$B117)),40,0)))</f>
        <v/>
      </c>
      <c r="CW117" s="9" t="str">
        <f aca="false">IF($B117="","",IF(Setup!$A$41="",0,IF(ISNUMBER(SEARCH(Setup!$A$41,$B117)),41,0)))</f>
        <v/>
      </c>
      <c r="CX117" s="9" t="str">
        <f aca="false">IF($B117="","",IF(Setup!$A$42="",0,IF(ISNUMBER(SEARCH(Setup!$A$42,$B117)),42,0)))</f>
        <v/>
      </c>
      <c r="CY117" s="9" t="str">
        <f aca="false">IF($B117="","",IF(Setup!$A$43="",0,IF(ISNUMBER(SEARCH(Setup!$A$43,$B117)),43,0)))</f>
        <v/>
      </c>
      <c r="CZ117" s="9" t="str">
        <f aca="false">IF($B117="","",IF(Setup!$A$44="",0,IF(ISNUMBER(SEARCH(Setup!$A$44,$B117)),44,0)))</f>
        <v/>
      </c>
      <c r="DA117" s="9" t="str">
        <f aca="false">IF($B117="","",IF(Setup!$A$45="",0,IF(ISNUMBER(SEARCH(Setup!$A$45,$B117)),45,0)))</f>
        <v/>
      </c>
      <c r="DB117" s="9" t="str">
        <f aca="false">IF($B117="","",IF(Setup!$A$46="",0,IF(ISNUMBER(SEARCH(Setup!$A$46,$B117)),46,0)))</f>
        <v/>
      </c>
      <c r="DC117" s="9" t="str">
        <f aca="false">IF($B117="","",IF(Setup!$A$47="",0,IF(ISNUMBER(SEARCH(Setup!$A$47,$B117)),47,0)))</f>
        <v/>
      </c>
      <c r="DD117" s="9" t="str">
        <f aca="false">IF($B117="","",IF(Setup!$A$48="",0,IF(ISNUMBER(SEARCH(Setup!$A$48,$B117)),48,0)))</f>
        <v/>
      </c>
      <c r="DE117" s="9" t="str">
        <f aca="false">IF($B117="","",IF(Setup!$A$49="",0,IF(ISNUMBER(SEARCH(Setup!$A$49,$B117)),49,0)))</f>
        <v/>
      </c>
      <c r="DF117" s="9" t="e">
        <f aca="false">IF($B117="",NA(),$A117)</f>
        <v>#N/A</v>
      </c>
      <c r="DG117" s="9" t="e">
        <f aca="false">IF($BI117="",NA(),$BI117)</f>
        <v>#N/A</v>
      </c>
      <c r="DH117" s="9" t="e">
        <f aca="false">IF($N117="",NA(),$N117)</f>
        <v>#N/A</v>
      </c>
      <c r="DI117" s="9" t="e">
        <f aca="false">IF(AND($D117="Drift",$N117&lt;&gt;""),$N117,NA())</f>
        <v>#N/A</v>
      </c>
      <c r="DJ117" s="9" t="str">
        <f aca="false">IF(AND($D117="Drift",$N117&lt;&gt;""),$N117,"")</f>
        <v/>
      </c>
      <c r="DK117" s="9" t="str">
        <f aca="false">IF($DJ117="","",$A117)</f>
        <v/>
      </c>
      <c r="DL117" s="9" t="e">
        <f aca="false">IF($AN117="",NA(),$AM117)</f>
        <v>#N/A</v>
      </c>
      <c r="DM117" s="9" t="e">
        <f aca="false">IF($AN117="",NA(),$AN117)</f>
        <v>#N/A</v>
      </c>
      <c r="DN117" s="9" t="e">
        <f aca="false">IF(AND($D117="Sample",$L117&lt;&gt;""),$L117,NA())</f>
        <v>#N/A</v>
      </c>
      <c r="DO117" s="9" t="e">
        <f aca="false">IF(AND($D117="Sample",$L117&lt;&gt;"",Fits!$B$98&lt;&gt;""),Fits!$B$98,NA())</f>
        <v>#N/A</v>
      </c>
      <c r="DP117" s="9" t="e">
        <f aca="false">IF($AS117="",NA(),$AS117)</f>
        <v>#N/A</v>
      </c>
      <c r="DQ117" s="9" t="e">
        <f aca="false">IF(AND($D117="Drift",$AS117="",$X117&lt;&gt;""),$X117,NA())</f>
        <v>#N/A</v>
      </c>
      <c r="DR117" s="9" t="e">
        <f aca="false">IF(AND($D117="Drift",$Z117&lt;&gt;""),$Z117,NA())</f>
        <v>#N/A</v>
      </c>
      <c r="DS117" s="9" t="e">
        <f aca="false">IF(AND(OR($D117="Sample",$D117="Check"),$AA117&lt;&gt;""),$AA117,NA())</f>
        <v>#N/A</v>
      </c>
      <c r="DT117" s="9" t="e">
        <f aca="false">IF(OR($B117="",Fits!$B$138=""),NA(),Fits!$B$138)</f>
        <v>#N/A</v>
      </c>
      <c r="DU117" s="9" t="e">
        <f aca="false">IF(OR($B117="",Fits!$B$139=""),NA(),Fits!$B$139)</f>
        <v>#N/A</v>
      </c>
      <c r="DV117" s="9" t="e">
        <f aca="false">IF($BT117="",NA(),$BT117)</f>
        <v>#N/A</v>
      </c>
      <c r="DW117" s="9" t="e">
        <f aca="false">IF($AP117="",NA(),$AO117)</f>
        <v>#N/A</v>
      </c>
      <c r="DX117" s="9" t="e">
        <f aca="false">IF($AP117="",NA(),$AP117)</f>
        <v>#N/A</v>
      </c>
      <c r="DY117" s="9" t="e">
        <f aca="false">IF(AND($D117="Sample",$P117&lt;&gt;""),$P117,NA())</f>
        <v>#N/A</v>
      </c>
      <c r="DZ117" s="9" t="e">
        <f aca="false">IF(AND($D117="Sample",$P117&lt;&gt;"",Fits!$B$105&lt;&gt;""),Fits!$B$105,NA())</f>
        <v>#N/A</v>
      </c>
      <c r="EA117" s="9" t="e">
        <f aca="false">IF($AT117="",NA(),$AT117)</f>
        <v>#N/A</v>
      </c>
      <c r="EB117" s="9" t="e">
        <f aca="false">IF(AND($D117="Drift",$AT117="",$AC117&lt;&gt;""),$AC117,NA())</f>
        <v>#N/A</v>
      </c>
      <c r="EC117" s="9" t="e">
        <f aca="false">IF(AND($D117="Drift",$AE117&lt;&gt;""),$AE117,NA())</f>
        <v>#N/A</v>
      </c>
      <c r="ED117" s="9" t="e">
        <f aca="false">IF(AND(OR($D117="Sample",$D117="Check"),$AF117&lt;&gt;""),$AF117,NA())</f>
        <v>#N/A</v>
      </c>
      <c r="EE117" s="9" t="e">
        <f aca="false">IF(OR($B117="",Fits!$B$158=""),NA(),Fits!$B$158)</f>
        <v>#N/A</v>
      </c>
      <c r="EF117" s="9" t="e">
        <f aca="false">IF(OR($B117="",Fits!$B$159=""),NA(),Fits!$B$159)</f>
        <v>#N/A</v>
      </c>
      <c r="EG117" s="9" t="e">
        <f aca="false">IF($BW117="",NA(),$BW117)</f>
        <v>#N/A</v>
      </c>
      <c r="EH117" s="9" t="e">
        <f aca="false">IF(AND($EN117=1,ISNUMBER($N117)),$N117,NA())</f>
        <v>#N/A</v>
      </c>
      <c r="EI117" s="9" t="str">
        <f aca="false">IF($B117="","",$A117)</f>
        <v/>
      </c>
      <c r="EJ117" s="9" t="n">
        <f aca="false">IF(OR(AND(ISNUMBER($L117),Fits!$B$97&gt;0,$L117&gt;Fits!$B$97),AND(ISNUMBER($P117),Fits!$B$104&gt;0,$P117&gt;Fits!$B$104)),1,0)</f>
        <v>0</v>
      </c>
      <c r="EK117" s="9" t="n">
        <f aca="false">IF(OR($EJ116=1,$EJ115=1),1,0)</f>
        <v>0</v>
      </c>
      <c r="EL117" s="22" t="n">
        <f aca="false">IF(AND($EK117=0,ISNUMBER($N117)),$N117,$EL116)</f>
        <v>25.7</v>
      </c>
      <c r="EM117" s="9" t="str">
        <f aca="false">IF(AND($EK117=1,ISNUMBER($N117),ISNUMBER($EL117)),$N117-$EL117,"")</f>
        <v/>
      </c>
      <c r="EN117" s="9" t="n">
        <f aca="false">IF(Setup!$B$28="",0,IF(ISNUMBER($EM117),IF($EM117&gt;Setup!$B$28,1,0),0))</f>
        <v>0</v>
      </c>
      <c r="EO117" s="9" t="str">
        <f aca="false">IF($EN117=1,COUNTIF($EN$6:$EN117,1),"")</f>
        <v/>
      </c>
      <c r="EP117" s="9" t="n">
        <f aca="false">IF(AND($EJ116=1,OR($D117="Sample",$D117="Check")),1,0)</f>
        <v>0</v>
      </c>
      <c r="EQ117" s="9" t="str">
        <f aca="false">IF(ISNUMBER($BI117),IF(COUNT($BI$6:$BI117)&lt;=5,$BI117,""),"")</f>
        <v/>
      </c>
      <c r="ER117" s="9" t="n">
        <f aca="false">IF(OR(NOT(ISNUMBER($BJ117)),$EK117=1),$ER116,IF($BJ117&lt;=Setup!$B$26,IF($CP116=0,$A117,$ER116),""))</f>
        <v>27</v>
      </c>
    </row>
    <row r="118" customFormat="false" ht="15" hidden="false" customHeight="false" outlineLevel="0" collapsed="false">
      <c r="A118" s="8" t="n">
        <v>113</v>
      </c>
      <c r="B118" s="8" t="str">
        <f aca="false">IFERROR(INDEX(Raw!$B$2:$B$1001,MATCH($A118,Raw!$A$2:$A$1001,0)),"")</f>
        <v/>
      </c>
      <c r="C118" s="9" t="str">
        <f aca="false">IF($B118="","",MAX($CS118:$DE118))</f>
        <v/>
      </c>
      <c r="D118" s="8" t="str">
        <f aca="false">IF($B118="","",IF($C118=0,"Sample",INDEX(Setup!$B$37:$B$49,$C118-36)))</f>
        <v/>
      </c>
      <c r="E118" s="16" t="str">
        <f aca="false">IF($B118="","",IFERROR(IF(INDEX(Raw!$E$2:$E$1001,MATCH($A118,Raw!$A$2:$A$1001,0))=0,"",INDEX(Raw!$E$2:$E$1001,MATCH($A118,Raw!$A$2:$A$1001,0))),""))</f>
        <v/>
      </c>
      <c r="F118" s="18"/>
      <c r="G118" s="16" t="str">
        <f aca="false">IF($B118="","",IF($F118&lt;&gt;"",$F118,IF($E118="","",$E118)))</f>
        <v/>
      </c>
      <c r="H118" s="9" t="str">
        <f aca="false">IF($B118="","",SUMPRODUCT(MAX((Raw!$A$2:$A$1001=$A118)*(Raw!$R$2:$R$1001="N")*Raw!$D$2:$D$1001)))</f>
        <v/>
      </c>
      <c r="I118" s="9" t="str">
        <f aca="false">IF(OR($H118="",$H118=0),"",$A118&amp;"|N|"&amp;$H118)</f>
        <v/>
      </c>
      <c r="J118" s="9" t="str">
        <f aca="false">IF($B118="","",SUMPRODUCT(MIN((Raw!$A$2:$A$1001=$A118)*(Raw!$R$2:$R$1001="C")*Raw!$D$2:$D$1001+(1-(Raw!$A$2:$A$1001=$A118)*(Raw!$R$2:$R$1001="C"))*9999)))</f>
        <v/>
      </c>
      <c r="K118" s="9" t="str">
        <f aca="false">IF(OR($J118="",$J118=0,$J118=9999),"",$A118&amp;"|C|"&amp;$J118)</f>
        <v/>
      </c>
      <c r="L118" s="16" t="str">
        <f aca="false">IF($I118="","",IF(INDEX(Raw!$I$2:$I$1001,MATCH($I118,Raw!$S$2:$S$1001,0))&lt;&gt;0,"",INDEX(Raw!$H$2:$H$1001,MATCH($I118,Raw!$S$2:$S$1001,0))))</f>
        <v/>
      </c>
      <c r="M118" s="19" t="str">
        <f aca="false">IF($I118="","",IF(INDEX(Raw!$I$2:$I$1001,MATCH($I118,Raw!$S$2:$S$1001,0))&lt;&gt;0,"",INDEX(Raw!$F$2:$F$1001,MATCH($I118,Raw!$S$2:$S$1001,0))))</f>
        <v/>
      </c>
      <c r="N118" s="20" t="str">
        <f aca="false">IF($I118="","",IF(INDEX(Raw!$I$2:$I$1001,MATCH($I118,Raw!$S$2:$S$1001,0))&lt;&gt;0,"",INDEX(Raw!$G$2:$G$1001,MATCH($I118,Raw!$S$2:$S$1001,0))))</f>
        <v/>
      </c>
      <c r="O118" s="16" t="str">
        <f aca="false">IF($I118="","",IF(INDEX(Raw!$I$2:$I$1001,MATCH($I118,Raw!$S$2:$S$1001,0))&lt;&gt;0,"",INDEX(Raw!$N$2:$N$1001,MATCH($I118,Raw!$S$2:$S$1001,0))))</f>
        <v/>
      </c>
      <c r="P118" s="16" t="str">
        <f aca="false">IF($K118="","",IF(INDEX(Raw!$I$2:$I$1001,MATCH($K118,Raw!$S$2:$S$1001,0))&lt;&gt;0,"",INDEX(Raw!$K$2:$K$1001,MATCH($K118,Raw!$S$2:$S$1001,0))))</f>
        <v/>
      </c>
      <c r="Q118" s="19" t="str">
        <f aca="false">IF($K118="","",IF(INDEX(Raw!$I$2:$I$1001,MATCH($K118,Raw!$S$2:$S$1001,0))&lt;&gt;0,"",INDEX(Raw!$J$2:$J$1001,MATCH($K118,Raw!$S$2:$S$1001,0))))</f>
        <v/>
      </c>
      <c r="R118" s="16" t="str">
        <f aca="false">IF($K118="","",IF(INDEX(Raw!$I$2:$I$1001,MATCH($K118,Raw!$S$2:$S$1001,0))&lt;&gt;0,"",INDEX(Raw!$O$2:$O$1001,MATCH($K118,Raw!$S$2:$S$1001,0))))</f>
        <v/>
      </c>
      <c r="S118" s="21" t="str">
        <f aca="false">IF($B118="","",IF($C118=0,"",IF(INDEX(Setup!$D$37:$D$49,$C118-36)="","",INDEX(Setup!$D$37:$D$49,$C118-36))))</f>
        <v/>
      </c>
      <c r="T118" s="21" t="str">
        <f aca="false">IF($B118="","",IF($C118=0,"",IF(INDEX(Setup!$C$37:$C$49,$C118-36)="","",INDEX(Setup!$C$37:$C$49,$C118-36))))</f>
        <v/>
      </c>
      <c r="U118" s="21" t="str">
        <f aca="false">IF($B118="","",IF($C118=0,"",IF(INDEX(Setup!$F$37:$F$49,$C118-36)="","",INDEX(Setup!$F$37:$F$49,$C118-36))))</f>
        <v/>
      </c>
      <c r="V118" s="21" t="str">
        <f aca="false">IF($B118="","",IF($C118=0,"",IF(INDEX(Setup!$E$37:$E$49,$C118-36)="","",INDEX(Setup!$E$37:$E$49,$C118-36))))</f>
        <v/>
      </c>
      <c r="W118" s="16" t="str">
        <f aca="false">IF($O118="","",IF(OR(Fits!$C$5&lt;&gt;"Yes",$D118="Blank",$L118&lt;=Fits!$B$6),$O118,($L118*$O118-Fits!$B$6*Fits!$B$7)/($L118-Fits!$B$6)))</f>
        <v/>
      </c>
      <c r="X118" s="16" t="str">
        <f aca="false">IF($W118="","",$W118-Fits!$B$20*($L118-Fits!$B$16))</f>
        <v/>
      </c>
      <c r="Y118" s="22" t="str">
        <f aca="false">IF($W118="","",IF(OR(Fits!$B$38="Row",$BI118=""),$A118,$BI118))</f>
        <v/>
      </c>
      <c r="Z118" s="16" t="str">
        <f aca="false">IF($X118="","",$X118-Fits!$B$39*($Y118-Fits!$B$40))</f>
        <v/>
      </c>
      <c r="AA118" s="23" t="str">
        <f aca="false">IF(OR($Z118="",Fits!$B$55&lt;2),"",Fits!$B$56*$Z118+Fits!$B$57)</f>
        <v/>
      </c>
      <c r="AB118" s="16" t="str">
        <f aca="false">IF($R118="","",IF(OR(Fits!$C$9&lt;&gt;"Yes",$D118="Blank",$P118&lt;=Fits!$B$10),$R118,($P118*$R118-Fits!$B$10*Fits!$B$11)/($P118-Fits!$B$10)))</f>
        <v/>
      </c>
      <c r="AC118" s="16" t="str">
        <f aca="false">IF($AB118="","",$AB118-Fits!$B$28*($P118-Fits!$B$24))</f>
        <v/>
      </c>
      <c r="AD118" s="22" t="str">
        <f aca="false">IF($AB118="","",IF(OR(Fits!$B$50="Row",$BI118=""),$A118,$BI118))</f>
        <v/>
      </c>
      <c r="AE118" s="16" t="str">
        <f aca="false">IF($AC118="","",$AC118-Fits!$B$51*($AD118-Fits!$B$52))</f>
        <v/>
      </c>
      <c r="AF118" s="23" t="str">
        <f aca="false">IF(OR($AE118="",Fits!$B$62&lt;2),"",Fits!$B$63*$AE118+Fits!$B$64)</f>
        <v/>
      </c>
      <c r="AG118" s="21" t="str">
        <f aca="false">IF(OR($L118="",Fits!$B$69&lt;3),"",($L118-Fits!$B$71)/Fits!$B$70)</f>
        <v/>
      </c>
      <c r="AH118" s="21" t="str">
        <f aca="false">IF(OR($P118="",Fits!$B$75&lt;3),"",($P118-Fits!$B$77)/Fits!$B$76)</f>
        <v/>
      </c>
      <c r="AI118" s="23" t="str">
        <f aca="false">IF(OR($AG118="",$G118="",$G118=0),"",$AG118/($G118*1000)*100)</f>
        <v/>
      </c>
      <c r="AJ118" s="23" t="str">
        <f aca="false">IF(OR($AH118="",$G118="",$G118=0),"",$AH118/($G118*1000)*100)</f>
        <v/>
      </c>
      <c r="AK118" s="23" t="str">
        <f aca="false">IF(OR($AG118="",$AH118="",$AG118&lt;=0),"",($AH118/Setup!$B$52)/($AG118/Setup!$B$53))</f>
        <v/>
      </c>
      <c r="AL118" s="23" t="str">
        <f aca="false">IF(OR($AG118="",$AH118="",$AG118&lt;=0),"",$AH118/$AG118)</f>
        <v/>
      </c>
      <c r="AM118" s="9" t="str">
        <f aca="false">IF($D118="Linearity",IF($L118="","",$L118),"")</f>
        <v/>
      </c>
      <c r="AN118" s="9" t="str">
        <f aca="false">IF($D118="Linearity",IF($W118="","",$W118),"")</f>
        <v/>
      </c>
      <c r="AO118" s="9" t="str">
        <f aca="false">IF($D118="Linearity",IF($P118="","",$P118),"")</f>
        <v/>
      </c>
      <c r="AP118" s="9" t="str">
        <f aca="false">IF($D118="Linearity",IF($AB118="","",$AB118),"")</f>
        <v/>
      </c>
      <c r="AQ118" s="9" t="str">
        <f aca="false">IF($D118="Drift",IF($A118&lt;IF(Setup!$B$14="",0,Setup!$B$14),"",$A118),"")</f>
        <v/>
      </c>
      <c r="AR118" s="9" t="str">
        <f aca="false">IF($D118="Drift",IF($A118&lt;IF(Setup!$B$14="",0,Setup!$B$14),"",IF($BI118="","",$BI118)),"")</f>
        <v/>
      </c>
      <c r="AS118" s="9" t="str">
        <f aca="false">IF($D118="Drift",IF($A118&lt;IF(Setup!$B$14="",0,Setup!$B$14),"",IF(OR($X118="",$BX118=1),"",$X118)),"")</f>
        <v/>
      </c>
      <c r="AT118" s="9" t="str">
        <f aca="false">IF($D118="Drift",IF($A118&lt;IF(Setup!$B$14="",0,Setup!$B$14),"",IF(OR($AC118="",$BY118=1),"",$AC118)),"")</f>
        <v/>
      </c>
      <c r="AU118" s="9" t="str">
        <f aca="false">IF($D118="Anchor",IF(OR($Z118="",$S118=""),"",$Z118),"")</f>
        <v/>
      </c>
      <c r="AV118" s="9" t="str">
        <f aca="false">IF($D118="Anchor",IF(OR($Z118="",$S118=""),"",$S118),"")</f>
        <v/>
      </c>
      <c r="AW118" s="9" t="str">
        <f aca="false">IF($D118="Anchor",IF(OR($AE118="",$T118=""),"",$AE118),"")</f>
        <v/>
      </c>
      <c r="AX118" s="9" t="str">
        <f aca="false">IF($D118="Anchor",IF(OR($AE118="",$T118=""),"",$T118),"")</f>
        <v/>
      </c>
      <c r="AY118" s="9" t="str">
        <f aca="false">IF(OR($D118="Blank",$D118="Exclude",$D118="Sample",$D118="",$G118="",$U118="",$L118=""),"",$G118*1000*$U118/100)</f>
        <v/>
      </c>
      <c r="AZ118" s="9" t="str">
        <f aca="false">IF($AY118="","",$L118)</f>
        <v/>
      </c>
      <c r="BA118" s="9" t="str">
        <f aca="false">IF(OR($D118="Blank",$D118="Exclude",$D118="Sample",$D118="",$G118="",$V118="",$P118=""),"",$G118*1000*$V118/100)</f>
        <v/>
      </c>
      <c r="BB118" s="9" t="str">
        <f aca="false">IF($BA118="","",$P118)</f>
        <v/>
      </c>
      <c r="BC118" s="9" t="str">
        <f aca="false">IF(AND($D118="Blank",$L118&lt;&gt;""),$O118,"")</f>
        <v/>
      </c>
      <c r="BD118" s="9" t="str">
        <f aca="false">IF($BC118="","",$L118)</f>
        <v/>
      </c>
      <c r="BE118" s="9" t="str">
        <f aca="false">IF(AND($D118="Blank",$P118&lt;&gt;""),$R118,"")</f>
        <v/>
      </c>
      <c r="BF118" s="9" t="str">
        <f aca="false">IF($BE118="","",$P118)</f>
        <v/>
      </c>
      <c r="BG118" s="9" t="str">
        <f aca="false">IF(AND($D118="Drift",$BX118&lt;&gt;1),IF($AA118="","",$AA118),"")</f>
        <v/>
      </c>
      <c r="BH118" s="9" t="str">
        <f aca="false">IF(AND($D118="Drift",$BY118&lt;&gt;1),IF($AF118="","",$AF118),"")</f>
        <v/>
      </c>
      <c r="BI118" s="20" t="str">
        <f aca="false">IF($B118="","",IFERROR(INDEX(Raw!$G$2:$G$1001,MATCH($A118&amp;"|N|"&amp;SUMPRODUCT(MAX((Raw!$A$2:$A$1001=$A118)*(Raw!$R$2:$R$1001="N")*(Raw!$I$2:$I$1001=1)*Raw!$D$2:$D$1001)),Raw!$S$2:$S$1001,0)),""))</f>
        <v/>
      </c>
      <c r="BJ118" s="21" t="str">
        <f aca="false">IF(OR($BI118="",Fits!$B$85&lt;=0),"",($BI118-Fits!$B$83)/Fits!$B$85)</f>
        <v/>
      </c>
      <c r="BK118" s="9" t="str">
        <f aca="false">IF($AS118="","",IF($A118&gt;=Fits!$B$86,"",$A118))</f>
        <v/>
      </c>
      <c r="BL118" s="9" t="str">
        <f aca="false">IF($BK118="","",$X118)</f>
        <v/>
      </c>
      <c r="BM118" s="9" t="str">
        <f aca="false">IF($AS118="","",IF($A118&lt;Fits!$B$86,"",$A118))</f>
        <v/>
      </c>
      <c r="BN118" s="9" t="str">
        <f aca="false">IF($BM118="","",$X118)</f>
        <v/>
      </c>
      <c r="BO118" s="9" t="str">
        <f aca="false">IF(AND($D118="Drift",$BX118&lt;&gt;1),IF($O118="","",$O118),"")</f>
        <v/>
      </c>
      <c r="BP118" s="9" t="str">
        <f aca="false">IF(AND($D118="Drift",$BX118&lt;&gt;1),IF($W118="","",$W118),"")</f>
        <v/>
      </c>
      <c r="BQ118" s="9" t="str">
        <f aca="false">IF(AND($D118="Drift",$BX118&lt;&gt;1),IF($X118="","",$X118),"")</f>
        <v/>
      </c>
      <c r="BR118" s="9" t="str">
        <f aca="false">IF(AND($D118="Drift",$BX118&lt;&gt;1),IF($Z118="","",$Z118),"")</f>
        <v/>
      </c>
      <c r="BS118" s="9" t="str">
        <f aca="false">IF(OR($B118="",$H118=""),"",SUMPRODUCT(MIN((Raw!$A$2:$A$1001=$A118)*(Raw!$R$2:$R$1001="N")*(Raw!$I$2:$I$1001=0)*(Raw!$D$2:$D$1001&lt;$H118)*Raw!$D$2:$D$1001+(1-(Raw!$A$2:$A$1001=$A118)*(Raw!$R$2:$R$1001="N")*(Raw!$I$2:$I$1001=0)*(Raw!$D$2:$D$1001&lt;$H118))*9999)))</f>
        <v/>
      </c>
      <c r="BT118" s="16" t="str">
        <f aca="false">IF(OR($BS118="",$BS118=9999,$BS118=0),"",IFERROR(INDEX(Raw!$N$2:$N$1001,MATCH($A118&amp;"|N|"&amp;$BS118,Raw!$S$2:$S$1001,0)),""))</f>
        <v/>
      </c>
      <c r="BU118" s="9" t="str">
        <f aca="false">IF($B118="","",SUMPRODUCT(MIN((Raw!$A$2:$A$1001=$A118)*(Raw!$R$2:$R$1001="C")*(Raw!$I$2:$I$1001=1)*Raw!$D$2:$D$1001+(1-(Raw!$A$2:$A$1001=$A118)*(Raw!$R$2:$R$1001="C")*(Raw!$I$2:$I$1001=1))*9999)))</f>
        <v/>
      </c>
      <c r="BV118" s="9" t="str">
        <f aca="false">IF(OR($BU118="",$BU118=9999),"",SUMPRODUCT(MIN((Raw!$A$2:$A$1001=$A118)*(Raw!$R$2:$R$1001="C")*(Raw!$I$2:$I$1001=0)*(Raw!$D$2:$D$1001&gt;$BU118)*Raw!$D$2:$D$1001+(1-(Raw!$A$2:$A$1001=$A118)*(Raw!$R$2:$R$1001="C")*(Raw!$I$2:$I$1001=0)*(Raw!$D$2:$D$1001&gt;$BU118))*9999)))</f>
        <v/>
      </c>
      <c r="BW118" s="16" t="str">
        <f aca="false">IF(OR($BV118="",$BV118=9999,$BV118=0),"",IFERROR(INDEX(Raw!$O$2:$O$1001,MATCH($A118&amp;"|C|"&amp;$BV118,Raw!$S$2:$S$1001,0)),""))</f>
        <v/>
      </c>
      <c r="BX118" s="9" t="str">
        <f aca="false">IF($B118="","",IF(ISNUMBER(SEARCH(","&amp;$A118&amp;",",","&amp;SUBSTITUTE(Setup!$B$16," ","")&amp;",")),1,0))</f>
        <v/>
      </c>
      <c r="BY118" s="9" t="str">
        <f aca="false">IF($B118="","",IF(ISNUMBER(SEARCH(","&amp;$A118&amp;",",","&amp;SUBSTITUTE(Setup!$B$17," ","")&amp;",")),1,0))</f>
        <v/>
      </c>
      <c r="BZ118" s="22" t="str">
        <f aca="false">IF($AS118="","",IF(Fits!$B$38="Row",$AQ118,IF($AR118="","",$AR118)))</f>
        <v/>
      </c>
      <c r="CA118" s="22" t="str">
        <f aca="false">IF($AT118="","",IF(Fits!$B$50="Row",$AQ118,IF($AR118="","",$AR118)))</f>
        <v/>
      </c>
      <c r="CB118" s="20" t="str">
        <f aca="false">IF(OR($D118&lt;&gt;"Drift",$X118="",$A118&lt;IF(Setup!$B$14="",0,Setup!$B$14),Fits!$B$107&lt;3,Fits!$B$110="",Fits!$B$109=0,IF(Fits!$B$38="Row",$AQ118,$AR118)=""),"",IF($BX118=1,IF(OR(Fits!$B$111="",Fits!$B$111=0),"",($X118-(IF(Fits!$B$38="Row",Fits!$B$32,Fits!$B$35)*IF(Fits!$B$38="Row",$AQ118,$AR118)+Fits!$B$110))/(Fits!$B$111*SQRT(1+(1/Fits!$B$107+(IF(Fits!$B$38="Row",$AQ118,$AR118)-Fits!$B$108)^2/Fits!$B$109)))),IF(OR(Fits!$B$107&lt;4,(1/Fits!$B$107+(IF(Fits!$B$38="Row",$AQ118,$AR118)-Fits!$B$108)^2/Fits!$B$109)&gt;=1),"",IF((Fits!$B$116-($X118-(IF(Fits!$B$38="Row",Fits!$B$32,Fits!$B$35)*IF(Fits!$B$38="Row",$AQ118,$AR118)+Fits!$B$110))^2/(1-(1/Fits!$B$107+(IF(Fits!$B$38="Row",$AQ118,$AR118)-Fits!$B$108)^2/Fits!$B$109)))&lt;=0,"",($X118-(IF(Fits!$B$38="Row",Fits!$B$32,Fits!$B$35)*IF(Fits!$B$38="Row",$AQ118,$AR118)+Fits!$B$110))/(SQRT((Fits!$B$116-($X118-(IF(Fits!$B$38="Row",Fits!$B$32,Fits!$B$35)*IF(Fits!$B$38="Row",$AQ118,$AR118)+Fits!$B$110))^2/(1-(1/Fits!$B$107+(IF(Fits!$B$38="Row",$AQ118,$AR118)-Fits!$B$108)^2/Fits!$B$109)))/(Fits!$B$107-3))*SQRT(1-(1/Fits!$B$107+(IF(Fits!$B$38="Row",$AQ118,$AR118)-Fits!$B$108)^2/Fits!$B$109)))))))</f>
        <v/>
      </c>
      <c r="CC118" s="20" t="str">
        <f aca="false">IF(OR($D118&lt;&gt;"Drift",$AC118="",$A118&lt;IF(Setup!$B$14="",0,Setup!$B$14),Fits!$B$120&lt;3,Fits!$B$123="",Fits!$B$122=0,IF(Fits!$B$50="Row",$AQ118,$AR118)=""),"",IF($BY118=1,IF(OR(Fits!$B$124="",Fits!$B$124=0),"",($AC118-(IF(Fits!$B$50="Row",Fits!$B$44,Fits!$B$47)*IF(Fits!$B$50="Row",$AQ118,$AR118)+Fits!$B$123))/(Fits!$B$124*SQRT(1+(1/Fits!$B$120+(IF(Fits!$B$50="Row",$AQ118,$AR118)-Fits!$B$121)^2/Fits!$B$122)))),IF(OR(Fits!$B$120&lt;4,(1/Fits!$B$120+(IF(Fits!$B$50="Row",$AQ118,$AR118)-Fits!$B$121)^2/Fits!$B$122)&gt;=1),"",IF((Fits!$B$129-($AC118-(IF(Fits!$B$50="Row",Fits!$B$44,Fits!$B$47)*IF(Fits!$B$50="Row",$AQ118,$AR118)+Fits!$B$123))^2/(1-(1/Fits!$B$120+(IF(Fits!$B$50="Row",$AQ118,$AR118)-Fits!$B$121)^2/Fits!$B$122)))&lt;=0,"",($AC118-(IF(Fits!$B$50="Row",Fits!$B$44,Fits!$B$47)*IF(Fits!$B$50="Row",$AQ118,$AR118)+Fits!$B$123))/(SQRT((Fits!$B$129-($AC118-(IF(Fits!$B$50="Row",Fits!$B$44,Fits!$B$47)*IF(Fits!$B$50="Row",$AQ118,$AR118)+Fits!$B$123))^2/(1-(1/Fits!$B$120+(IF(Fits!$B$50="Row",$AQ118,$AR118)-Fits!$B$121)^2/Fits!$B$122)))/(Fits!$B$120-3))*SQRT(1-(1/Fits!$B$120+(IF(Fits!$B$50="Row",$AQ118,$AR118)-Fits!$B$121)^2/Fits!$B$122)))))))</f>
        <v/>
      </c>
      <c r="CD118" s="9" t="str">
        <f aca="false">IF($AU118="","",1)</f>
        <v/>
      </c>
      <c r="CE118" s="24" t="str">
        <f aca="false">IF($AU118="","",$AU118-Fits!$B$133)</f>
        <v/>
      </c>
      <c r="CF118" s="24" t="str">
        <f aca="false">IF($AU118="","",($AV118-(Fits!$B$56*$AU118+Fits!$B$57))-Fits!$B$56*($AU118-Fits!$B$133))</f>
        <v/>
      </c>
      <c r="CG118" s="25" t="str">
        <f aca="false">IF($AU118="","",$AU118^2)</f>
        <v/>
      </c>
      <c r="CH118" s="9" t="str">
        <f aca="false">IF($AW118="","",1)</f>
        <v/>
      </c>
      <c r="CI118" s="24" t="str">
        <f aca="false">IF($AW118="","",$AW118-Fits!$B$153)</f>
        <v/>
      </c>
      <c r="CJ118" s="24" t="str">
        <f aca="false">IF($AW118="","",($AX118-(Fits!$B$63*$AW118+Fits!$B$64))-Fits!$B$63*($AW118-Fits!$B$153))</f>
        <v/>
      </c>
      <c r="CK118" s="25" t="str">
        <f aca="false">IF($AW118="","",$AW118^2)</f>
        <v/>
      </c>
      <c r="CL118" s="26" t="str">
        <f aca="false">IF(OR($Z118="",Fits!$B$55&lt;3,Fits!$B$133="",Fits!$B$134="",Fits!$B$134=0,Fits!$B$136=""),"",SQRT((Fits!$B$136*Fits!$B$56)^2+SUMPRODUCT((Fits!$J$163:$J$175*(Fits!$B$163:$B$175/Fits!$B$55+Fits!$H$163:$H$175*($Z118-Fits!$B$133)/Fits!$B$134))^2)+SUMPRODUCT((Fits!$G$163:$G$175*(($Z118-Fits!$B$133)*Fits!$I$163:$I$175/Fits!$B$134-Fits!$B$163:$B$175*Fits!$B$56/Fits!$B$55))^2)))</f>
        <v/>
      </c>
      <c r="CM118" s="26" t="str">
        <f aca="false">IF($CL118="","",Setup!$B$32*$CL118)</f>
        <v/>
      </c>
      <c r="CN118" s="26" t="str">
        <f aca="false">IF(OR($AE118="",Fits!$B$62&lt;3,Fits!$B$153="",Fits!$B$154="",Fits!$B$154=0,Fits!$B$156=""),"",SQRT((Fits!$B$156*Fits!$B$63)^2+SUMPRODUCT((Fits!$J$183:$J$195*(Fits!$B$183:$B$195/Fits!$B$62+Fits!$H$183:$H$195*($AE118-Fits!$B$153)/Fits!$B$154))^2)+SUMPRODUCT((Fits!$G$183:$G$195*(($AE118-Fits!$B$153)*Fits!$I$183:$I$195/Fits!$B$154-Fits!$B$183:$B$195*Fits!$B$63/Fits!$B$62))^2)))</f>
        <v/>
      </c>
      <c r="CO118" s="26" t="str">
        <f aca="false">IF($CN118="","",Setup!$B$32*$CN118)</f>
        <v/>
      </c>
      <c r="CP118" s="9" t="n">
        <f aca="false">IF(OR(NOT(ISNUMBER($BJ118)),$EK118=1),$CP117,IF($BJ118&lt;=Setup!$B$26,$CP117+1,0))</f>
        <v>26</v>
      </c>
      <c r="CQ118" s="9" t="str">
        <f aca="false">IF($BT118="","",$A118)</f>
        <v/>
      </c>
      <c r="CR118" s="9" t="str">
        <f aca="false">IF($BW118="","",$A118)</f>
        <v/>
      </c>
      <c r="CS118" s="9" t="str">
        <f aca="false">IF($B118="","",IF(Setup!$A$37="",0,IF(ISNUMBER(SEARCH(Setup!$A$37,$B118)),37,0)))</f>
        <v/>
      </c>
      <c r="CT118" s="9" t="str">
        <f aca="false">IF($B118="","",IF(Setup!$A$38="",0,IF(ISNUMBER(SEARCH(Setup!$A$38,$B118)),38,0)))</f>
        <v/>
      </c>
      <c r="CU118" s="9" t="str">
        <f aca="false">IF($B118="","",IF(Setup!$A$39="",0,IF(ISNUMBER(SEARCH(Setup!$A$39,$B118)),39,0)))</f>
        <v/>
      </c>
      <c r="CV118" s="9" t="str">
        <f aca="false">IF($B118="","",IF(Setup!$A$40="",0,IF(ISNUMBER(SEARCH(Setup!$A$40,$B118)),40,0)))</f>
        <v/>
      </c>
      <c r="CW118" s="9" t="str">
        <f aca="false">IF($B118="","",IF(Setup!$A$41="",0,IF(ISNUMBER(SEARCH(Setup!$A$41,$B118)),41,0)))</f>
        <v/>
      </c>
      <c r="CX118" s="9" t="str">
        <f aca="false">IF($B118="","",IF(Setup!$A$42="",0,IF(ISNUMBER(SEARCH(Setup!$A$42,$B118)),42,0)))</f>
        <v/>
      </c>
      <c r="CY118" s="9" t="str">
        <f aca="false">IF($B118="","",IF(Setup!$A$43="",0,IF(ISNUMBER(SEARCH(Setup!$A$43,$B118)),43,0)))</f>
        <v/>
      </c>
      <c r="CZ118" s="9" t="str">
        <f aca="false">IF($B118="","",IF(Setup!$A$44="",0,IF(ISNUMBER(SEARCH(Setup!$A$44,$B118)),44,0)))</f>
        <v/>
      </c>
      <c r="DA118" s="9" t="str">
        <f aca="false">IF($B118="","",IF(Setup!$A$45="",0,IF(ISNUMBER(SEARCH(Setup!$A$45,$B118)),45,0)))</f>
        <v/>
      </c>
      <c r="DB118" s="9" t="str">
        <f aca="false">IF($B118="","",IF(Setup!$A$46="",0,IF(ISNUMBER(SEARCH(Setup!$A$46,$B118)),46,0)))</f>
        <v/>
      </c>
      <c r="DC118" s="9" t="str">
        <f aca="false">IF($B118="","",IF(Setup!$A$47="",0,IF(ISNUMBER(SEARCH(Setup!$A$47,$B118)),47,0)))</f>
        <v/>
      </c>
      <c r="DD118" s="9" t="str">
        <f aca="false">IF($B118="","",IF(Setup!$A$48="",0,IF(ISNUMBER(SEARCH(Setup!$A$48,$B118)),48,0)))</f>
        <v/>
      </c>
      <c r="DE118" s="9" t="str">
        <f aca="false">IF($B118="","",IF(Setup!$A$49="",0,IF(ISNUMBER(SEARCH(Setup!$A$49,$B118)),49,0)))</f>
        <v/>
      </c>
      <c r="DF118" s="9" t="e">
        <f aca="false">IF($B118="",NA(),$A118)</f>
        <v>#N/A</v>
      </c>
      <c r="DG118" s="9" t="e">
        <f aca="false">IF($BI118="",NA(),$BI118)</f>
        <v>#N/A</v>
      </c>
      <c r="DH118" s="9" t="e">
        <f aca="false">IF($N118="",NA(),$N118)</f>
        <v>#N/A</v>
      </c>
      <c r="DI118" s="9" t="e">
        <f aca="false">IF(AND($D118="Drift",$N118&lt;&gt;""),$N118,NA())</f>
        <v>#N/A</v>
      </c>
      <c r="DJ118" s="9" t="str">
        <f aca="false">IF(AND($D118="Drift",$N118&lt;&gt;""),$N118,"")</f>
        <v/>
      </c>
      <c r="DK118" s="9" t="str">
        <f aca="false">IF($DJ118="","",$A118)</f>
        <v/>
      </c>
      <c r="DL118" s="9" t="e">
        <f aca="false">IF($AN118="",NA(),$AM118)</f>
        <v>#N/A</v>
      </c>
      <c r="DM118" s="9" t="e">
        <f aca="false">IF($AN118="",NA(),$AN118)</f>
        <v>#N/A</v>
      </c>
      <c r="DN118" s="9" t="e">
        <f aca="false">IF(AND($D118="Sample",$L118&lt;&gt;""),$L118,NA())</f>
        <v>#N/A</v>
      </c>
      <c r="DO118" s="9" t="e">
        <f aca="false">IF(AND($D118="Sample",$L118&lt;&gt;"",Fits!$B$98&lt;&gt;""),Fits!$B$98,NA())</f>
        <v>#N/A</v>
      </c>
      <c r="DP118" s="9" t="e">
        <f aca="false">IF($AS118="",NA(),$AS118)</f>
        <v>#N/A</v>
      </c>
      <c r="DQ118" s="9" t="e">
        <f aca="false">IF(AND($D118="Drift",$AS118="",$X118&lt;&gt;""),$X118,NA())</f>
        <v>#N/A</v>
      </c>
      <c r="DR118" s="9" t="e">
        <f aca="false">IF(AND($D118="Drift",$Z118&lt;&gt;""),$Z118,NA())</f>
        <v>#N/A</v>
      </c>
      <c r="DS118" s="9" t="e">
        <f aca="false">IF(AND(OR($D118="Sample",$D118="Check"),$AA118&lt;&gt;""),$AA118,NA())</f>
        <v>#N/A</v>
      </c>
      <c r="DT118" s="9" t="e">
        <f aca="false">IF(OR($B118="",Fits!$B$138=""),NA(),Fits!$B$138)</f>
        <v>#N/A</v>
      </c>
      <c r="DU118" s="9" t="e">
        <f aca="false">IF(OR($B118="",Fits!$B$139=""),NA(),Fits!$B$139)</f>
        <v>#N/A</v>
      </c>
      <c r="DV118" s="9" t="e">
        <f aca="false">IF($BT118="",NA(),$BT118)</f>
        <v>#N/A</v>
      </c>
      <c r="DW118" s="9" t="e">
        <f aca="false">IF($AP118="",NA(),$AO118)</f>
        <v>#N/A</v>
      </c>
      <c r="DX118" s="9" t="e">
        <f aca="false">IF($AP118="",NA(),$AP118)</f>
        <v>#N/A</v>
      </c>
      <c r="DY118" s="9" t="e">
        <f aca="false">IF(AND($D118="Sample",$P118&lt;&gt;""),$P118,NA())</f>
        <v>#N/A</v>
      </c>
      <c r="DZ118" s="9" t="e">
        <f aca="false">IF(AND($D118="Sample",$P118&lt;&gt;"",Fits!$B$105&lt;&gt;""),Fits!$B$105,NA())</f>
        <v>#N/A</v>
      </c>
      <c r="EA118" s="9" t="e">
        <f aca="false">IF($AT118="",NA(),$AT118)</f>
        <v>#N/A</v>
      </c>
      <c r="EB118" s="9" t="e">
        <f aca="false">IF(AND($D118="Drift",$AT118="",$AC118&lt;&gt;""),$AC118,NA())</f>
        <v>#N/A</v>
      </c>
      <c r="EC118" s="9" t="e">
        <f aca="false">IF(AND($D118="Drift",$AE118&lt;&gt;""),$AE118,NA())</f>
        <v>#N/A</v>
      </c>
      <c r="ED118" s="9" t="e">
        <f aca="false">IF(AND(OR($D118="Sample",$D118="Check"),$AF118&lt;&gt;""),$AF118,NA())</f>
        <v>#N/A</v>
      </c>
      <c r="EE118" s="9" t="e">
        <f aca="false">IF(OR($B118="",Fits!$B$158=""),NA(),Fits!$B$158)</f>
        <v>#N/A</v>
      </c>
      <c r="EF118" s="9" t="e">
        <f aca="false">IF(OR($B118="",Fits!$B$159=""),NA(),Fits!$B$159)</f>
        <v>#N/A</v>
      </c>
      <c r="EG118" s="9" t="e">
        <f aca="false">IF($BW118="",NA(),$BW118)</f>
        <v>#N/A</v>
      </c>
      <c r="EH118" s="9" t="e">
        <f aca="false">IF(AND($EN118=1,ISNUMBER($N118)),$N118,NA())</f>
        <v>#N/A</v>
      </c>
      <c r="EI118" s="9" t="str">
        <f aca="false">IF($B118="","",$A118)</f>
        <v/>
      </c>
      <c r="EJ118" s="9" t="n">
        <f aca="false">IF(OR(AND(ISNUMBER($L118),Fits!$B$97&gt;0,$L118&gt;Fits!$B$97),AND(ISNUMBER($P118),Fits!$B$104&gt;0,$P118&gt;Fits!$B$104)),1,0)</f>
        <v>0</v>
      </c>
      <c r="EK118" s="9" t="n">
        <f aca="false">IF(OR($EJ117=1,$EJ116=1),1,0)</f>
        <v>0</v>
      </c>
      <c r="EL118" s="22" t="n">
        <f aca="false">IF(AND($EK118=0,ISNUMBER($N118)),$N118,$EL117)</f>
        <v>25.7</v>
      </c>
      <c r="EM118" s="9" t="str">
        <f aca="false">IF(AND($EK118=1,ISNUMBER($N118),ISNUMBER($EL118)),$N118-$EL118,"")</f>
        <v/>
      </c>
      <c r="EN118" s="9" t="n">
        <f aca="false">IF(Setup!$B$28="",0,IF(ISNUMBER($EM118),IF($EM118&gt;Setup!$B$28,1,0),0))</f>
        <v>0</v>
      </c>
      <c r="EO118" s="9" t="str">
        <f aca="false">IF($EN118=1,COUNTIF($EN$6:$EN118,1),"")</f>
        <v/>
      </c>
      <c r="EP118" s="9" t="n">
        <f aca="false">IF(AND($EJ117=1,OR($D118="Sample",$D118="Check")),1,0)</f>
        <v>0</v>
      </c>
      <c r="EQ118" s="9" t="str">
        <f aca="false">IF(ISNUMBER($BI118),IF(COUNT($BI$6:$BI118)&lt;=5,$BI118,""),"")</f>
        <v/>
      </c>
      <c r="ER118" s="9" t="n">
        <f aca="false">IF(OR(NOT(ISNUMBER($BJ118)),$EK118=1),$ER117,IF($BJ118&lt;=Setup!$B$26,IF($CP117=0,$A118,$ER117),""))</f>
        <v>27</v>
      </c>
    </row>
    <row r="119" customFormat="false" ht="15" hidden="false" customHeight="false" outlineLevel="0" collapsed="false">
      <c r="A119" s="8" t="n">
        <v>114</v>
      </c>
      <c r="B119" s="8" t="str">
        <f aca="false">IFERROR(INDEX(Raw!$B$2:$B$1001,MATCH($A119,Raw!$A$2:$A$1001,0)),"")</f>
        <v/>
      </c>
      <c r="C119" s="9" t="str">
        <f aca="false">IF($B119="","",MAX($CS119:$DE119))</f>
        <v/>
      </c>
      <c r="D119" s="8" t="str">
        <f aca="false">IF($B119="","",IF($C119=0,"Sample",INDEX(Setup!$B$37:$B$49,$C119-36)))</f>
        <v/>
      </c>
      <c r="E119" s="16" t="str">
        <f aca="false">IF($B119="","",IFERROR(IF(INDEX(Raw!$E$2:$E$1001,MATCH($A119,Raw!$A$2:$A$1001,0))=0,"",INDEX(Raw!$E$2:$E$1001,MATCH($A119,Raw!$A$2:$A$1001,0))),""))</f>
        <v/>
      </c>
      <c r="F119" s="18"/>
      <c r="G119" s="16" t="str">
        <f aca="false">IF($B119="","",IF($F119&lt;&gt;"",$F119,IF($E119="","",$E119)))</f>
        <v/>
      </c>
      <c r="H119" s="9" t="str">
        <f aca="false">IF($B119="","",SUMPRODUCT(MAX((Raw!$A$2:$A$1001=$A119)*(Raw!$R$2:$R$1001="N")*Raw!$D$2:$D$1001)))</f>
        <v/>
      </c>
      <c r="I119" s="9" t="str">
        <f aca="false">IF(OR($H119="",$H119=0),"",$A119&amp;"|N|"&amp;$H119)</f>
        <v/>
      </c>
      <c r="J119" s="9" t="str">
        <f aca="false">IF($B119="","",SUMPRODUCT(MIN((Raw!$A$2:$A$1001=$A119)*(Raw!$R$2:$R$1001="C")*Raw!$D$2:$D$1001+(1-(Raw!$A$2:$A$1001=$A119)*(Raw!$R$2:$R$1001="C"))*9999)))</f>
        <v/>
      </c>
      <c r="K119" s="9" t="str">
        <f aca="false">IF(OR($J119="",$J119=0,$J119=9999),"",$A119&amp;"|C|"&amp;$J119)</f>
        <v/>
      </c>
      <c r="L119" s="16" t="str">
        <f aca="false">IF($I119="","",IF(INDEX(Raw!$I$2:$I$1001,MATCH($I119,Raw!$S$2:$S$1001,0))&lt;&gt;0,"",INDEX(Raw!$H$2:$H$1001,MATCH($I119,Raw!$S$2:$S$1001,0))))</f>
        <v/>
      </c>
      <c r="M119" s="19" t="str">
        <f aca="false">IF($I119="","",IF(INDEX(Raw!$I$2:$I$1001,MATCH($I119,Raw!$S$2:$S$1001,0))&lt;&gt;0,"",INDEX(Raw!$F$2:$F$1001,MATCH($I119,Raw!$S$2:$S$1001,0))))</f>
        <v/>
      </c>
      <c r="N119" s="20" t="str">
        <f aca="false">IF($I119="","",IF(INDEX(Raw!$I$2:$I$1001,MATCH($I119,Raw!$S$2:$S$1001,0))&lt;&gt;0,"",INDEX(Raw!$G$2:$G$1001,MATCH($I119,Raw!$S$2:$S$1001,0))))</f>
        <v/>
      </c>
      <c r="O119" s="16" t="str">
        <f aca="false">IF($I119="","",IF(INDEX(Raw!$I$2:$I$1001,MATCH($I119,Raw!$S$2:$S$1001,0))&lt;&gt;0,"",INDEX(Raw!$N$2:$N$1001,MATCH($I119,Raw!$S$2:$S$1001,0))))</f>
        <v/>
      </c>
      <c r="P119" s="16" t="str">
        <f aca="false">IF($K119="","",IF(INDEX(Raw!$I$2:$I$1001,MATCH($K119,Raw!$S$2:$S$1001,0))&lt;&gt;0,"",INDEX(Raw!$K$2:$K$1001,MATCH($K119,Raw!$S$2:$S$1001,0))))</f>
        <v/>
      </c>
      <c r="Q119" s="19" t="str">
        <f aca="false">IF($K119="","",IF(INDEX(Raw!$I$2:$I$1001,MATCH($K119,Raw!$S$2:$S$1001,0))&lt;&gt;0,"",INDEX(Raw!$J$2:$J$1001,MATCH($K119,Raw!$S$2:$S$1001,0))))</f>
        <v/>
      </c>
      <c r="R119" s="16" t="str">
        <f aca="false">IF($K119="","",IF(INDEX(Raw!$I$2:$I$1001,MATCH($K119,Raw!$S$2:$S$1001,0))&lt;&gt;0,"",INDEX(Raw!$O$2:$O$1001,MATCH($K119,Raw!$S$2:$S$1001,0))))</f>
        <v/>
      </c>
      <c r="S119" s="21" t="str">
        <f aca="false">IF($B119="","",IF($C119=0,"",IF(INDEX(Setup!$D$37:$D$49,$C119-36)="","",INDEX(Setup!$D$37:$D$49,$C119-36))))</f>
        <v/>
      </c>
      <c r="T119" s="21" t="str">
        <f aca="false">IF($B119="","",IF($C119=0,"",IF(INDEX(Setup!$C$37:$C$49,$C119-36)="","",INDEX(Setup!$C$37:$C$49,$C119-36))))</f>
        <v/>
      </c>
      <c r="U119" s="21" t="str">
        <f aca="false">IF($B119="","",IF($C119=0,"",IF(INDEX(Setup!$F$37:$F$49,$C119-36)="","",INDEX(Setup!$F$37:$F$49,$C119-36))))</f>
        <v/>
      </c>
      <c r="V119" s="21" t="str">
        <f aca="false">IF($B119="","",IF($C119=0,"",IF(INDEX(Setup!$E$37:$E$49,$C119-36)="","",INDEX(Setup!$E$37:$E$49,$C119-36))))</f>
        <v/>
      </c>
      <c r="W119" s="16" t="str">
        <f aca="false">IF($O119="","",IF(OR(Fits!$C$5&lt;&gt;"Yes",$D119="Blank",$L119&lt;=Fits!$B$6),$O119,($L119*$O119-Fits!$B$6*Fits!$B$7)/($L119-Fits!$B$6)))</f>
        <v/>
      </c>
      <c r="X119" s="16" t="str">
        <f aca="false">IF($W119="","",$W119-Fits!$B$20*($L119-Fits!$B$16))</f>
        <v/>
      </c>
      <c r="Y119" s="22" t="str">
        <f aca="false">IF($W119="","",IF(OR(Fits!$B$38="Row",$BI119=""),$A119,$BI119))</f>
        <v/>
      </c>
      <c r="Z119" s="16" t="str">
        <f aca="false">IF($X119="","",$X119-Fits!$B$39*($Y119-Fits!$B$40))</f>
        <v/>
      </c>
      <c r="AA119" s="23" t="str">
        <f aca="false">IF(OR($Z119="",Fits!$B$55&lt;2),"",Fits!$B$56*$Z119+Fits!$B$57)</f>
        <v/>
      </c>
      <c r="AB119" s="16" t="str">
        <f aca="false">IF($R119="","",IF(OR(Fits!$C$9&lt;&gt;"Yes",$D119="Blank",$P119&lt;=Fits!$B$10),$R119,($P119*$R119-Fits!$B$10*Fits!$B$11)/($P119-Fits!$B$10)))</f>
        <v/>
      </c>
      <c r="AC119" s="16" t="str">
        <f aca="false">IF($AB119="","",$AB119-Fits!$B$28*($P119-Fits!$B$24))</f>
        <v/>
      </c>
      <c r="AD119" s="22" t="str">
        <f aca="false">IF($AB119="","",IF(OR(Fits!$B$50="Row",$BI119=""),$A119,$BI119))</f>
        <v/>
      </c>
      <c r="AE119" s="16" t="str">
        <f aca="false">IF($AC119="","",$AC119-Fits!$B$51*($AD119-Fits!$B$52))</f>
        <v/>
      </c>
      <c r="AF119" s="23" t="str">
        <f aca="false">IF(OR($AE119="",Fits!$B$62&lt;2),"",Fits!$B$63*$AE119+Fits!$B$64)</f>
        <v/>
      </c>
      <c r="AG119" s="21" t="str">
        <f aca="false">IF(OR($L119="",Fits!$B$69&lt;3),"",($L119-Fits!$B$71)/Fits!$B$70)</f>
        <v/>
      </c>
      <c r="AH119" s="21" t="str">
        <f aca="false">IF(OR($P119="",Fits!$B$75&lt;3),"",($P119-Fits!$B$77)/Fits!$B$76)</f>
        <v/>
      </c>
      <c r="AI119" s="23" t="str">
        <f aca="false">IF(OR($AG119="",$G119="",$G119=0),"",$AG119/($G119*1000)*100)</f>
        <v/>
      </c>
      <c r="AJ119" s="23" t="str">
        <f aca="false">IF(OR($AH119="",$G119="",$G119=0),"",$AH119/($G119*1000)*100)</f>
        <v/>
      </c>
      <c r="AK119" s="23" t="str">
        <f aca="false">IF(OR($AG119="",$AH119="",$AG119&lt;=0),"",($AH119/Setup!$B$52)/($AG119/Setup!$B$53))</f>
        <v/>
      </c>
      <c r="AL119" s="23" t="str">
        <f aca="false">IF(OR($AG119="",$AH119="",$AG119&lt;=0),"",$AH119/$AG119)</f>
        <v/>
      </c>
      <c r="AM119" s="9" t="str">
        <f aca="false">IF($D119="Linearity",IF($L119="","",$L119),"")</f>
        <v/>
      </c>
      <c r="AN119" s="9" t="str">
        <f aca="false">IF($D119="Linearity",IF($W119="","",$W119),"")</f>
        <v/>
      </c>
      <c r="AO119" s="9" t="str">
        <f aca="false">IF($D119="Linearity",IF($P119="","",$P119),"")</f>
        <v/>
      </c>
      <c r="AP119" s="9" t="str">
        <f aca="false">IF($D119="Linearity",IF($AB119="","",$AB119),"")</f>
        <v/>
      </c>
      <c r="AQ119" s="9" t="str">
        <f aca="false">IF($D119="Drift",IF($A119&lt;IF(Setup!$B$14="",0,Setup!$B$14),"",$A119),"")</f>
        <v/>
      </c>
      <c r="AR119" s="9" t="str">
        <f aca="false">IF($D119="Drift",IF($A119&lt;IF(Setup!$B$14="",0,Setup!$B$14),"",IF($BI119="","",$BI119)),"")</f>
        <v/>
      </c>
      <c r="AS119" s="9" t="str">
        <f aca="false">IF($D119="Drift",IF($A119&lt;IF(Setup!$B$14="",0,Setup!$B$14),"",IF(OR($X119="",$BX119=1),"",$X119)),"")</f>
        <v/>
      </c>
      <c r="AT119" s="9" t="str">
        <f aca="false">IF($D119="Drift",IF($A119&lt;IF(Setup!$B$14="",0,Setup!$B$14),"",IF(OR($AC119="",$BY119=1),"",$AC119)),"")</f>
        <v/>
      </c>
      <c r="AU119" s="9" t="str">
        <f aca="false">IF($D119="Anchor",IF(OR($Z119="",$S119=""),"",$Z119),"")</f>
        <v/>
      </c>
      <c r="AV119" s="9" t="str">
        <f aca="false">IF($D119="Anchor",IF(OR($Z119="",$S119=""),"",$S119),"")</f>
        <v/>
      </c>
      <c r="AW119" s="9" t="str">
        <f aca="false">IF($D119="Anchor",IF(OR($AE119="",$T119=""),"",$AE119),"")</f>
        <v/>
      </c>
      <c r="AX119" s="9" t="str">
        <f aca="false">IF($D119="Anchor",IF(OR($AE119="",$T119=""),"",$T119),"")</f>
        <v/>
      </c>
      <c r="AY119" s="9" t="str">
        <f aca="false">IF(OR($D119="Blank",$D119="Exclude",$D119="Sample",$D119="",$G119="",$U119="",$L119=""),"",$G119*1000*$U119/100)</f>
        <v/>
      </c>
      <c r="AZ119" s="9" t="str">
        <f aca="false">IF($AY119="","",$L119)</f>
        <v/>
      </c>
      <c r="BA119" s="9" t="str">
        <f aca="false">IF(OR($D119="Blank",$D119="Exclude",$D119="Sample",$D119="",$G119="",$V119="",$P119=""),"",$G119*1000*$V119/100)</f>
        <v/>
      </c>
      <c r="BB119" s="9" t="str">
        <f aca="false">IF($BA119="","",$P119)</f>
        <v/>
      </c>
      <c r="BC119" s="9" t="str">
        <f aca="false">IF(AND($D119="Blank",$L119&lt;&gt;""),$O119,"")</f>
        <v/>
      </c>
      <c r="BD119" s="9" t="str">
        <f aca="false">IF($BC119="","",$L119)</f>
        <v/>
      </c>
      <c r="BE119" s="9" t="str">
        <f aca="false">IF(AND($D119="Blank",$P119&lt;&gt;""),$R119,"")</f>
        <v/>
      </c>
      <c r="BF119" s="9" t="str">
        <f aca="false">IF($BE119="","",$P119)</f>
        <v/>
      </c>
      <c r="BG119" s="9" t="str">
        <f aca="false">IF(AND($D119="Drift",$BX119&lt;&gt;1),IF($AA119="","",$AA119),"")</f>
        <v/>
      </c>
      <c r="BH119" s="9" t="str">
        <f aca="false">IF(AND($D119="Drift",$BY119&lt;&gt;1),IF($AF119="","",$AF119),"")</f>
        <v/>
      </c>
      <c r="BI119" s="20" t="str">
        <f aca="false">IF($B119="","",IFERROR(INDEX(Raw!$G$2:$G$1001,MATCH($A119&amp;"|N|"&amp;SUMPRODUCT(MAX((Raw!$A$2:$A$1001=$A119)*(Raw!$R$2:$R$1001="N")*(Raw!$I$2:$I$1001=1)*Raw!$D$2:$D$1001)),Raw!$S$2:$S$1001,0)),""))</f>
        <v/>
      </c>
      <c r="BJ119" s="21" t="str">
        <f aca="false">IF(OR($BI119="",Fits!$B$85&lt;=0),"",($BI119-Fits!$B$83)/Fits!$B$85)</f>
        <v/>
      </c>
      <c r="BK119" s="9" t="str">
        <f aca="false">IF($AS119="","",IF($A119&gt;=Fits!$B$86,"",$A119))</f>
        <v/>
      </c>
      <c r="BL119" s="9" t="str">
        <f aca="false">IF($BK119="","",$X119)</f>
        <v/>
      </c>
      <c r="BM119" s="9" t="str">
        <f aca="false">IF($AS119="","",IF($A119&lt;Fits!$B$86,"",$A119))</f>
        <v/>
      </c>
      <c r="BN119" s="9" t="str">
        <f aca="false">IF($BM119="","",$X119)</f>
        <v/>
      </c>
      <c r="BO119" s="9" t="str">
        <f aca="false">IF(AND($D119="Drift",$BX119&lt;&gt;1),IF($O119="","",$O119),"")</f>
        <v/>
      </c>
      <c r="BP119" s="9" t="str">
        <f aca="false">IF(AND($D119="Drift",$BX119&lt;&gt;1),IF($W119="","",$W119),"")</f>
        <v/>
      </c>
      <c r="BQ119" s="9" t="str">
        <f aca="false">IF(AND($D119="Drift",$BX119&lt;&gt;1),IF($X119="","",$X119),"")</f>
        <v/>
      </c>
      <c r="BR119" s="9" t="str">
        <f aca="false">IF(AND($D119="Drift",$BX119&lt;&gt;1),IF($Z119="","",$Z119),"")</f>
        <v/>
      </c>
      <c r="BS119" s="9" t="str">
        <f aca="false">IF(OR($B119="",$H119=""),"",SUMPRODUCT(MIN((Raw!$A$2:$A$1001=$A119)*(Raw!$R$2:$R$1001="N")*(Raw!$I$2:$I$1001=0)*(Raw!$D$2:$D$1001&lt;$H119)*Raw!$D$2:$D$1001+(1-(Raw!$A$2:$A$1001=$A119)*(Raw!$R$2:$R$1001="N")*(Raw!$I$2:$I$1001=0)*(Raw!$D$2:$D$1001&lt;$H119))*9999)))</f>
        <v/>
      </c>
      <c r="BT119" s="16" t="str">
        <f aca="false">IF(OR($BS119="",$BS119=9999,$BS119=0),"",IFERROR(INDEX(Raw!$N$2:$N$1001,MATCH($A119&amp;"|N|"&amp;$BS119,Raw!$S$2:$S$1001,0)),""))</f>
        <v/>
      </c>
      <c r="BU119" s="9" t="str">
        <f aca="false">IF($B119="","",SUMPRODUCT(MIN((Raw!$A$2:$A$1001=$A119)*(Raw!$R$2:$R$1001="C")*(Raw!$I$2:$I$1001=1)*Raw!$D$2:$D$1001+(1-(Raw!$A$2:$A$1001=$A119)*(Raw!$R$2:$R$1001="C")*(Raw!$I$2:$I$1001=1))*9999)))</f>
        <v/>
      </c>
      <c r="BV119" s="9" t="str">
        <f aca="false">IF(OR($BU119="",$BU119=9999),"",SUMPRODUCT(MIN((Raw!$A$2:$A$1001=$A119)*(Raw!$R$2:$R$1001="C")*(Raw!$I$2:$I$1001=0)*(Raw!$D$2:$D$1001&gt;$BU119)*Raw!$D$2:$D$1001+(1-(Raw!$A$2:$A$1001=$A119)*(Raw!$R$2:$R$1001="C")*(Raw!$I$2:$I$1001=0)*(Raw!$D$2:$D$1001&gt;$BU119))*9999)))</f>
        <v/>
      </c>
      <c r="BW119" s="16" t="str">
        <f aca="false">IF(OR($BV119="",$BV119=9999,$BV119=0),"",IFERROR(INDEX(Raw!$O$2:$O$1001,MATCH($A119&amp;"|C|"&amp;$BV119,Raw!$S$2:$S$1001,0)),""))</f>
        <v/>
      </c>
      <c r="BX119" s="9" t="str">
        <f aca="false">IF($B119="","",IF(ISNUMBER(SEARCH(","&amp;$A119&amp;",",","&amp;SUBSTITUTE(Setup!$B$16," ","")&amp;",")),1,0))</f>
        <v/>
      </c>
      <c r="BY119" s="9" t="str">
        <f aca="false">IF($B119="","",IF(ISNUMBER(SEARCH(","&amp;$A119&amp;",",","&amp;SUBSTITUTE(Setup!$B$17," ","")&amp;",")),1,0))</f>
        <v/>
      </c>
      <c r="BZ119" s="22" t="str">
        <f aca="false">IF($AS119="","",IF(Fits!$B$38="Row",$AQ119,IF($AR119="","",$AR119)))</f>
        <v/>
      </c>
      <c r="CA119" s="22" t="str">
        <f aca="false">IF($AT119="","",IF(Fits!$B$50="Row",$AQ119,IF($AR119="","",$AR119)))</f>
        <v/>
      </c>
      <c r="CB119" s="20" t="str">
        <f aca="false">IF(OR($D119&lt;&gt;"Drift",$X119="",$A119&lt;IF(Setup!$B$14="",0,Setup!$B$14),Fits!$B$107&lt;3,Fits!$B$110="",Fits!$B$109=0,IF(Fits!$B$38="Row",$AQ119,$AR119)=""),"",IF($BX119=1,IF(OR(Fits!$B$111="",Fits!$B$111=0),"",($X119-(IF(Fits!$B$38="Row",Fits!$B$32,Fits!$B$35)*IF(Fits!$B$38="Row",$AQ119,$AR119)+Fits!$B$110))/(Fits!$B$111*SQRT(1+(1/Fits!$B$107+(IF(Fits!$B$38="Row",$AQ119,$AR119)-Fits!$B$108)^2/Fits!$B$109)))),IF(OR(Fits!$B$107&lt;4,(1/Fits!$B$107+(IF(Fits!$B$38="Row",$AQ119,$AR119)-Fits!$B$108)^2/Fits!$B$109)&gt;=1),"",IF((Fits!$B$116-($X119-(IF(Fits!$B$38="Row",Fits!$B$32,Fits!$B$35)*IF(Fits!$B$38="Row",$AQ119,$AR119)+Fits!$B$110))^2/(1-(1/Fits!$B$107+(IF(Fits!$B$38="Row",$AQ119,$AR119)-Fits!$B$108)^2/Fits!$B$109)))&lt;=0,"",($X119-(IF(Fits!$B$38="Row",Fits!$B$32,Fits!$B$35)*IF(Fits!$B$38="Row",$AQ119,$AR119)+Fits!$B$110))/(SQRT((Fits!$B$116-($X119-(IF(Fits!$B$38="Row",Fits!$B$32,Fits!$B$35)*IF(Fits!$B$38="Row",$AQ119,$AR119)+Fits!$B$110))^2/(1-(1/Fits!$B$107+(IF(Fits!$B$38="Row",$AQ119,$AR119)-Fits!$B$108)^2/Fits!$B$109)))/(Fits!$B$107-3))*SQRT(1-(1/Fits!$B$107+(IF(Fits!$B$38="Row",$AQ119,$AR119)-Fits!$B$108)^2/Fits!$B$109)))))))</f>
        <v/>
      </c>
      <c r="CC119" s="20" t="str">
        <f aca="false">IF(OR($D119&lt;&gt;"Drift",$AC119="",$A119&lt;IF(Setup!$B$14="",0,Setup!$B$14),Fits!$B$120&lt;3,Fits!$B$123="",Fits!$B$122=0,IF(Fits!$B$50="Row",$AQ119,$AR119)=""),"",IF($BY119=1,IF(OR(Fits!$B$124="",Fits!$B$124=0),"",($AC119-(IF(Fits!$B$50="Row",Fits!$B$44,Fits!$B$47)*IF(Fits!$B$50="Row",$AQ119,$AR119)+Fits!$B$123))/(Fits!$B$124*SQRT(1+(1/Fits!$B$120+(IF(Fits!$B$50="Row",$AQ119,$AR119)-Fits!$B$121)^2/Fits!$B$122)))),IF(OR(Fits!$B$120&lt;4,(1/Fits!$B$120+(IF(Fits!$B$50="Row",$AQ119,$AR119)-Fits!$B$121)^2/Fits!$B$122)&gt;=1),"",IF((Fits!$B$129-($AC119-(IF(Fits!$B$50="Row",Fits!$B$44,Fits!$B$47)*IF(Fits!$B$50="Row",$AQ119,$AR119)+Fits!$B$123))^2/(1-(1/Fits!$B$120+(IF(Fits!$B$50="Row",$AQ119,$AR119)-Fits!$B$121)^2/Fits!$B$122)))&lt;=0,"",($AC119-(IF(Fits!$B$50="Row",Fits!$B$44,Fits!$B$47)*IF(Fits!$B$50="Row",$AQ119,$AR119)+Fits!$B$123))/(SQRT((Fits!$B$129-($AC119-(IF(Fits!$B$50="Row",Fits!$B$44,Fits!$B$47)*IF(Fits!$B$50="Row",$AQ119,$AR119)+Fits!$B$123))^2/(1-(1/Fits!$B$120+(IF(Fits!$B$50="Row",$AQ119,$AR119)-Fits!$B$121)^2/Fits!$B$122)))/(Fits!$B$120-3))*SQRT(1-(1/Fits!$B$120+(IF(Fits!$B$50="Row",$AQ119,$AR119)-Fits!$B$121)^2/Fits!$B$122)))))))</f>
        <v/>
      </c>
      <c r="CD119" s="9" t="str">
        <f aca="false">IF($AU119="","",1)</f>
        <v/>
      </c>
      <c r="CE119" s="24" t="str">
        <f aca="false">IF($AU119="","",$AU119-Fits!$B$133)</f>
        <v/>
      </c>
      <c r="CF119" s="24" t="str">
        <f aca="false">IF($AU119="","",($AV119-(Fits!$B$56*$AU119+Fits!$B$57))-Fits!$B$56*($AU119-Fits!$B$133))</f>
        <v/>
      </c>
      <c r="CG119" s="25" t="str">
        <f aca="false">IF($AU119="","",$AU119^2)</f>
        <v/>
      </c>
      <c r="CH119" s="9" t="str">
        <f aca="false">IF($AW119="","",1)</f>
        <v/>
      </c>
      <c r="CI119" s="24" t="str">
        <f aca="false">IF($AW119="","",$AW119-Fits!$B$153)</f>
        <v/>
      </c>
      <c r="CJ119" s="24" t="str">
        <f aca="false">IF($AW119="","",($AX119-(Fits!$B$63*$AW119+Fits!$B$64))-Fits!$B$63*($AW119-Fits!$B$153))</f>
        <v/>
      </c>
      <c r="CK119" s="25" t="str">
        <f aca="false">IF($AW119="","",$AW119^2)</f>
        <v/>
      </c>
      <c r="CL119" s="26" t="str">
        <f aca="false">IF(OR($Z119="",Fits!$B$55&lt;3,Fits!$B$133="",Fits!$B$134="",Fits!$B$134=0,Fits!$B$136=""),"",SQRT((Fits!$B$136*Fits!$B$56)^2+SUMPRODUCT((Fits!$J$163:$J$175*(Fits!$B$163:$B$175/Fits!$B$55+Fits!$H$163:$H$175*($Z119-Fits!$B$133)/Fits!$B$134))^2)+SUMPRODUCT((Fits!$G$163:$G$175*(($Z119-Fits!$B$133)*Fits!$I$163:$I$175/Fits!$B$134-Fits!$B$163:$B$175*Fits!$B$56/Fits!$B$55))^2)))</f>
        <v/>
      </c>
      <c r="CM119" s="26" t="str">
        <f aca="false">IF($CL119="","",Setup!$B$32*$CL119)</f>
        <v/>
      </c>
      <c r="CN119" s="26" t="str">
        <f aca="false">IF(OR($AE119="",Fits!$B$62&lt;3,Fits!$B$153="",Fits!$B$154="",Fits!$B$154=0,Fits!$B$156=""),"",SQRT((Fits!$B$156*Fits!$B$63)^2+SUMPRODUCT((Fits!$J$183:$J$195*(Fits!$B$183:$B$195/Fits!$B$62+Fits!$H$183:$H$195*($AE119-Fits!$B$153)/Fits!$B$154))^2)+SUMPRODUCT((Fits!$G$183:$G$195*(($AE119-Fits!$B$153)*Fits!$I$183:$I$195/Fits!$B$154-Fits!$B$183:$B$195*Fits!$B$63/Fits!$B$62))^2)))</f>
        <v/>
      </c>
      <c r="CO119" s="26" t="str">
        <f aca="false">IF($CN119="","",Setup!$B$32*$CN119)</f>
        <v/>
      </c>
      <c r="CP119" s="9" t="n">
        <f aca="false">IF(OR(NOT(ISNUMBER($BJ119)),$EK119=1),$CP118,IF($BJ119&lt;=Setup!$B$26,$CP118+1,0))</f>
        <v>26</v>
      </c>
      <c r="CQ119" s="9" t="str">
        <f aca="false">IF($BT119="","",$A119)</f>
        <v/>
      </c>
      <c r="CR119" s="9" t="str">
        <f aca="false">IF($BW119="","",$A119)</f>
        <v/>
      </c>
      <c r="CS119" s="9" t="str">
        <f aca="false">IF($B119="","",IF(Setup!$A$37="",0,IF(ISNUMBER(SEARCH(Setup!$A$37,$B119)),37,0)))</f>
        <v/>
      </c>
      <c r="CT119" s="9" t="str">
        <f aca="false">IF($B119="","",IF(Setup!$A$38="",0,IF(ISNUMBER(SEARCH(Setup!$A$38,$B119)),38,0)))</f>
        <v/>
      </c>
      <c r="CU119" s="9" t="str">
        <f aca="false">IF($B119="","",IF(Setup!$A$39="",0,IF(ISNUMBER(SEARCH(Setup!$A$39,$B119)),39,0)))</f>
        <v/>
      </c>
      <c r="CV119" s="9" t="str">
        <f aca="false">IF($B119="","",IF(Setup!$A$40="",0,IF(ISNUMBER(SEARCH(Setup!$A$40,$B119)),40,0)))</f>
        <v/>
      </c>
      <c r="CW119" s="9" t="str">
        <f aca="false">IF($B119="","",IF(Setup!$A$41="",0,IF(ISNUMBER(SEARCH(Setup!$A$41,$B119)),41,0)))</f>
        <v/>
      </c>
      <c r="CX119" s="9" t="str">
        <f aca="false">IF($B119="","",IF(Setup!$A$42="",0,IF(ISNUMBER(SEARCH(Setup!$A$42,$B119)),42,0)))</f>
        <v/>
      </c>
      <c r="CY119" s="9" t="str">
        <f aca="false">IF($B119="","",IF(Setup!$A$43="",0,IF(ISNUMBER(SEARCH(Setup!$A$43,$B119)),43,0)))</f>
        <v/>
      </c>
      <c r="CZ119" s="9" t="str">
        <f aca="false">IF($B119="","",IF(Setup!$A$44="",0,IF(ISNUMBER(SEARCH(Setup!$A$44,$B119)),44,0)))</f>
        <v/>
      </c>
      <c r="DA119" s="9" t="str">
        <f aca="false">IF($B119="","",IF(Setup!$A$45="",0,IF(ISNUMBER(SEARCH(Setup!$A$45,$B119)),45,0)))</f>
        <v/>
      </c>
      <c r="DB119" s="9" t="str">
        <f aca="false">IF($B119="","",IF(Setup!$A$46="",0,IF(ISNUMBER(SEARCH(Setup!$A$46,$B119)),46,0)))</f>
        <v/>
      </c>
      <c r="DC119" s="9" t="str">
        <f aca="false">IF($B119="","",IF(Setup!$A$47="",0,IF(ISNUMBER(SEARCH(Setup!$A$47,$B119)),47,0)))</f>
        <v/>
      </c>
      <c r="DD119" s="9" t="str">
        <f aca="false">IF($B119="","",IF(Setup!$A$48="",0,IF(ISNUMBER(SEARCH(Setup!$A$48,$B119)),48,0)))</f>
        <v/>
      </c>
      <c r="DE119" s="9" t="str">
        <f aca="false">IF($B119="","",IF(Setup!$A$49="",0,IF(ISNUMBER(SEARCH(Setup!$A$49,$B119)),49,0)))</f>
        <v/>
      </c>
      <c r="DF119" s="9" t="e">
        <f aca="false">IF($B119="",NA(),$A119)</f>
        <v>#N/A</v>
      </c>
      <c r="DG119" s="9" t="e">
        <f aca="false">IF($BI119="",NA(),$BI119)</f>
        <v>#N/A</v>
      </c>
      <c r="DH119" s="9" t="e">
        <f aca="false">IF($N119="",NA(),$N119)</f>
        <v>#N/A</v>
      </c>
      <c r="DI119" s="9" t="e">
        <f aca="false">IF(AND($D119="Drift",$N119&lt;&gt;""),$N119,NA())</f>
        <v>#N/A</v>
      </c>
      <c r="DJ119" s="9" t="str">
        <f aca="false">IF(AND($D119="Drift",$N119&lt;&gt;""),$N119,"")</f>
        <v/>
      </c>
      <c r="DK119" s="9" t="str">
        <f aca="false">IF($DJ119="","",$A119)</f>
        <v/>
      </c>
      <c r="DL119" s="9" t="e">
        <f aca="false">IF($AN119="",NA(),$AM119)</f>
        <v>#N/A</v>
      </c>
      <c r="DM119" s="9" t="e">
        <f aca="false">IF($AN119="",NA(),$AN119)</f>
        <v>#N/A</v>
      </c>
      <c r="DN119" s="9" t="e">
        <f aca="false">IF(AND($D119="Sample",$L119&lt;&gt;""),$L119,NA())</f>
        <v>#N/A</v>
      </c>
      <c r="DO119" s="9" t="e">
        <f aca="false">IF(AND($D119="Sample",$L119&lt;&gt;"",Fits!$B$98&lt;&gt;""),Fits!$B$98,NA())</f>
        <v>#N/A</v>
      </c>
      <c r="DP119" s="9" t="e">
        <f aca="false">IF($AS119="",NA(),$AS119)</f>
        <v>#N/A</v>
      </c>
      <c r="DQ119" s="9" t="e">
        <f aca="false">IF(AND($D119="Drift",$AS119="",$X119&lt;&gt;""),$X119,NA())</f>
        <v>#N/A</v>
      </c>
      <c r="DR119" s="9" t="e">
        <f aca="false">IF(AND($D119="Drift",$Z119&lt;&gt;""),$Z119,NA())</f>
        <v>#N/A</v>
      </c>
      <c r="DS119" s="9" t="e">
        <f aca="false">IF(AND(OR($D119="Sample",$D119="Check"),$AA119&lt;&gt;""),$AA119,NA())</f>
        <v>#N/A</v>
      </c>
      <c r="DT119" s="9" t="e">
        <f aca="false">IF(OR($B119="",Fits!$B$138=""),NA(),Fits!$B$138)</f>
        <v>#N/A</v>
      </c>
      <c r="DU119" s="9" t="e">
        <f aca="false">IF(OR($B119="",Fits!$B$139=""),NA(),Fits!$B$139)</f>
        <v>#N/A</v>
      </c>
      <c r="DV119" s="9" t="e">
        <f aca="false">IF($BT119="",NA(),$BT119)</f>
        <v>#N/A</v>
      </c>
      <c r="DW119" s="9" t="e">
        <f aca="false">IF($AP119="",NA(),$AO119)</f>
        <v>#N/A</v>
      </c>
      <c r="DX119" s="9" t="e">
        <f aca="false">IF($AP119="",NA(),$AP119)</f>
        <v>#N/A</v>
      </c>
      <c r="DY119" s="9" t="e">
        <f aca="false">IF(AND($D119="Sample",$P119&lt;&gt;""),$P119,NA())</f>
        <v>#N/A</v>
      </c>
      <c r="DZ119" s="9" t="e">
        <f aca="false">IF(AND($D119="Sample",$P119&lt;&gt;"",Fits!$B$105&lt;&gt;""),Fits!$B$105,NA())</f>
        <v>#N/A</v>
      </c>
      <c r="EA119" s="9" t="e">
        <f aca="false">IF($AT119="",NA(),$AT119)</f>
        <v>#N/A</v>
      </c>
      <c r="EB119" s="9" t="e">
        <f aca="false">IF(AND($D119="Drift",$AT119="",$AC119&lt;&gt;""),$AC119,NA())</f>
        <v>#N/A</v>
      </c>
      <c r="EC119" s="9" t="e">
        <f aca="false">IF(AND($D119="Drift",$AE119&lt;&gt;""),$AE119,NA())</f>
        <v>#N/A</v>
      </c>
      <c r="ED119" s="9" t="e">
        <f aca="false">IF(AND(OR($D119="Sample",$D119="Check"),$AF119&lt;&gt;""),$AF119,NA())</f>
        <v>#N/A</v>
      </c>
      <c r="EE119" s="9" t="e">
        <f aca="false">IF(OR($B119="",Fits!$B$158=""),NA(),Fits!$B$158)</f>
        <v>#N/A</v>
      </c>
      <c r="EF119" s="9" t="e">
        <f aca="false">IF(OR($B119="",Fits!$B$159=""),NA(),Fits!$B$159)</f>
        <v>#N/A</v>
      </c>
      <c r="EG119" s="9" t="e">
        <f aca="false">IF($BW119="",NA(),$BW119)</f>
        <v>#N/A</v>
      </c>
      <c r="EH119" s="9" t="e">
        <f aca="false">IF(AND($EN119=1,ISNUMBER($N119)),$N119,NA())</f>
        <v>#N/A</v>
      </c>
      <c r="EI119" s="9" t="str">
        <f aca="false">IF($B119="","",$A119)</f>
        <v/>
      </c>
      <c r="EJ119" s="9" t="n">
        <f aca="false">IF(OR(AND(ISNUMBER($L119),Fits!$B$97&gt;0,$L119&gt;Fits!$B$97),AND(ISNUMBER($P119),Fits!$B$104&gt;0,$P119&gt;Fits!$B$104)),1,0)</f>
        <v>0</v>
      </c>
      <c r="EK119" s="9" t="n">
        <f aca="false">IF(OR($EJ118=1,$EJ117=1),1,0)</f>
        <v>0</v>
      </c>
      <c r="EL119" s="22" t="n">
        <f aca="false">IF(AND($EK119=0,ISNUMBER($N119)),$N119,$EL118)</f>
        <v>25.7</v>
      </c>
      <c r="EM119" s="9" t="str">
        <f aca="false">IF(AND($EK119=1,ISNUMBER($N119),ISNUMBER($EL119)),$N119-$EL119,"")</f>
        <v/>
      </c>
      <c r="EN119" s="9" t="n">
        <f aca="false">IF(Setup!$B$28="",0,IF(ISNUMBER($EM119),IF($EM119&gt;Setup!$B$28,1,0),0))</f>
        <v>0</v>
      </c>
      <c r="EO119" s="9" t="str">
        <f aca="false">IF($EN119=1,COUNTIF($EN$6:$EN119,1),"")</f>
        <v/>
      </c>
      <c r="EP119" s="9" t="n">
        <f aca="false">IF(AND($EJ118=1,OR($D119="Sample",$D119="Check")),1,0)</f>
        <v>0</v>
      </c>
      <c r="EQ119" s="9" t="str">
        <f aca="false">IF(ISNUMBER($BI119),IF(COUNT($BI$6:$BI119)&lt;=5,$BI119,""),"")</f>
        <v/>
      </c>
      <c r="ER119" s="9" t="n">
        <f aca="false">IF(OR(NOT(ISNUMBER($BJ119)),$EK119=1),$ER118,IF($BJ119&lt;=Setup!$B$26,IF($CP118=0,$A119,$ER118),""))</f>
        <v>27</v>
      </c>
    </row>
    <row r="120" customFormat="false" ht="15" hidden="false" customHeight="false" outlineLevel="0" collapsed="false">
      <c r="A120" s="8" t="n">
        <v>115</v>
      </c>
      <c r="B120" s="8" t="str">
        <f aca="false">IFERROR(INDEX(Raw!$B$2:$B$1001,MATCH($A120,Raw!$A$2:$A$1001,0)),"")</f>
        <v/>
      </c>
      <c r="C120" s="9" t="str">
        <f aca="false">IF($B120="","",MAX($CS120:$DE120))</f>
        <v/>
      </c>
      <c r="D120" s="8" t="str">
        <f aca="false">IF($B120="","",IF($C120=0,"Sample",INDEX(Setup!$B$37:$B$49,$C120-36)))</f>
        <v/>
      </c>
      <c r="E120" s="16" t="str">
        <f aca="false">IF($B120="","",IFERROR(IF(INDEX(Raw!$E$2:$E$1001,MATCH($A120,Raw!$A$2:$A$1001,0))=0,"",INDEX(Raw!$E$2:$E$1001,MATCH($A120,Raw!$A$2:$A$1001,0))),""))</f>
        <v/>
      </c>
      <c r="F120" s="18"/>
      <c r="G120" s="16" t="str">
        <f aca="false">IF($B120="","",IF($F120&lt;&gt;"",$F120,IF($E120="","",$E120)))</f>
        <v/>
      </c>
      <c r="H120" s="9" t="str">
        <f aca="false">IF($B120="","",SUMPRODUCT(MAX((Raw!$A$2:$A$1001=$A120)*(Raw!$R$2:$R$1001="N")*Raw!$D$2:$D$1001)))</f>
        <v/>
      </c>
      <c r="I120" s="9" t="str">
        <f aca="false">IF(OR($H120="",$H120=0),"",$A120&amp;"|N|"&amp;$H120)</f>
        <v/>
      </c>
      <c r="J120" s="9" t="str">
        <f aca="false">IF($B120="","",SUMPRODUCT(MIN((Raw!$A$2:$A$1001=$A120)*(Raw!$R$2:$R$1001="C")*Raw!$D$2:$D$1001+(1-(Raw!$A$2:$A$1001=$A120)*(Raw!$R$2:$R$1001="C"))*9999)))</f>
        <v/>
      </c>
      <c r="K120" s="9" t="str">
        <f aca="false">IF(OR($J120="",$J120=0,$J120=9999),"",$A120&amp;"|C|"&amp;$J120)</f>
        <v/>
      </c>
      <c r="L120" s="16" t="str">
        <f aca="false">IF($I120="","",IF(INDEX(Raw!$I$2:$I$1001,MATCH($I120,Raw!$S$2:$S$1001,0))&lt;&gt;0,"",INDEX(Raw!$H$2:$H$1001,MATCH($I120,Raw!$S$2:$S$1001,0))))</f>
        <v/>
      </c>
      <c r="M120" s="19" t="str">
        <f aca="false">IF($I120="","",IF(INDEX(Raw!$I$2:$I$1001,MATCH($I120,Raw!$S$2:$S$1001,0))&lt;&gt;0,"",INDEX(Raw!$F$2:$F$1001,MATCH($I120,Raw!$S$2:$S$1001,0))))</f>
        <v/>
      </c>
      <c r="N120" s="20" t="str">
        <f aca="false">IF($I120="","",IF(INDEX(Raw!$I$2:$I$1001,MATCH($I120,Raw!$S$2:$S$1001,0))&lt;&gt;0,"",INDEX(Raw!$G$2:$G$1001,MATCH($I120,Raw!$S$2:$S$1001,0))))</f>
        <v/>
      </c>
      <c r="O120" s="16" t="str">
        <f aca="false">IF($I120="","",IF(INDEX(Raw!$I$2:$I$1001,MATCH($I120,Raw!$S$2:$S$1001,0))&lt;&gt;0,"",INDEX(Raw!$N$2:$N$1001,MATCH($I120,Raw!$S$2:$S$1001,0))))</f>
        <v/>
      </c>
      <c r="P120" s="16" t="str">
        <f aca="false">IF($K120="","",IF(INDEX(Raw!$I$2:$I$1001,MATCH($K120,Raw!$S$2:$S$1001,0))&lt;&gt;0,"",INDEX(Raw!$K$2:$K$1001,MATCH($K120,Raw!$S$2:$S$1001,0))))</f>
        <v/>
      </c>
      <c r="Q120" s="19" t="str">
        <f aca="false">IF($K120="","",IF(INDEX(Raw!$I$2:$I$1001,MATCH($K120,Raw!$S$2:$S$1001,0))&lt;&gt;0,"",INDEX(Raw!$J$2:$J$1001,MATCH($K120,Raw!$S$2:$S$1001,0))))</f>
        <v/>
      </c>
      <c r="R120" s="16" t="str">
        <f aca="false">IF($K120="","",IF(INDEX(Raw!$I$2:$I$1001,MATCH($K120,Raw!$S$2:$S$1001,0))&lt;&gt;0,"",INDEX(Raw!$O$2:$O$1001,MATCH($K120,Raw!$S$2:$S$1001,0))))</f>
        <v/>
      </c>
      <c r="S120" s="21" t="str">
        <f aca="false">IF($B120="","",IF($C120=0,"",IF(INDEX(Setup!$D$37:$D$49,$C120-36)="","",INDEX(Setup!$D$37:$D$49,$C120-36))))</f>
        <v/>
      </c>
      <c r="T120" s="21" t="str">
        <f aca="false">IF($B120="","",IF($C120=0,"",IF(INDEX(Setup!$C$37:$C$49,$C120-36)="","",INDEX(Setup!$C$37:$C$49,$C120-36))))</f>
        <v/>
      </c>
      <c r="U120" s="21" t="str">
        <f aca="false">IF($B120="","",IF($C120=0,"",IF(INDEX(Setup!$F$37:$F$49,$C120-36)="","",INDEX(Setup!$F$37:$F$49,$C120-36))))</f>
        <v/>
      </c>
      <c r="V120" s="21" t="str">
        <f aca="false">IF($B120="","",IF($C120=0,"",IF(INDEX(Setup!$E$37:$E$49,$C120-36)="","",INDEX(Setup!$E$37:$E$49,$C120-36))))</f>
        <v/>
      </c>
      <c r="W120" s="16" t="str">
        <f aca="false">IF($O120="","",IF(OR(Fits!$C$5&lt;&gt;"Yes",$D120="Blank",$L120&lt;=Fits!$B$6),$O120,($L120*$O120-Fits!$B$6*Fits!$B$7)/($L120-Fits!$B$6)))</f>
        <v/>
      </c>
      <c r="X120" s="16" t="str">
        <f aca="false">IF($W120="","",$W120-Fits!$B$20*($L120-Fits!$B$16))</f>
        <v/>
      </c>
      <c r="Y120" s="22" t="str">
        <f aca="false">IF($W120="","",IF(OR(Fits!$B$38="Row",$BI120=""),$A120,$BI120))</f>
        <v/>
      </c>
      <c r="Z120" s="16" t="str">
        <f aca="false">IF($X120="","",$X120-Fits!$B$39*($Y120-Fits!$B$40))</f>
        <v/>
      </c>
      <c r="AA120" s="23" t="str">
        <f aca="false">IF(OR($Z120="",Fits!$B$55&lt;2),"",Fits!$B$56*$Z120+Fits!$B$57)</f>
        <v/>
      </c>
      <c r="AB120" s="16" t="str">
        <f aca="false">IF($R120="","",IF(OR(Fits!$C$9&lt;&gt;"Yes",$D120="Blank",$P120&lt;=Fits!$B$10),$R120,($P120*$R120-Fits!$B$10*Fits!$B$11)/($P120-Fits!$B$10)))</f>
        <v/>
      </c>
      <c r="AC120" s="16" t="str">
        <f aca="false">IF($AB120="","",$AB120-Fits!$B$28*($P120-Fits!$B$24))</f>
        <v/>
      </c>
      <c r="AD120" s="22" t="str">
        <f aca="false">IF($AB120="","",IF(OR(Fits!$B$50="Row",$BI120=""),$A120,$BI120))</f>
        <v/>
      </c>
      <c r="AE120" s="16" t="str">
        <f aca="false">IF($AC120="","",$AC120-Fits!$B$51*($AD120-Fits!$B$52))</f>
        <v/>
      </c>
      <c r="AF120" s="23" t="str">
        <f aca="false">IF(OR($AE120="",Fits!$B$62&lt;2),"",Fits!$B$63*$AE120+Fits!$B$64)</f>
        <v/>
      </c>
      <c r="AG120" s="21" t="str">
        <f aca="false">IF(OR($L120="",Fits!$B$69&lt;3),"",($L120-Fits!$B$71)/Fits!$B$70)</f>
        <v/>
      </c>
      <c r="AH120" s="21" t="str">
        <f aca="false">IF(OR($P120="",Fits!$B$75&lt;3),"",($P120-Fits!$B$77)/Fits!$B$76)</f>
        <v/>
      </c>
      <c r="AI120" s="23" t="str">
        <f aca="false">IF(OR($AG120="",$G120="",$G120=0),"",$AG120/($G120*1000)*100)</f>
        <v/>
      </c>
      <c r="AJ120" s="23" t="str">
        <f aca="false">IF(OR($AH120="",$G120="",$G120=0),"",$AH120/($G120*1000)*100)</f>
        <v/>
      </c>
      <c r="AK120" s="23" t="str">
        <f aca="false">IF(OR($AG120="",$AH120="",$AG120&lt;=0),"",($AH120/Setup!$B$52)/($AG120/Setup!$B$53))</f>
        <v/>
      </c>
      <c r="AL120" s="23" t="str">
        <f aca="false">IF(OR($AG120="",$AH120="",$AG120&lt;=0),"",$AH120/$AG120)</f>
        <v/>
      </c>
      <c r="AM120" s="9" t="str">
        <f aca="false">IF($D120="Linearity",IF($L120="","",$L120),"")</f>
        <v/>
      </c>
      <c r="AN120" s="9" t="str">
        <f aca="false">IF($D120="Linearity",IF($W120="","",$W120),"")</f>
        <v/>
      </c>
      <c r="AO120" s="9" t="str">
        <f aca="false">IF($D120="Linearity",IF($P120="","",$P120),"")</f>
        <v/>
      </c>
      <c r="AP120" s="9" t="str">
        <f aca="false">IF($D120="Linearity",IF($AB120="","",$AB120),"")</f>
        <v/>
      </c>
      <c r="AQ120" s="9" t="str">
        <f aca="false">IF($D120="Drift",IF($A120&lt;IF(Setup!$B$14="",0,Setup!$B$14),"",$A120),"")</f>
        <v/>
      </c>
      <c r="AR120" s="9" t="str">
        <f aca="false">IF($D120="Drift",IF($A120&lt;IF(Setup!$B$14="",0,Setup!$B$14),"",IF($BI120="","",$BI120)),"")</f>
        <v/>
      </c>
      <c r="AS120" s="9" t="str">
        <f aca="false">IF($D120="Drift",IF($A120&lt;IF(Setup!$B$14="",0,Setup!$B$14),"",IF(OR($X120="",$BX120=1),"",$X120)),"")</f>
        <v/>
      </c>
      <c r="AT120" s="9" t="str">
        <f aca="false">IF($D120="Drift",IF($A120&lt;IF(Setup!$B$14="",0,Setup!$B$14),"",IF(OR($AC120="",$BY120=1),"",$AC120)),"")</f>
        <v/>
      </c>
      <c r="AU120" s="9" t="str">
        <f aca="false">IF($D120="Anchor",IF(OR($Z120="",$S120=""),"",$Z120),"")</f>
        <v/>
      </c>
      <c r="AV120" s="9" t="str">
        <f aca="false">IF($D120="Anchor",IF(OR($Z120="",$S120=""),"",$S120),"")</f>
        <v/>
      </c>
      <c r="AW120" s="9" t="str">
        <f aca="false">IF($D120="Anchor",IF(OR($AE120="",$T120=""),"",$AE120),"")</f>
        <v/>
      </c>
      <c r="AX120" s="9" t="str">
        <f aca="false">IF($D120="Anchor",IF(OR($AE120="",$T120=""),"",$T120),"")</f>
        <v/>
      </c>
      <c r="AY120" s="9" t="str">
        <f aca="false">IF(OR($D120="Blank",$D120="Exclude",$D120="Sample",$D120="",$G120="",$U120="",$L120=""),"",$G120*1000*$U120/100)</f>
        <v/>
      </c>
      <c r="AZ120" s="9" t="str">
        <f aca="false">IF($AY120="","",$L120)</f>
        <v/>
      </c>
      <c r="BA120" s="9" t="str">
        <f aca="false">IF(OR($D120="Blank",$D120="Exclude",$D120="Sample",$D120="",$G120="",$V120="",$P120=""),"",$G120*1000*$V120/100)</f>
        <v/>
      </c>
      <c r="BB120" s="9" t="str">
        <f aca="false">IF($BA120="","",$P120)</f>
        <v/>
      </c>
      <c r="BC120" s="9" t="str">
        <f aca="false">IF(AND($D120="Blank",$L120&lt;&gt;""),$O120,"")</f>
        <v/>
      </c>
      <c r="BD120" s="9" t="str">
        <f aca="false">IF($BC120="","",$L120)</f>
        <v/>
      </c>
      <c r="BE120" s="9" t="str">
        <f aca="false">IF(AND($D120="Blank",$P120&lt;&gt;""),$R120,"")</f>
        <v/>
      </c>
      <c r="BF120" s="9" t="str">
        <f aca="false">IF($BE120="","",$P120)</f>
        <v/>
      </c>
      <c r="BG120" s="9" t="str">
        <f aca="false">IF(AND($D120="Drift",$BX120&lt;&gt;1),IF($AA120="","",$AA120),"")</f>
        <v/>
      </c>
      <c r="BH120" s="9" t="str">
        <f aca="false">IF(AND($D120="Drift",$BY120&lt;&gt;1),IF($AF120="","",$AF120),"")</f>
        <v/>
      </c>
      <c r="BI120" s="20" t="str">
        <f aca="false">IF($B120="","",IFERROR(INDEX(Raw!$G$2:$G$1001,MATCH($A120&amp;"|N|"&amp;SUMPRODUCT(MAX((Raw!$A$2:$A$1001=$A120)*(Raw!$R$2:$R$1001="N")*(Raw!$I$2:$I$1001=1)*Raw!$D$2:$D$1001)),Raw!$S$2:$S$1001,0)),""))</f>
        <v/>
      </c>
      <c r="BJ120" s="21" t="str">
        <f aca="false">IF(OR($BI120="",Fits!$B$85&lt;=0),"",($BI120-Fits!$B$83)/Fits!$B$85)</f>
        <v/>
      </c>
      <c r="BK120" s="9" t="str">
        <f aca="false">IF($AS120="","",IF($A120&gt;=Fits!$B$86,"",$A120))</f>
        <v/>
      </c>
      <c r="BL120" s="9" t="str">
        <f aca="false">IF($BK120="","",$X120)</f>
        <v/>
      </c>
      <c r="BM120" s="9" t="str">
        <f aca="false">IF($AS120="","",IF($A120&lt;Fits!$B$86,"",$A120))</f>
        <v/>
      </c>
      <c r="BN120" s="9" t="str">
        <f aca="false">IF($BM120="","",$X120)</f>
        <v/>
      </c>
      <c r="BO120" s="9" t="str">
        <f aca="false">IF(AND($D120="Drift",$BX120&lt;&gt;1),IF($O120="","",$O120),"")</f>
        <v/>
      </c>
      <c r="BP120" s="9" t="str">
        <f aca="false">IF(AND($D120="Drift",$BX120&lt;&gt;1),IF($W120="","",$W120),"")</f>
        <v/>
      </c>
      <c r="BQ120" s="9" t="str">
        <f aca="false">IF(AND($D120="Drift",$BX120&lt;&gt;1),IF($X120="","",$X120),"")</f>
        <v/>
      </c>
      <c r="BR120" s="9" t="str">
        <f aca="false">IF(AND($D120="Drift",$BX120&lt;&gt;1),IF($Z120="","",$Z120),"")</f>
        <v/>
      </c>
      <c r="BS120" s="9" t="str">
        <f aca="false">IF(OR($B120="",$H120=""),"",SUMPRODUCT(MIN((Raw!$A$2:$A$1001=$A120)*(Raw!$R$2:$R$1001="N")*(Raw!$I$2:$I$1001=0)*(Raw!$D$2:$D$1001&lt;$H120)*Raw!$D$2:$D$1001+(1-(Raw!$A$2:$A$1001=$A120)*(Raw!$R$2:$R$1001="N")*(Raw!$I$2:$I$1001=0)*(Raw!$D$2:$D$1001&lt;$H120))*9999)))</f>
        <v/>
      </c>
      <c r="BT120" s="16" t="str">
        <f aca="false">IF(OR($BS120="",$BS120=9999,$BS120=0),"",IFERROR(INDEX(Raw!$N$2:$N$1001,MATCH($A120&amp;"|N|"&amp;$BS120,Raw!$S$2:$S$1001,0)),""))</f>
        <v/>
      </c>
      <c r="BU120" s="9" t="str">
        <f aca="false">IF($B120="","",SUMPRODUCT(MIN((Raw!$A$2:$A$1001=$A120)*(Raw!$R$2:$R$1001="C")*(Raw!$I$2:$I$1001=1)*Raw!$D$2:$D$1001+(1-(Raw!$A$2:$A$1001=$A120)*(Raw!$R$2:$R$1001="C")*(Raw!$I$2:$I$1001=1))*9999)))</f>
        <v/>
      </c>
      <c r="BV120" s="9" t="str">
        <f aca="false">IF(OR($BU120="",$BU120=9999),"",SUMPRODUCT(MIN((Raw!$A$2:$A$1001=$A120)*(Raw!$R$2:$R$1001="C")*(Raw!$I$2:$I$1001=0)*(Raw!$D$2:$D$1001&gt;$BU120)*Raw!$D$2:$D$1001+(1-(Raw!$A$2:$A$1001=$A120)*(Raw!$R$2:$R$1001="C")*(Raw!$I$2:$I$1001=0)*(Raw!$D$2:$D$1001&gt;$BU120))*9999)))</f>
        <v/>
      </c>
      <c r="BW120" s="16" t="str">
        <f aca="false">IF(OR($BV120="",$BV120=9999,$BV120=0),"",IFERROR(INDEX(Raw!$O$2:$O$1001,MATCH($A120&amp;"|C|"&amp;$BV120,Raw!$S$2:$S$1001,0)),""))</f>
        <v/>
      </c>
      <c r="BX120" s="9" t="str">
        <f aca="false">IF($B120="","",IF(ISNUMBER(SEARCH(","&amp;$A120&amp;",",","&amp;SUBSTITUTE(Setup!$B$16," ","")&amp;",")),1,0))</f>
        <v/>
      </c>
      <c r="BY120" s="9" t="str">
        <f aca="false">IF($B120="","",IF(ISNUMBER(SEARCH(","&amp;$A120&amp;",",","&amp;SUBSTITUTE(Setup!$B$17," ","")&amp;",")),1,0))</f>
        <v/>
      </c>
      <c r="BZ120" s="22" t="str">
        <f aca="false">IF($AS120="","",IF(Fits!$B$38="Row",$AQ120,IF($AR120="","",$AR120)))</f>
        <v/>
      </c>
      <c r="CA120" s="22" t="str">
        <f aca="false">IF($AT120="","",IF(Fits!$B$50="Row",$AQ120,IF($AR120="","",$AR120)))</f>
        <v/>
      </c>
      <c r="CB120" s="20" t="str">
        <f aca="false">IF(OR($D120&lt;&gt;"Drift",$X120="",$A120&lt;IF(Setup!$B$14="",0,Setup!$B$14),Fits!$B$107&lt;3,Fits!$B$110="",Fits!$B$109=0,IF(Fits!$B$38="Row",$AQ120,$AR120)=""),"",IF($BX120=1,IF(OR(Fits!$B$111="",Fits!$B$111=0),"",($X120-(IF(Fits!$B$38="Row",Fits!$B$32,Fits!$B$35)*IF(Fits!$B$38="Row",$AQ120,$AR120)+Fits!$B$110))/(Fits!$B$111*SQRT(1+(1/Fits!$B$107+(IF(Fits!$B$38="Row",$AQ120,$AR120)-Fits!$B$108)^2/Fits!$B$109)))),IF(OR(Fits!$B$107&lt;4,(1/Fits!$B$107+(IF(Fits!$B$38="Row",$AQ120,$AR120)-Fits!$B$108)^2/Fits!$B$109)&gt;=1),"",IF((Fits!$B$116-($X120-(IF(Fits!$B$38="Row",Fits!$B$32,Fits!$B$35)*IF(Fits!$B$38="Row",$AQ120,$AR120)+Fits!$B$110))^2/(1-(1/Fits!$B$107+(IF(Fits!$B$38="Row",$AQ120,$AR120)-Fits!$B$108)^2/Fits!$B$109)))&lt;=0,"",($X120-(IF(Fits!$B$38="Row",Fits!$B$32,Fits!$B$35)*IF(Fits!$B$38="Row",$AQ120,$AR120)+Fits!$B$110))/(SQRT((Fits!$B$116-($X120-(IF(Fits!$B$38="Row",Fits!$B$32,Fits!$B$35)*IF(Fits!$B$38="Row",$AQ120,$AR120)+Fits!$B$110))^2/(1-(1/Fits!$B$107+(IF(Fits!$B$38="Row",$AQ120,$AR120)-Fits!$B$108)^2/Fits!$B$109)))/(Fits!$B$107-3))*SQRT(1-(1/Fits!$B$107+(IF(Fits!$B$38="Row",$AQ120,$AR120)-Fits!$B$108)^2/Fits!$B$109)))))))</f>
        <v/>
      </c>
      <c r="CC120" s="20" t="str">
        <f aca="false">IF(OR($D120&lt;&gt;"Drift",$AC120="",$A120&lt;IF(Setup!$B$14="",0,Setup!$B$14),Fits!$B$120&lt;3,Fits!$B$123="",Fits!$B$122=0,IF(Fits!$B$50="Row",$AQ120,$AR120)=""),"",IF($BY120=1,IF(OR(Fits!$B$124="",Fits!$B$124=0),"",($AC120-(IF(Fits!$B$50="Row",Fits!$B$44,Fits!$B$47)*IF(Fits!$B$50="Row",$AQ120,$AR120)+Fits!$B$123))/(Fits!$B$124*SQRT(1+(1/Fits!$B$120+(IF(Fits!$B$50="Row",$AQ120,$AR120)-Fits!$B$121)^2/Fits!$B$122)))),IF(OR(Fits!$B$120&lt;4,(1/Fits!$B$120+(IF(Fits!$B$50="Row",$AQ120,$AR120)-Fits!$B$121)^2/Fits!$B$122)&gt;=1),"",IF((Fits!$B$129-($AC120-(IF(Fits!$B$50="Row",Fits!$B$44,Fits!$B$47)*IF(Fits!$B$50="Row",$AQ120,$AR120)+Fits!$B$123))^2/(1-(1/Fits!$B$120+(IF(Fits!$B$50="Row",$AQ120,$AR120)-Fits!$B$121)^2/Fits!$B$122)))&lt;=0,"",($AC120-(IF(Fits!$B$50="Row",Fits!$B$44,Fits!$B$47)*IF(Fits!$B$50="Row",$AQ120,$AR120)+Fits!$B$123))/(SQRT((Fits!$B$129-($AC120-(IF(Fits!$B$50="Row",Fits!$B$44,Fits!$B$47)*IF(Fits!$B$50="Row",$AQ120,$AR120)+Fits!$B$123))^2/(1-(1/Fits!$B$120+(IF(Fits!$B$50="Row",$AQ120,$AR120)-Fits!$B$121)^2/Fits!$B$122)))/(Fits!$B$120-3))*SQRT(1-(1/Fits!$B$120+(IF(Fits!$B$50="Row",$AQ120,$AR120)-Fits!$B$121)^2/Fits!$B$122)))))))</f>
        <v/>
      </c>
      <c r="CD120" s="9" t="str">
        <f aca="false">IF($AU120="","",1)</f>
        <v/>
      </c>
      <c r="CE120" s="24" t="str">
        <f aca="false">IF($AU120="","",$AU120-Fits!$B$133)</f>
        <v/>
      </c>
      <c r="CF120" s="24" t="str">
        <f aca="false">IF($AU120="","",($AV120-(Fits!$B$56*$AU120+Fits!$B$57))-Fits!$B$56*($AU120-Fits!$B$133))</f>
        <v/>
      </c>
      <c r="CG120" s="25" t="str">
        <f aca="false">IF($AU120="","",$AU120^2)</f>
        <v/>
      </c>
      <c r="CH120" s="9" t="str">
        <f aca="false">IF($AW120="","",1)</f>
        <v/>
      </c>
      <c r="CI120" s="24" t="str">
        <f aca="false">IF($AW120="","",$AW120-Fits!$B$153)</f>
        <v/>
      </c>
      <c r="CJ120" s="24" t="str">
        <f aca="false">IF($AW120="","",($AX120-(Fits!$B$63*$AW120+Fits!$B$64))-Fits!$B$63*($AW120-Fits!$B$153))</f>
        <v/>
      </c>
      <c r="CK120" s="25" t="str">
        <f aca="false">IF($AW120="","",$AW120^2)</f>
        <v/>
      </c>
      <c r="CL120" s="26" t="str">
        <f aca="false">IF(OR($Z120="",Fits!$B$55&lt;3,Fits!$B$133="",Fits!$B$134="",Fits!$B$134=0,Fits!$B$136=""),"",SQRT((Fits!$B$136*Fits!$B$56)^2+SUMPRODUCT((Fits!$J$163:$J$175*(Fits!$B$163:$B$175/Fits!$B$55+Fits!$H$163:$H$175*($Z120-Fits!$B$133)/Fits!$B$134))^2)+SUMPRODUCT((Fits!$G$163:$G$175*(($Z120-Fits!$B$133)*Fits!$I$163:$I$175/Fits!$B$134-Fits!$B$163:$B$175*Fits!$B$56/Fits!$B$55))^2)))</f>
        <v/>
      </c>
      <c r="CM120" s="26" t="str">
        <f aca="false">IF($CL120="","",Setup!$B$32*$CL120)</f>
        <v/>
      </c>
      <c r="CN120" s="26" t="str">
        <f aca="false">IF(OR($AE120="",Fits!$B$62&lt;3,Fits!$B$153="",Fits!$B$154="",Fits!$B$154=0,Fits!$B$156=""),"",SQRT((Fits!$B$156*Fits!$B$63)^2+SUMPRODUCT((Fits!$J$183:$J$195*(Fits!$B$183:$B$195/Fits!$B$62+Fits!$H$183:$H$195*($AE120-Fits!$B$153)/Fits!$B$154))^2)+SUMPRODUCT((Fits!$G$183:$G$195*(($AE120-Fits!$B$153)*Fits!$I$183:$I$195/Fits!$B$154-Fits!$B$183:$B$195*Fits!$B$63/Fits!$B$62))^2)))</f>
        <v/>
      </c>
      <c r="CO120" s="26" t="str">
        <f aca="false">IF($CN120="","",Setup!$B$32*$CN120)</f>
        <v/>
      </c>
      <c r="CP120" s="9" t="n">
        <f aca="false">IF(OR(NOT(ISNUMBER($BJ120)),$EK120=1),$CP119,IF($BJ120&lt;=Setup!$B$26,$CP119+1,0))</f>
        <v>26</v>
      </c>
      <c r="CQ120" s="9" t="str">
        <f aca="false">IF($BT120="","",$A120)</f>
        <v/>
      </c>
      <c r="CR120" s="9" t="str">
        <f aca="false">IF($BW120="","",$A120)</f>
        <v/>
      </c>
      <c r="CS120" s="9" t="str">
        <f aca="false">IF($B120="","",IF(Setup!$A$37="",0,IF(ISNUMBER(SEARCH(Setup!$A$37,$B120)),37,0)))</f>
        <v/>
      </c>
      <c r="CT120" s="9" t="str">
        <f aca="false">IF($B120="","",IF(Setup!$A$38="",0,IF(ISNUMBER(SEARCH(Setup!$A$38,$B120)),38,0)))</f>
        <v/>
      </c>
      <c r="CU120" s="9" t="str">
        <f aca="false">IF($B120="","",IF(Setup!$A$39="",0,IF(ISNUMBER(SEARCH(Setup!$A$39,$B120)),39,0)))</f>
        <v/>
      </c>
      <c r="CV120" s="9" t="str">
        <f aca="false">IF($B120="","",IF(Setup!$A$40="",0,IF(ISNUMBER(SEARCH(Setup!$A$40,$B120)),40,0)))</f>
        <v/>
      </c>
      <c r="CW120" s="9" t="str">
        <f aca="false">IF($B120="","",IF(Setup!$A$41="",0,IF(ISNUMBER(SEARCH(Setup!$A$41,$B120)),41,0)))</f>
        <v/>
      </c>
      <c r="CX120" s="9" t="str">
        <f aca="false">IF($B120="","",IF(Setup!$A$42="",0,IF(ISNUMBER(SEARCH(Setup!$A$42,$B120)),42,0)))</f>
        <v/>
      </c>
      <c r="CY120" s="9" t="str">
        <f aca="false">IF($B120="","",IF(Setup!$A$43="",0,IF(ISNUMBER(SEARCH(Setup!$A$43,$B120)),43,0)))</f>
        <v/>
      </c>
      <c r="CZ120" s="9" t="str">
        <f aca="false">IF($B120="","",IF(Setup!$A$44="",0,IF(ISNUMBER(SEARCH(Setup!$A$44,$B120)),44,0)))</f>
        <v/>
      </c>
      <c r="DA120" s="9" t="str">
        <f aca="false">IF($B120="","",IF(Setup!$A$45="",0,IF(ISNUMBER(SEARCH(Setup!$A$45,$B120)),45,0)))</f>
        <v/>
      </c>
      <c r="DB120" s="9" t="str">
        <f aca="false">IF($B120="","",IF(Setup!$A$46="",0,IF(ISNUMBER(SEARCH(Setup!$A$46,$B120)),46,0)))</f>
        <v/>
      </c>
      <c r="DC120" s="9" t="str">
        <f aca="false">IF($B120="","",IF(Setup!$A$47="",0,IF(ISNUMBER(SEARCH(Setup!$A$47,$B120)),47,0)))</f>
        <v/>
      </c>
      <c r="DD120" s="9" t="str">
        <f aca="false">IF($B120="","",IF(Setup!$A$48="",0,IF(ISNUMBER(SEARCH(Setup!$A$48,$B120)),48,0)))</f>
        <v/>
      </c>
      <c r="DE120" s="9" t="str">
        <f aca="false">IF($B120="","",IF(Setup!$A$49="",0,IF(ISNUMBER(SEARCH(Setup!$A$49,$B120)),49,0)))</f>
        <v/>
      </c>
      <c r="DF120" s="9" t="e">
        <f aca="false">IF($B120="",NA(),$A120)</f>
        <v>#N/A</v>
      </c>
      <c r="DG120" s="9" t="e">
        <f aca="false">IF($BI120="",NA(),$BI120)</f>
        <v>#N/A</v>
      </c>
      <c r="DH120" s="9" t="e">
        <f aca="false">IF($N120="",NA(),$N120)</f>
        <v>#N/A</v>
      </c>
      <c r="DI120" s="9" t="e">
        <f aca="false">IF(AND($D120="Drift",$N120&lt;&gt;""),$N120,NA())</f>
        <v>#N/A</v>
      </c>
      <c r="DJ120" s="9" t="str">
        <f aca="false">IF(AND($D120="Drift",$N120&lt;&gt;""),$N120,"")</f>
        <v/>
      </c>
      <c r="DK120" s="9" t="str">
        <f aca="false">IF($DJ120="","",$A120)</f>
        <v/>
      </c>
      <c r="DL120" s="9" t="e">
        <f aca="false">IF($AN120="",NA(),$AM120)</f>
        <v>#N/A</v>
      </c>
      <c r="DM120" s="9" t="e">
        <f aca="false">IF($AN120="",NA(),$AN120)</f>
        <v>#N/A</v>
      </c>
      <c r="DN120" s="9" t="e">
        <f aca="false">IF(AND($D120="Sample",$L120&lt;&gt;""),$L120,NA())</f>
        <v>#N/A</v>
      </c>
      <c r="DO120" s="9" t="e">
        <f aca="false">IF(AND($D120="Sample",$L120&lt;&gt;"",Fits!$B$98&lt;&gt;""),Fits!$B$98,NA())</f>
        <v>#N/A</v>
      </c>
      <c r="DP120" s="9" t="e">
        <f aca="false">IF($AS120="",NA(),$AS120)</f>
        <v>#N/A</v>
      </c>
      <c r="DQ120" s="9" t="e">
        <f aca="false">IF(AND($D120="Drift",$AS120="",$X120&lt;&gt;""),$X120,NA())</f>
        <v>#N/A</v>
      </c>
      <c r="DR120" s="9" t="e">
        <f aca="false">IF(AND($D120="Drift",$Z120&lt;&gt;""),$Z120,NA())</f>
        <v>#N/A</v>
      </c>
      <c r="DS120" s="9" t="e">
        <f aca="false">IF(AND(OR($D120="Sample",$D120="Check"),$AA120&lt;&gt;""),$AA120,NA())</f>
        <v>#N/A</v>
      </c>
      <c r="DT120" s="9" t="e">
        <f aca="false">IF(OR($B120="",Fits!$B$138=""),NA(),Fits!$B$138)</f>
        <v>#N/A</v>
      </c>
      <c r="DU120" s="9" t="e">
        <f aca="false">IF(OR($B120="",Fits!$B$139=""),NA(),Fits!$B$139)</f>
        <v>#N/A</v>
      </c>
      <c r="DV120" s="9" t="e">
        <f aca="false">IF($BT120="",NA(),$BT120)</f>
        <v>#N/A</v>
      </c>
      <c r="DW120" s="9" t="e">
        <f aca="false">IF($AP120="",NA(),$AO120)</f>
        <v>#N/A</v>
      </c>
      <c r="DX120" s="9" t="e">
        <f aca="false">IF($AP120="",NA(),$AP120)</f>
        <v>#N/A</v>
      </c>
      <c r="DY120" s="9" t="e">
        <f aca="false">IF(AND($D120="Sample",$P120&lt;&gt;""),$P120,NA())</f>
        <v>#N/A</v>
      </c>
      <c r="DZ120" s="9" t="e">
        <f aca="false">IF(AND($D120="Sample",$P120&lt;&gt;"",Fits!$B$105&lt;&gt;""),Fits!$B$105,NA())</f>
        <v>#N/A</v>
      </c>
      <c r="EA120" s="9" t="e">
        <f aca="false">IF($AT120="",NA(),$AT120)</f>
        <v>#N/A</v>
      </c>
      <c r="EB120" s="9" t="e">
        <f aca="false">IF(AND($D120="Drift",$AT120="",$AC120&lt;&gt;""),$AC120,NA())</f>
        <v>#N/A</v>
      </c>
      <c r="EC120" s="9" t="e">
        <f aca="false">IF(AND($D120="Drift",$AE120&lt;&gt;""),$AE120,NA())</f>
        <v>#N/A</v>
      </c>
      <c r="ED120" s="9" t="e">
        <f aca="false">IF(AND(OR($D120="Sample",$D120="Check"),$AF120&lt;&gt;""),$AF120,NA())</f>
        <v>#N/A</v>
      </c>
      <c r="EE120" s="9" t="e">
        <f aca="false">IF(OR($B120="",Fits!$B$158=""),NA(),Fits!$B$158)</f>
        <v>#N/A</v>
      </c>
      <c r="EF120" s="9" t="e">
        <f aca="false">IF(OR($B120="",Fits!$B$159=""),NA(),Fits!$B$159)</f>
        <v>#N/A</v>
      </c>
      <c r="EG120" s="9" t="e">
        <f aca="false">IF($BW120="",NA(),$BW120)</f>
        <v>#N/A</v>
      </c>
      <c r="EH120" s="9" t="e">
        <f aca="false">IF(AND($EN120=1,ISNUMBER($N120)),$N120,NA())</f>
        <v>#N/A</v>
      </c>
      <c r="EI120" s="9" t="str">
        <f aca="false">IF($B120="","",$A120)</f>
        <v/>
      </c>
      <c r="EJ120" s="9" t="n">
        <f aca="false">IF(OR(AND(ISNUMBER($L120),Fits!$B$97&gt;0,$L120&gt;Fits!$B$97),AND(ISNUMBER($P120),Fits!$B$104&gt;0,$P120&gt;Fits!$B$104)),1,0)</f>
        <v>0</v>
      </c>
      <c r="EK120" s="9" t="n">
        <f aca="false">IF(OR($EJ119=1,$EJ118=1),1,0)</f>
        <v>0</v>
      </c>
      <c r="EL120" s="22" t="n">
        <f aca="false">IF(AND($EK120=0,ISNUMBER($N120)),$N120,$EL119)</f>
        <v>25.7</v>
      </c>
      <c r="EM120" s="9" t="str">
        <f aca="false">IF(AND($EK120=1,ISNUMBER($N120),ISNUMBER($EL120)),$N120-$EL120,"")</f>
        <v/>
      </c>
      <c r="EN120" s="9" t="n">
        <f aca="false">IF(Setup!$B$28="",0,IF(ISNUMBER($EM120),IF($EM120&gt;Setup!$B$28,1,0),0))</f>
        <v>0</v>
      </c>
      <c r="EO120" s="9" t="str">
        <f aca="false">IF($EN120=1,COUNTIF($EN$6:$EN120,1),"")</f>
        <v/>
      </c>
      <c r="EP120" s="9" t="n">
        <f aca="false">IF(AND($EJ119=1,OR($D120="Sample",$D120="Check")),1,0)</f>
        <v>0</v>
      </c>
      <c r="EQ120" s="9" t="str">
        <f aca="false">IF(ISNUMBER($BI120),IF(COUNT($BI$6:$BI120)&lt;=5,$BI120,""),"")</f>
        <v/>
      </c>
      <c r="ER120" s="9" t="n">
        <f aca="false">IF(OR(NOT(ISNUMBER($BJ120)),$EK120=1),$ER119,IF($BJ120&lt;=Setup!$B$26,IF($CP119=0,$A120,$ER119),""))</f>
        <v>27</v>
      </c>
    </row>
    <row r="121" customFormat="false" ht="15" hidden="false" customHeight="false" outlineLevel="0" collapsed="false">
      <c r="A121" s="8" t="n">
        <v>116</v>
      </c>
      <c r="B121" s="8" t="str">
        <f aca="false">IFERROR(INDEX(Raw!$B$2:$B$1001,MATCH($A121,Raw!$A$2:$A$1001,0)),"")</f>
        <v/>
      </c>
      <c r="C121" s="9" t="str">
        <f aca="false">IF($B121="","",MAX($CS121:$DE121))</f>
        <v/>
      </c>
      <c r="D121" s="8" t="str">
        <f aca="false">IF($B121="","",IF($C121=0,"Sample",INDEX(Setup!$B$37:$B$49,$C121-36)))</f>
        <v/>
      </c>
      <c r="E121" s="16" t="str">
        <f aca="false">IF($B121="","",IFERROR(IF(INDEX(Raw!$E$2:$E$1001,MATCH($A121,Raw!$A$2:$A$1001,0))=0,"",INDEX(Raw!$E$2:$E$1001,MATCH($A121,Raw!$A$2:$A$1001,0))),""))</f>
        <v/>
      </c>
      <c r="F121" s="18"/>
      <c r="G121" s="16" t="str">
        <f aca="false">IF($B121="","",IF($F121&lt;&gt;"",$F121,IF($E121="","",$E121)))</f>
        <v/>
      </c>
      <c r="H121" s="9" t="str">
        <f aca="false">IF($B121="","",SUMPRODUCT(MAX((Raw!$A$2:$A$1001=$A121)*(Raw!$R$2:$R$1001="N")*Raw!$D$2:$D$1001)))</f>
        <v/>
      </c>
      <c r="I121" s="9" t="str">
        <f aca="false">IF(OR($H121="",$H121=0),"",$A121&amp;"|N|"&amp;$H121)</f>
        <v/>
      </c>
      <c r="J121" s="9" t="str">
        <f aca="false">IF($B121="","",SUMPRODUCT(MIN((Raw!$A$2:$A$1001=$A121)*(Raw!$R$2:$R$1001="C")*Raw!$D$2:$D$1001+(1-(Raw!$A$2:$A$1001=$A121)*(Raw!$R$2:$R$1001="C"))*9999)))</f>
        <v/>
      </c>
      <c r="K121" s="9" t="str">
        <f aca="false">IF(OR($J121="",$J121=0,$J121=9999),"",$A121&amp;"|C|"&amp;$J121)</f>
        <v/>
      </c>
      <c r="L121" s="16" t="str">
        <f aca="false">IF($I121="","",IF(INDEX(Raw!$I$2:$I$1001,MATCH($I121,Raw!$S$2:$S$1001,0))&lt;&gt;0,"",INDEX(Raw!$H$2:$H$1001,MATCH($I121,Raw!$S$2:$S$1001,0))))</f>
        <v/>
      </c>
      <c r="M121" s="19" t="str">
        <f aca="false">IF($I121="","",IF(INDEX(Raw!$I$2:$I$1001,MATCH($I121,Raw!$S$2:$S$1001,0))&lt;&gt;0,"",INDEX(Raw!$F$2:$F$1001,MATCH($I121,Raw!$S$2:$S$1001,0))))</f>
        <v/>
      </c>
      <c r="N121" s="20" t="str">
        <f aca="false">IF($I121="","",IF(INDEX(Raw!$I$2:$I$1001,MATCH($I121,Raw!$S$2:$S$1001,0))&lt;&gt;0,"",INDEX(Raw!$G$2:$G$1001,MATCH($I121,Raw!$S$2:$S$1001,0))))</f>
        <v/>
      </c>
      <c r="O121" s="16" t="str">
        <f aca="false">IF($I121="","",IF(INDEX(Raw!$I$2:$I$1001,MATCH($I121,Raw!$S$2:$S$1001,0))&lt;&gt;0,"",INDEX(Raw!$N$2:$N$1001,MATCH($I121,Raw!$S$2:$S$1001,0))))</f>
        <v/>
      </c>
      <c r="P121" s="16" t="str">
        <f aca="false">IF($K121="","",IF(INDEX(Raw!$I$2:$I$1001,MATCH($K121,Raw!$S$2:$S$1001,0))&lt;&gt;0,"",INDEX(Raw!$K$2:$K$1001,MATCH($K121,Raw!$S$2:$S$1001,0))))</f>
        <v/>
      </c>
      <c r="Q121" s="19" t="str">
        <f aca="false">IF($K121="","",IF(INDEX(Raw!$I$2:$I$1001,MATCH($K121,Raw!$S$2:$S$1001,0))&lt;&gt;0,"",INDEX(Raw!$J$2:$J$1001,MATCH($K121,Raw!$S$2:$S$1001,0))))</f>
        <v/>
      </c>
      <c r="R121" s="16" t="str">
        <f aca="false">IF($K121="","",IF(INDEX(Raw!$I$2:$I$1001,MATCH($K121,Raw!$S$2:$S$1001,0))&lt;&gt;0,"",INDEX(Raw!$O$2:$O$1001,MATCH($K121,Raw!$S$2:$S$1001,0))))</f>
        <v/>
      </c>
      <c r="S121" s="21" t="str">
        <f aca="false">IF($B121="","",IF($C121=0,"",IF(INDEX(Setup!$D$37:$D$49,$C121-36)="","",INDEX(Setup!$D$37:$D$49,$C121-36))))</f>
        <v/>
      </c>
      <c r="T121" s="21" t="str">
        <f aca="false">IF($B121="","",IF($C121=0,"",IF(INDEX(Setup!$C$37:$C$49,$C121-36)="","",INDEX(Setup!$C$37:$C$49,$C121-36))))</f>
        <v/>
      </c>
      <c r="U121" s="21" t="str">
        <f aca="false">IF($B121="","",IF($C121=0,"",IF(INDEX(Setup!$F$37:$F$49,$C121-36)="","",INDEX(Setup!$F$37:$F$49,$C121-36))))</f>
        <v/>
      </c>
      <c r="V121" s="21" t="str">
        <f aca="false">IF($B121="","",IF($C121=0,"",IF(INDEX(Setup!$E$37:$E$49,$C121-36)="","",INDEX(Setup!$E$37:$E$49,$C121-36))))</f>
        <v/>
      </c>
      <c r="W121" s="16" t="str">
        <f aca="false">IF($O121="","",IF(OR(Fits!$C$5&lt;&gt;"Yes",$D121="Blank",$L121&lt;=Fits!$B$6),$O121,($L121*$O121-Fits!$B$6*Fits!$B$7)/($L121-Fits!$B$6)))</f>
        <v/>
      </c>
      <c r="X121" s="16" t="str">
        <f aca="false">IF($W121="","",$W121-Fits!$B$20*($L121-Fits!$B$16))</f>
        <v/>
      </c>
      <c r="Y121" s="22" t="str">
        <f aca="false">IF($W121="","",IF(OR(Fits!$B$38="Row",$BI121=""),$A121,$BI121))</f>
        <v/>
      </c>
      <c r="Z121" s="16" t="str">
        <f aca="false">IF($X121="","",$X121-Fits!$B$39*($Y121-Fits!$B$40))</f>
        <v/>
      </c>
      <c r="AA121" s="23" t="str">
        <f aca="false">IF(OR($Z121="",Fits!$B$55&lt;2),"",Fits!$B$56*$Z121+Fits!$B$57)</f>
        <v/>
      </c>
      <c r="AB121" s="16" t="str">
        <f aca="false">IF($R121="","",IF(OR(Fits!$C$9&lt;&gt;"Yes",$D121="Blank",$P121&lt;=Fits!$B$10),$R121,($P121*$R121-Fits!$B$10*Fits!$B$11)/($P121-Fits!$B$10)))</f>
        <v/>
      </c>
      <c r="AC121" s="16" t="str">
        <f aca="false">IF($AB121="","",$AB121-Fits!$B$28*($P121-Fits!$B$24))</f>
        <v/>
      </c>
      <c r="AD121" s="22" t="str">
        <f aca="false">IF($AB121="","",IF(OR(Fits!$B$50="Row",$BI121=""),$A121,$BI121))</f>
        <v/>
      </c>
      <c r="AE121" s="16" t="str">
        <f aca="false">IF($AC121="","",$AC121-Fits!$B$51*($AD121-Fits!$B$52))</f>
        <v/>
      </c>
      <c r="AF121" s="23" t="str">
        <f aca="false">IF(OR($AE121="",Fits!$B$62&lt;2),"",Fits!$B$63*$AE121+Fits!$B$64)</f>
        <v/>
      </c>
      <c r="AG121" s="21" t="str">
        <f aca="false">IF(OR($L121="",Fits!$B$69&lt;3),"",($L121-Fits!$B$71)/Fits!$B$70)</f>
        <v/>
      </c>
      <c r="AH121" s="21" t="str">
        <f aca="false">IF(OR($P121="",Fits!$B$75&lt;3),"",($P121-Fits!$B$77)/Fits!$B$76)</f>
        <v/>
      </c>
      <c r="AI121" s="23" t="str">
        <f aca="false">IF(OR($AG121="",$G121="",$G121=0),"",$AG121/($G121*1000)*100)</f>
        <v/>
      </c>
      <c r="AJ121" s="23" t="str">
        <f aca="false">IF(OR($AH121="",$G121="",$G121=0),"",$AH121/($G121*1000)*100)</f>
        <v/>
      </c>
      <c r="AK121" s="23" t="str">
        <f aca="false">IF(OR($AG121="",$AH121="",$AG121&lt;=0),"",($AH121/Setup!$B$52)/($AG121/Setup!$B$53))</f>
        <v/>
      </c>
      <c r="AL121" s="23" t="str">
        <f aca="false">IF(OR($AG121="",$AH121="",$AG121&lt;=0),"",$AH121/$AG121)</f>
        <v/>
      </c>
      <c r="AM121" s="9" t="str">
        <f aca="false">IF($D121="Linearity",IF($L121="","",$L121),"")</f>
        <v/>
      </c>
      <c r="AN121" s="9" t="str">
        <f aca="false">IF($D121="Linearity",IF($W121="","",$W121),"")</f>
        <v/>
      </c>
      <c r="AO121" s="9" t="str">
        <f aca="false">IF($D121="Linearity",IF($P121="","",$P121),"")</f>
        <v/>
      </c>
      <c r="AP121" s="9" t="str">
        <f aca="false">IF($D121="Linearity",IF($AB121="","",$AB121),"")</f>
        <v/>
      </c>
      <c r="AQ121" s="9" t="str">
        <f aca="false">IF($D121="Drift",IF($A121&lt;IF(Setup!$B$14="",0,Setup!$B$14),"",$A121),"")</f>
        <v/>
      </c>
      <c r="AR121" s="9" t="str">
        <f aca="false">IF($D121="Drift",IF($A121&lt;IF(Setup!$B$14="",0,Setup!$B$14),"",IF($BI121="","",$BI121)),"")</f>
        <v/>
      </c>
      <c r="AS121" s="9" t="str">
        <f aca="false">IF($D121="Drift",IF($A121&lt;IF(Setup!$B$14="",0,Setup!$B$14),"",IF(OR($X121="",$BX121=1),"",$X121)),"")</f>
        <v/>
      </c>
      <c r="AT121" s="9" t="str">
        <f aca="false">IF($D121="Drift",IF($A121&lt;IF(Setup!$B$14="",0,Setup!$B$14),"",IF(OR($AC121="",$BY121=1),"",$AC121)),"")</f>
        <v/>
      </c>
      <c r="AU121" s="9" t="str">
        <f aca="false">IF($D121="Anchor",IF(OR($Z121="",$S121=""),"",$Z121),"")</f>
        <v/>
      </c>
      <c r="AV121" s="9" t="str">
        <f aca="false">IF($D121="Anchor",IF(OR($Z121="",$S121=""),"",$S121),"")</f>
        <v/>
      </c>
      <c r="AW121" s="9" t="str">
        <f aca="false">IF($D121="Anchor",IF(OR($AE121="",$T121=""),"",$AE121),"")</f>
        <v/>
      </c>
      <c r="AX121" s="9" t="str">
        <f aca="false">IF($D121="Anchor",IF(OR($AE121="",$T121=""),"",$T121),"")</f>
        <v/>
      </c>
      <c r="AY121" s="9" t="str">
        <f aca="false">IF(OR($D121="Blank",$D121="Exclude",$D121="Sample",$D121="",$G121="",$U121="",$L121=""),"",$G121*1000*$U121/100)</f>
        <v/>
      </c>
      <c r="AZ121" s="9" t="str">
        <f aca="false">IF($AY121="","",$L121)</f>
        <v/>
      </c>
      <c r="BA121" s="9" t="str">
        <f aca="false">IF(OR($D121="Blank",$D121="Exclude",$D121="Sample",$D121="",$G121="",$V121="",$P121=""),"",$G121*1000*$V121/100)</f>
        <v/>
      </c>
      <c r="BB121" s="9" t="str">
        <f aca="false">IF($BA121="","",$P121)</f>
        <v/>
      </c>
      <c r="BC121" s="9" t="str">
        <f aca="false">IF(AND($D121="Blank",$L121&lt;&gt;""),$O121,"")</f>
        <v/>
      </c>
      <c r="BD121" s="9" t="str">
        <f aca="false">IF($BC121="","",$L121)</f>
        <v/>
      </c>
      <c r="BE121" s="9" t="str">
        <f aca="false">IF(AND($D121="Blank",$P121&lt;&gt;""),$R121,"")</f>
        <v/>
      </c>
      <c r="BF121" s="9" t="str">
        <f aca="false">IF($BE121="","",$P121)</f>
        <v/>
      </c>
      <c r="BG121" s="9" t="str">
        <f aca="false">IF(AND($D121="Drift",$BX121&lt;&gt;1),IF($AA121="","",$AA121),"")</f>
        <v/>
      </c>
      <c r="BH121" s="9" t="str">
        <f aca="false">IF(AND($D121="Drift",$BY121&lt;&gt;1),IF($AF121="","",$AF121),"")</f>
        <v/>
      </c>
      <c r="BI121" s="20" t="str">
        <f aca="false">IF($B121="","",IFERROR(INDEX(Raw!$G$2:$G$1001,MATCH($A121&amp;"|N|"&amp;SUMPRODUCT(MAX((Raw!$A$2:$A$1001=$A121)*(Raw!$R$2:$R$1001="N")*(Raw!$I$2:$I$1001=1)*Raw!$D$2:$D$1001)),Raw!$S$2:$S$1001,0)),""))</f>
        <v/>
      </c>
      <c r="BJ121" s="21" t="str">
        <f aca="false">IF(OR($BI121="",Fits!$B$85&lt;=0),"",($BI121-Fits!$B$83)/Fits!$B$85)</f>
        <v/>
      </c>
      <c r="BK121" s="9" t="str">
        <f aca="false">IF($AS121="","",IF($A121&gt;=Fits!$B$86,"",$A121))</f>
        <v/>
      </c>
      <c r="BL121" s="9" t="str">
        <f aca="false">IF($BK121="","",$X121)</f>
        <v/>
      </c>
      <c r="BM121" s="9" t="str">
        <f aca="false">IF($AS121="","",IF($A121&lt;Fits!$B$86,"",$A121))</f>
        <v/>
      </c>
      <c r="BN121" s="9" t="str">
        <f aca="false">IF($BM121="","",$X121)</f>
        <v/>
      </c>
      <c r="BO121" s="9" t="str">
        <f aca="false">IF(AND($D121="Drift",$BX121&lt;&gt;1),IF($O121="","",$O121),"")</f>
        <v/>
      </c>
      <c r="BP121" s="9" t="str">
        <f aca="false">IF(AND($D121="Drift",$BX121&lt;&gt;1),IF($W121="","",$W121),"")</f>
        <v/>
      </c>
      <c r="BQ121" s="9" t="str">
        <f aca="false">IF(AND($D121="Drift",$BX121&lt;&gt;1),IF($X121="","",$X121),"")</f>
        <v/>
      </c>
      <c r="BR121" s="9" t="str">
        <f aca="false">IF(AND($D121="Drift",$BX121&lt;&gt;1),IF($Z121="","",$Z121),"")</f>
        <v/>
      </c>
      <c r="BS121" s="9" t="str">
        <f aca="false">IF(OR($B121="",$H121=""),"",SUMPRODUCT(MIN((Raw!$A$2:$A$1001=$A121)*(Raw!$R$2:$R$1001="N")*(Raw!$I$2:$I$1001=0)*(Raw!$D$2:$D$1001&lt;$H121)*Raw!$D$2:$D$1001+(1-(Raw!$A$2:$A$1001=$A121)*(Raw!$R$2:$R$1001="N")*(Raw!$I$2:$I$1001=0)*(Raw!$D$2:$D$1001&lt;$H121))*9999)))</f>
        <v/>
      </c>
      <c r="BT121" s="16" t="str">
        <f aca="false">IF(OR($BS121="",$BS121=9999,$BS121=0),"",IFERROR(INDEX(Raw!$N$2:$N$1001,MATCH($A121&amp;"|N|"&amp;$BS121,Raw!$S$2:$S$1001,0)),""))</f>
        <v/>
      </c>
      <c r="BU121" s="9" t="str">
        <f aca="false">IF($B121="","",SUMPRODUCT(MIN((Raw!$A$2:$A$1001=$A121)*(Raw!$R$2:$R$1001="C")*(Raw!$I$2:$I$1001=1)*Raw!$D$2:$D$1001+(1-(Raw!$A$2:$A$1001=$A121)*(Raw!$R$2:$R$1001="C")*(Raw!$I$2:$I$1001=1))*9999)))</f>
        <v/>
      </c>
      <c r="BV121" s="9" t="str">
        <f aca="false">IF(OR($BU121="",$BU121=9999),"",SUMPRODUCT(MIN((Raw!$A$2:$A$1001=$A121)*(Raw!$R$2:$R$1001="C")*(Raw!$I$2:$I$1001=0)*(Raw!$D$2:$D$1001&gt;$BU121)*Raw!$D$2:$D$1001+(1-(Raw!$A$2:$A$1001=$A121)*(Raw!$R$2:$R$1001="C")*(Raw!$I$2:$I$1001=0)*(Raw!$D$2:$D$1001&gt;$BU121))*9999)))</f>
        <v/>
      </c>
      <c r="BW121" s="16" t="str">
        <f aca="false">IF(OR($BV121="",$BV121=9999,$BV121=0),"",IFERROR(INDEX(Raw!$O$2:$O$1001,MATCH($A121&amp;"|C|"&amp;$BV121,Raw!$S$2:$S$1001,0)),""))</f>
        <v/>
      </c>
      <c r="BX121" s="9" t="str">
        <f aca="false">IF($B121="","",IF(ISNUMBER(SEARCH(","&amp;$A121&amp;",",","&amp;SUBSTITUTE(Setup!$B$16," ","")&amp;",")),1,0))</f>
        <v/>
      </c>
      <c r="BY121" s="9" t="str">
        <f aca="false">IF($B121="","",IF(ISNUMBER(SEARCH(","&amp;$A121&amp;",",","&amp;SUBSTITUTE(Setup!$B$17," ","")&amp;",")),1,0))</f>
        <v/>
      </c>
      <c r="BZ121" s="22" t="str">
        <f aca="false">IF($AS121="","",IF(Fits!$B$38="Row",$AQ121,IF($AR121="","",$AR121)))</f>
        <v/>
      </c>
      <c r="CA121" s="22" t="str">
        <f aca="false">IF($AT121="","",IF(Fits!$B$50="Row",$AQ121,IF($AR121="","",$AR121)))</f>
        <v/>
      </c>
      <c r="CB121" s="20" t="str">
        <f aca="false">IF(OR($D121&lt;&gt;"Drift",$X121="",$A121&lt;IF(Setup!$B$14="",0,Setup!$B$14),Fits!$B$107&lt;3,Fits!$B$110="",Fits!$B$109=0,IF(Fits!$B$38="Row",$AQ121,$AR121)=""),"",IF($BX121=1,IF(OR(Fits!$B$111="",Fits!$B$111=0),"",($X121-(IF(Fits!$B$38="Row",Fits!$B$32,Fits!$B$35)*IF(Fits!$B$38="Row",$AQ121,$AR121)+Fits!$B$110))/(Fits!$B$111*SQRT(1+(1/Fits!$B$107+(IF(Fits!$B$38="Row",$AQ121,$AR121)-Fits!$B$108)^2/Fits!$B$109)))),IF(OR(Fits!$B$107&lt;4,(1/Fits!$B$107+(IF(Fits!$B$38="Row",$AQ121,$AR121)-Fits!$B$108)^2/Fits!$B$109)&gt;=1),"",IF((Fits!$B$116-($X121-(IF(Fits!$B$38="Row",Fits!$B$32,Fits!$B$35)*IF(Fits!$B$38="Row",$AQ121,$AR121)+Fits!$B$110))^2/(1-(1/Fits!$B$107+(IF(Fits!$B$38="Row",$AQ121,$AR121)-Fits!$B$108)^2/Fits!$B$109)))&lt;=0,"",($X121-(IF(Fits!$B$38="Row",Fits!$B$32,Fits!$B$35)*IF(Fits!$B$38="Row",$AQ121,$AR121)+Fits!$B$110))/(SQRT((Fits!$B$116-($X121-(IF(Fits!$B$38="Row",Fits!$B$32,Fits!$B$35)*IF(Fits!$B$38="Row",$AQ121,$AR121)+Fits!$B$110))^2/(1-(1/Fits!$B$107+(IF(Fits!$B$38="Row",$AQ121,$AR121)-Fits!$B$108)^2/Fits!$B$109)))/(Fits!$B$107-3))*SQRT(1-(1/Fits!$B$107+(IF(Fits!$B$38="Row",$AQ121,$AR121)-Fits!$B$108)^2/Fits!$B$109)))))))</f>
        <v/>
      </c>
      <c r="CC121" s="20" t="str">
        <f aca="false">IF(OR($D121&lt;&gt;"Drift",$AC121="",$A121&lt;IF(Setup!$B$14="",0,Setup!$B$14),Fits!$B$120&lt;3,Fits!$B$123="",Fits!$B$122=0,IF(Fits!$B$50="Row",$AQ121,$AR121)=""),"",IF($BY121=1,IF(OR(Fits!$B$124="",Fits!$B$124=0),"",($AC121-(IF(Fits!$B$50="Row",Fits!$B$44,Fits!$B$47)*IF(Fits!$B$50="Row",$AQ121,$AR121)+Fits!$B$123))/(Fits!$B$124*SQRT(1+(1/Fits!$B$120+(IF(Fits!$B$50="Row",$AQ121,$AR121)-Fits!$B$121)^2/Fits!$B$122)))),IF(OR(Fits!$B$120&lt;4,(1/Fits!$B$120+(IF(Fits!$B$50="Row",$AQ121,$AR121)-Fits!$B$121)^2/Fits!$B$122)&gt;=1),"",IF((Fits!$B$129-($AC121-(IF(Fits!$B$50="Row",Fits!$B$44,Fits!$B$47)*IF(Fits!$B$50="Row",$AQ121,$AR121)+Fits!$B$123))^2/(1-(1/Fits!$B$120+(IF(Fits!$B$50="Row",$AQ121,$AR121)-Fits!$B$121)^2/Fits!$B$122)))&lt;=0,"",($AC121-(IF(Fits!$B$50="Row",Fits!$B$44,Fits!$B$47)*IF(Fits!$B$50="Row",$AQ121,$AR121)+Fits!$B$123))/(SQRT((Fits!$B$129-($AC121-(IF(Fits!$B$50="Row",Fits!$B$44,Fits!$B$47)*IF(Fits!$B$50="Row",$AQ121,$AR121)+Fits!$B$123))^2/(1-(1/Fits!$B$120+(IF(Fits!$B$50="Row",$AQ121,$AR121)-Fits!$B$121)^2/Fits!$B$122)))/(Fits!$B$120-3))*SQRT(1-(1/Fits!$B$120+(IF(Fits!$B$50="Row",$AQ121,$AR121)-Fits!$B$121)^2/Fits!$B$122)))))))</f>
        <v/>
      </c>
      <c r="CD121" s="9" t="str">
        <f aca="false">IF($AU121="","",1)</f>
        <v/>
      </c>
      <c r="CE121" s="24" t="str">
        <f aca="false">IF($AU121="","",$AU121-Fits!$B$133)</f>
        <v/>
      </c>
      <c r="CF121" s="24" t="str">
        <f aca="false">IF($AU121="","",($AV121-(Fits!$B$56*$AU121+Fits!$B$57))-Fits!$B$56*($AU121-Fits!$B$133))</f>
        <v/>
      </c>
      <c r="CG121" s="25" t="str">
        <f aca="false">IF($AU121="","",$AU121^2)</f>
        <v/>
      </c>
      <c r="CH121" s="9" t="str">
        <f aca="false">IF($AW121="","",1)</f>
        <v/>
      </c>
      <c r="CI121" s="24" t="str">
        <f aca="false">IF($AW121="","",$AW121-Fits!$B$153)</f>
        <v/>
      </c>
      <c r="CJ121" s="24" t="str">
        <f aca="false">IF($AW121="","",($AX121-(Fits!$B$63*$AW121+Fits!$B$64))-Fits!$B$63*($AW121-Fits!$B$153))</f>
        <v/>
      </c>
      <c r="CK121" s="25" t="str">
        <f aca="false">IF($AW121="","",$AW121^2)</f>
        <v/>
      </c>
      <c r="CL121" s="26" t="str">
        <f aca="false">IF(OR($Z121="",Fits!$B$55&lt;3,Fits!$B$133="",Fits!$B$134="",Fits!$B$134=0,Fits!$B$136=""),"",SQRT((Fits!$B$136*Fits!$B$56)^2+SUMPRODUCT((Fits!$J$163:$J$175*(Fits!$B$163:$B$175/Fits!$B$55+Fits!$H$163:$H$175*($Z121-Fits!$B$133)/Fits!$B$134))^2)+SUMPRODUCT((Fits!$G$163:$G$175*(($Z121-Fits!$B$133)*Fits!$I$163:$I$175/Fits!$B$134-Fits!$B$163:$B$175*Fits!$B$56/Fits!$B$55))^2)))</f>
        <v/>
      </c>
      <c r="CM121" s="26" t="str">
        <f aca="false">IF($CL121="","",Setup!$B$32*$CL121)</f>
        <v/>
      </c>
      <c r="CN121" s="26" t="str">
        <f aca="false">IF(OR($AE121="",Fits!$B$62&lt;3,Fits!$B$153="",Fits!$B$154="",Fits!$B$154=0,Fits!$B$156=""),"",SQRT((Fits!$B$156*Fits!$B$63)^2+SUMPRODUCT((Fits!$J$183:$J$195*(Fits!$B$183:$B$195/Fits!$B$62+Fits!$H$183:$H$195*($AE121-Fits!$B$153)/Fits!$B$154))^2)+SUMPRODUCT((Fits!$G$183:$G$195*(($AE121-Fits!$B$153)*Fits!$I$183:$I$195/Fits!$B$154-Fits!$B$183:$B$195*Fits!$B$63/Fits!$B$62))^2)))</f>
        <v/>
      </c>
      <c r="CO121" s="26" t="str">
        <f aca="false">IF($CN121="","",Setup!$B$32*$CN121)</f>
        <v/>
      </c>
      <c r="CP121" s="9" t="n">
        <f aca="false">IF(OR(NOT(ISNUMBER($BJ121)),$EK121=1),$CP120,IF($BJ121&lt;=Setup!$B$26,$CP120+1,0))</f>
        <v>26</v>
      </c>
      <c r="CQ121" s="9" t="str">
        <f aca="false">IF($BT121="","",$A121)</f>
        <v/>
      </c>
      <c r="CR121" s="9" t="str">
        <f aca="false">IF($BW121="","",$A121)</f>
        <v/>
      </c>
      <c r="CS121" s="9" t="str">
        <f aca="false">IF($B121="","",IF(Setup!$A$37="",0,IF(ISNUMBER(SEARCH(Setup!$A$37,$B121)),37,0)))</f>
        <v/>
      </c>
      <c r="CT121" s="9" t="str">
        <f aca="false">IF($B121="","",IF(Setup!$A$38="",0,IF(ISNUMBER(SEARCH(Setup!$A$38,$B121)),38,0)))</f>
        <v/>
      </c>
      <c r="CU121" s="9" t="str">
        <f aca="false">IF($B121="","",IF(Setup!$A$39="",0,IF(ISNUMBER(SEARCH(Setup!$A$39,$B121)),39,0)))</f>
        <v/>
      </c>
      <c r="CV121" s="9" t="str">
        <f aca="false">IF($B121="","",IF(Setup!$A$40="",0,IF(ISNUMBER(SEARCH(Setup!$A$40,$B121)),40,0)))</f>
        <v/>
      </c>
      <c r="CW121" s="9" t="str">
        <f aca="false">IF($B121="","",IF(Setup!$A$41="",0,IF(ISNUMBER(SEARCH(Setup!$A$41,$B121)),41,0)))</f>
        <v/>
      </c>
      <c r="CX121" s="9" t="str">
        <f aca="false">IF($B121="","",IF(Setup!$A$42="",0,IF(ISNUMBER(SEARCH(Setup!$A$42,$B121)),42,0)))</f>
        <v/>
      </c>
      <c r="CY121" s="9" t="str">
        <f aca="false">IF($B121="","",IF(Setup!$A$43="",0,IF(ISNUMBER(SEARCH(Setup!$A$43,$B121)),43,0)))</f>
        <v/>
      </c>
      <c r="CZ121" s="9" t="str">
        <f aca="false">IF($B121="","",IF(Setup!$A$44="",0,IF(ISNUMBER(SEARCH(Setup!$A$44,$B121)),44,0)))</f>
        <v/>
      </c>
      <c r="DA121" s="9" t="str">
        <f aca="false">IF($B121="","",IF(Setup!$A$45="",0,IF(ISNUMBER(SEARCH(Setup!$A$45,$B121)),45,0)))</f>
        <v/>
      </c>
      <c r="DB121" s="9" t="str">
        <f aca="false">IF($B121="","",IF(Setup!$A$46="",0,IF(ISNUMBER(SEARCH(Setup!$A$46,$B121)),46,0)))</f>
        <v/>
      </c>
      <c r="DC121" s="9" t="str">
        <f aca="false">IF($B121="","",IF(Setup!$A$47="",0,IF(ISNUMBER(SEARCH(Setup!$A$47,$B121)),47,0)))</f>
        <v/>
      </c>
      <c r="DD121" s="9" t="str">
        <f aca="false">IF($B121="","",IF(Setup!$A$48="",0,IF(ISNUMBER(SEARCH(Setup!$A$48,$B121)),48,0)))</f>
        <v/>
      </c>
      <c r="DE121" s="9" t="str">
        <f aca="false">IF($B121="","",IF(Setup!$A$49="",0,IF(ISNUMBER(SEARCH(Setup!$A$49,$B121)),49,0)))</f>
        <v/>
      </c>
      <c r="DF121" s="9" t="e">
        <f aca="false">IF($B121="",NA(),$A121)</f>
        <v>#N/A</v>
      </c>
      <c r="DG121" s="9" t="e">
        <f aca="false">IF($BI121="",NA(),$BI121)</f>
        <v>#N/A</v>
      </c>
      <c r="DH121" s="9" t="e">
        <f aca="false">IF($N121="",NA(),$N121)</f>
        <v>#N/A</v>
      </c>
      <c r="DI121" s="9" t="e">
        <f aca="false">IF(AND($D121="Drift",$N121&lt;&gt;""),$N121,NA())</f>
        <v>#N/A</v>
      </c>
      <c r="DJ121" s="9" t="str">
        <f aca="false">IF(AND($D121="Drift",$N121&lt;&gt;""),$N121,"")</f>
        <v/>
      </c>
      <c r="DK121" s="9" t="str">
        <f aca="false">IF($DJ121="","",$A121)</f>
        <v/>
      </c>
      <c r="DL121" s="9" t="e">
        <f aca="false">IF($AN121="",NA(),$AM121)</f>
        <v>#N/A</v>
      </c>
      <c r="DM121" s="9" t="e">
        <f aca="false">IF($AN121="",NA(),$AN121)</f>
        <v>#N/A</v>
      </c>
      <c r="DN121" s="9" t="e">
        <f aca="false">IF(AND($D121="Sample",$L121&lt;&gt;""),$L121,NA())</f>
        <v>#N/A</v>
      </c>
      <c r="DO121" s="9" t="e">
        <f aca="false">IF(AND($D121="Sample",$L121&lt;&gt;"",Fits!$B$98&lt;&gt;""),Fits!$B$98,NA())</f>
        <v>#N/A</v>
      </c>
      <c r="DP121" s="9" t="e">
        <f aca="false">IF($AS121="",NA(),$AS121)</f>
        <v>#N/A</v>
      </c>
      <c r="DQ121" s="9" t="e">
        <f aca="false">IF(AND($D121="Drift",$AS121="",$X121&lt;&gt;""),$X121,NA())</f>
        <v>#N/A</v>
      </c>
      <c r="DR121" s="9" t="e">
        <f aca="false">IF(AND($D121="Drift",$Z121&lt;&gt;""),$Z121,NA())</f>
        <v>#N/A</v>
      </c>
      <c r="DS121" s="9" t="e">
        <f aca="false">IF(AND(OR($D121="Sample",$D121="Check"),$AA121&lt;&gt;""),$AA121,NA())</f>
        <v>#N/A</v>
      </c>
      <c r="DT121" s="9" t="e">
        <f aca="false">IF(OR($B121="",Fits!$B$138=""),NA(),Fits!$B$138)</f>
        <v>#N/A</v>
      </c>
      <c r="DU121" s="9" t="e">
        <f aca="false">IF(OR($B121="",Fits!$B$139=""),NA(),Fits!$B$139)</f>
        <v>#N/A</v>
      </c>
      <c r="DV121" s="9" t="e">
        <f aca="false">IF($BT121="",NA(),$BT121)</f>
        <v>#N/A</v>
      </c>
      <c r="DW121" s="9" t="e">
        <f aca="false">IF($AP121="",NA(),$AO121)</f>
        <v>#N/A</v>
      </c>
      <c r="DX121" s="9" t="e">
        <f aca="false">IF($AP121="",NA(),$AP121)</f>
        <v>#N/A</v>
      </c>
      <c r="DY121" s="9" t="e">
        <f aca="false">IF(AND($D121="Sample",$P121&lt;&gt;""),$P121,NA())</f>
        <v>#N/A</v>
      </c>
      <c r="DZ121" s="9" t="e">
        <f aca="false">IF(AND($D121="Sample",$P121&lt;&gt;"",Fits!$B$105&lt;&gt;""),Fits!$B$105,NA())</f>
        <v>#N/A</v>
      </c>
      <c r="EA121" s="9" t="e">
        <f aca="false">IF($AT121="",NA(),$AT121)</f>
        <v>#N/A</v>
      </c>
      <c r="EB121" s="9" t="e">
        <f aca="false">IF(AND($D121="Drift",$AT121="",$AC121&lt;&gt;""),$AC121,NA())</f>
        <v>#N/A</v>
      </c>
      <c r="EC121" s="9" t="e">
        <f aca="false">IF(AND($D121="Drift",$AE121&lt;&gt;""),$AE121,NA())</f>
        <v>#N/A</v>
      </c>
      <c r="ED121" s="9" t="e">
        <f aca="false">IF(AND(OR($D121="Sample",$D121="Check"),$AF121&lt;&gt;""),$AF121,NA())</f>
        <v>#N/A</v>
      </c>
      <c r="EE121" s="9" t="e">
        <f aca="false">IF(OR($B121="",Fits!$B$158=""),NA(),Fits!$B$158)</f>
        <v>#N/A</v>
      </c>
      <c r="EF121" s="9" t="e">
        <f aca="false">IF(OR($B121="",Fits!$B$159=""),NA(),Fits!$B$159)</f>
        <v>#N/A</v>
      </c>
      <c r="EG121" s="9" t="e">
        <f aca="false">IF($BW121="",NA(),$BW121)</f>
        <v>#N/A</v>
      </c>
      <c r="EH121" s="9" t="e">
        <f aca="false">IF(AND($EN121=1,ISNUMBER($N121)),$N121,NA())</f>
        <v>#N/A</v>
      </c>
      <c r="EI121" s="9" t="str">
        <f aca="false">IF($B121="","",$A121)</f>
        <v/>
      </c>
      <c r="EJ121" s="9" t="n">
        <f aca="false">IF(OR(AND(ISNUMBER($L121),Fits!$B$97&gt;0,$L121&gt;Fits!$B$97),AND(ISNUMBER($P121),Fits!$B$104&gt;0,$P121&gt;Fits!$B$104)),1,0)</f>
        <v>0</v>
      </c>
      <c r="EK121" s="9" t="n">
        <f aca="false">IF(OR($EJ120=1,$EJ119=1),1,0)</f>
        <v>0</v>
      </c>
      <c r="EL121" s="22" t="n">
        <f aca="false">IF(AND($EK121=0,ISNUMBER($N121)),$N121,$EL120)</f>
        <v>25.7</v>
      </c>
      <c r="EM121" s="9" t="str">
        <f aca="false">IF(AND($EK121=1,ISNUMBER($N121),ISNUMBER($EL121)),$N121-$EL121,"")</f>
        <v/>
      </c>
      <c r="EN121" s="9" t="n">
        <f aca="false">IF(Setup!$B$28="",0,IF(ISNUMBER($EM121),IF($EM121&gt;Setup!$B$28,1,0),0))</f>
        <v>0</v>
      </c>
      <c r="EO121" s="9" t="str">
        <f aca="false">IF($EN121=1,COUNTIF($EN$6:$EN121,1),"")</f>
        <v/>
      </c>
      <c r="EP121" s="9" t="n">
        <f aca="false">IF(AND($EJ120=1,OR($D121="Sample",$D121="Check")),1,0)</f>
        <v>0</v>
      </c>
      <c r="EQ121" s="9" t="str">
        <f aca="false">IF(ISNUMBER($BI121),IF(COUNT($BI$6:$BI121)&lt;=5,$BI121,""),"")</f>
        <v/>
      </c>
      <c r="ER121" s="9" t="n">
        <f aca="false">IF(OR(NOT(ISNUMBER($BJ121)),$EK121=1),$ER120,IF($BJ121&lt;=Setup!$B$26,IF($CP120=0,$A121,$ER120),""))</f>
        <v>27</v>
      </c>
    </row>
    <row r="122" customFormat="false" ht="15" hidden="false" customHeight="false" outlineLevel="0" collapsed="false">
      <c r="A122" s="8" t="n">
        <v>117</v>
      </c>
      <c r="B122" s="8" t="str">
        <f aca="false">IFERROR(INDEX(Raw!$B$2:$B$1001,MATCH($A122,Raw!$A$2:$A$1001,0)),"")</f>
        <v/>
      </c>
      <c r="C122" s="9" t="str">
        <f aca="false">IF($B122="","",MAX($CS122:$DE122))</f>
        <v/>
      </c>
      <c r="D122" s="8" t="str">
        <f aca="false">IF($B122="","",IF($C122=0,"Sample",INDEX(Setup!$B$37:$B$49,$C122-36)))</f>
        <v/>
      </c>
      <c r="E122" s="16" t="str">
        <f aca="false">IF($B122="","",IFERROR(IF(INDEX(Raw!$E$2:$E$1001,MATCH($A122,Raw!$A$2:$A$1001,0))=0,"",INDEX(Raw!$E$2:$E$1001,MATCH($A122,Raw!$A$2:$A$1001,0))),""))</f>
        <v/>
      </c>
      <c r="F122" s="18"/>
      <c r="G122" s="16" t="str">
        <f aca="false">IF($B122="","",IF($F122&lt;&gt;"",$F122,IF($E122="","",$E122)))</f>
        <v/>
      </c>
      <c r="H122" s="9" t="str">
        <f aca="false">IF($B122="","",SUMPRODUCT(MAX((Raw!$A$2:$A$1001=$A122)*(Raw!$R$2:$R$1001="N")*Raw!$D$2:$D$1001)))</f>
        <v/>
      </c>
      <c r="I122" s="9" t="str">
        <f aca="false">IF(OR($H122="",$H122=0),"",$A122&amp;"|N|"&amp;$H122)</f>
        <v/>
      </c>
      <c r="J122" s="9" t="str">
        <f aca="false">IF($B122="","",SUMPRODUCT(MIN((Raw!$A$2:$A$1001=$A122)*(Raw!$R$2:$R$1001="C")*Raw!$D$2:$D$1001+(1-(Raw!$A$2:$A$1001=$A122)*(Raw!$R$2:$R$1001="C"))*9999)))</f>
        <v/>
      </c>
      <c r="K122" s="9" t="str">
        <f aca="false">IF(OR($J122="",$J122=0,$J122=9999),"",$A122&amp;"|C|"&amp;$J122)</f>
        <v/>
      </c>
      <c r="L122" s="16" t="str">
        <f aca="false">IF($I122="","",IF(INDEX(Raw!$I$2:$I$1001,MATCH($I122,Raw!$S$2:$S$1001,0))&lt;&gt;0,"",INDEX(Raw!$H$2:$H$1001,MATCH($I122,Raw!$S$2:$S$1001,0))))</f>
        <v/>
      </c>
      <c r="M122" s="19" t="str">
        <f aca="false">IF($I122="","",IF(INDEX(Raw!$I$2:$I$1001,MATCH($I122,Raw!$S$2:$S$1001,0))&lt;&gt;0,"",INDEX(Raw!$F$2:$F$1001,MATCH($I122,Raw!$S$2:$S$1001,0))))</f>
        <v/>
      </c>
      <c r="N122" s="20" t="str">
        <f aca="false">IF($I122="","",IF(INDEX(Raw!$I$2:$I$1001,MATCH($I122,Raw!$S$2:$S$1001,0))&lt;&gt;0,"",INDEX(Raw!$G$2:$G$1001,MATCH($I122,Raw!$S$2:$S$1001,0))))</f>
        <v/>
      </c>
      <c r="O122" s="16" t="str">
        <f aca="false">IF($I122="","",IF(INDEX(Raw!$I$2:$I$1001,MATCH($I122,Raw!$S$2:$S$1001,0))&lt;&gt;0,"",INDEX(Raw!$N$2:$N$1001,MATCH($I122,Raw!$S$2:$S$1001,0))))</f>
        <v/>
      </c>
      <c r="P122" s="16" t="str">
        <f aca="false">IF($K122="","",IF(INDEX(Raw!$I$2:$I$1001,MATCH($K122,Raw!$S$2:$S$1001,0))&lt;&gt;0,"",INDEX(Raw!$K$2:$K$1001,MATCH($K122,Raw!$S$2:$S$1001,0))))</f>
        <v/>
      </c>
      <c r="Q122" s="19" t="str">
        <f aca="false">IF($K122="","",IF(INDEX(Raw!$I$2:$I$1001,MATCH($K122,Raw!$S$2:$S$1001,0))&lt;&gt;0,"",INDEX(Raw!$J$2:$J$1001,MATCH($K122,Raw!$S$2:$S$1001,0))))</f>
        <v/>
      </c>
      <c r="R122" s="16" t="str">
        <f aca="false">IF($K122="","",IF(INDEX(Raw!$I$2:$I$1001,MATCH($K122,Raw!$S$2:$S$1001,0))&lt;&gt;0,"",INDEX(Raw!$O$2:$O$1001,MATCH($K122,Raw!$S$2:$S$1001,0))))</f>
        <v/>
      </c>
      <c r="S122" s="21" t="str">
        <f aca="false">IF($B122="","",IF($C122=0,"",IF(INDEX(Setup!$D$37:$D$49,$C122-36)="","",INDEX(Setup!$D$37:$D$49,$C122-36))))</f>
        <v/>
      </c>
      <c r="T122" s="21" t="str">
        <f aca="false">IF($B122="","",IF($C122=0,"",IF(INDEX(Setup!$C$37:$C$49,$C122-36)="","",INDEX(Setup!$C$37:$C$49,$C122-36))))</f>
        <v/>
      </c>
      <c r="U122" s="21" t="str">
        <f aca="false">IF($B122="","",IF($C122=0,"",IF(INDEX(Setup!$F$37:$F$49,$C122-36)="","",INDEX(Setup!$F$37:$F$49,$C122-36))))</f>
        <v/>
      </c>
      <c r="V122" s="21" t="str">
        <f aca="false">IF($B122="","",IF($C122=0,"",IF(INDEX(Setup!$E$37:$E$49,$C122-36)="","",INDEX(Setup!$E$37:$E$49,$C122-36))))</f>
        <v/>
      </c>
      <c r="W122" s="16" t="str">
        <f aca="false">IF($O122="","",IF(OR(Fits!$C$5&lt;&gt;"Yes",$D122="Blank",$L122&lt;=Fits!$B$6),$O122,($L122*$O122-Fits!$B$6*Fits!$B$7)/($L122-Fits!$B$6)))</f>
        <v/>
      </c>
      <c r="X122" s="16" t="str">
        <f aca="false">IF($W122="","",$W122-Fits!$B$20*($L122-Fits!$B$16))</f>
        <v/>
      </c>
      <c r="Y122" s="22" t="str">
        <f aca="false">IF($W122="","",IF(OR(Fits!$B$38="Row",$BI122=""),$A122,$BI122))</f>
        <v/>
      </c>
      <c r="Z122" s="16" t="str">
        <f aca="false">IF($X122="","",$X122-Fits!$B$39*($Y122-Fits!$B$40))</f>
        <v/>
      </c>
      <c r="AA122" s="23" t="str">
        <f aca="false">IF(OR($Z122="",Fits!$B$55&lt;2),"",Fits!$B$56*$Z122+Fits!$B$57)</f>
        <v/>
      </c>
      <c r="AB122" s="16" t="str">
        <f aca="false">IF($R122="","",IF(OR(Fits!$C$9&lt;&gt;"Yes",$D122="Blank",$P122&lt;=Fits!$B$10),$R122,($P122*$R122-Fits!$B$10*Fits!$B$11)/($P122-Fits!$B$10)))</f>
        <v/>
      </c>
      <c r="AC122" s="16" t="str">
        <f aca="false">IF($AB122="","",$AB122-Fits!$B$28*($P122-Fits!$B$24))</f>
        <v/>
      </c>
      <c r="AD122" s="22" t="str">
        <f aca="false">IF($AB122="","",IF(OR(Fits!$B$50="Row",$BI122=""),$A122,$BI122))</f>
        <v/>
      </c>
      <c r="AE122" s="16" t="str">
        <f aca="false">IF($AC122="","",$AC122-Fits!$B$51*($AD122-Fits!$B$52))</f>
        <v/>
      </c>
      <c r="AF122" s="23" t="str">
        <f aca="false">IF(OR($AE122="",Fits!$B$62&lt;2),"",Fits!$B$63*$AE122+Fits!$B$64)</f>
        <v/>
      </c>
      <c r="AG122" s="21" t="str">
        <f aca="false">IF(OR($L122="",Fits!$B$69&lt;3),"",($L122-Fits!$B$71)/Fits!$B$70)</f>
        <v/>
      </c>
      <c r="AH122" s="21" t="str">
        <f aca="false">IF(OR($P122="",Fits!$B$75&lt;3),"",($P122-Fits!$B$77)/Fits!$B$76)</f>
        <v/>
      </c>
      <c r="AI122" s="23" t="str">
        <f aca="false">IF(OR($AG122="",$G122="",$G122=0),"",$AG122/($G122*1000)*100)</f>
        <v/>
      </c>
      <c r="AJ122" s="23" t="str">
        <f aca="false">IF(OR($AH122="",$G122="",$G122=0),"",$AH122/($G122*1000)*100)</f>
        <v/>
      </c>
      <c r="AK122" s="23" t="str">
        <f aca="false">IF(OR($AG122="",$AH122="",$AG122&lt;=0),"",($AH122/Setup!$B$52)/($AG122/Setup!$B$53))</f>
        <v/>
      </c>
      <c r="AL122" s="23" t="str">
        <f aca="false">IF(OR($AG122="",$AH122="",$AG122&lt;=0),"",$AH122/$AG122)</f>
        <v/>
      </c>
      <c r="AM122" s="9" t="str">
        <f aca="false">IF($D122="Linearity",IF($L122="","",$L122),"")</f>
        <v/>
      </c>
      <c r="AN122" s="9" t="str">
        <f aca="false">IF($D122="Linearity",IF($W122="","",$W122),"")</f>
        <v/>
      </c>
      <c r="AO122" s="9" t="str">
        <f aca="false">IF($D122="Linearity",IF($P122="","",$P122),"")</f>
        <v/>
      </c>
      <c r="AP122" s="9" t="str">
        <f aca="false">IF($D122="Linearity",IF($AB122="","",$AB122),"")</f>
        <v/>
      </c>
      <c r="AQ122" s="9" t="str">
        <f aca="false">IF($D122="Drift",IF($A122&lt;IF(Setup!$B$14="",0,Setup!$B$14),"",$A122),"")</f>
        <v/>
      </c>
      <c r="AR122" s="9" t="str">
        <f aca="false">IF($D122="Drift",IF($A122&lt;IF(Setup!$B$14="",0,Setup!$B$14),"",IF($BI122="","",$BI122)),"")</f>
        <v/>
      </c>
      <c r="AS122" s="9" t="str">
        <f aca="false">IF($D122="Drift",IF($A122&lt;IF(Setup!$B$14="",0,Setup!$B$14),"",IF(OR($X122="",$BX122=1),"",$X122)),"")</f>
        <v/>
      </c>
      <c r="AT122" s="9" t="str">
        <f aca="false">IF($D122="Drift",IF($A122&lt;IF(Setup!$B$14="",0,Setup!$B$14),"",IF(OR($AC122="",$BY122=1),"",$AC122)),"")</f>
        <v/>
      </c>
      <c r="AU122" s="9" t="str">
        <f aca="false">IF($D122="Anchor",IF(OR($Z122="",$S122=""),"",$Z122),"")</f>
        <v/>
      </c>
      <c r="AV122" s="9" t="str">
        <f aca="false">IF($D122="Anchor",IF(OR($Z122="",$S122=""),"",$S122),"")</f>
        <v/>
      </c>
      <c r="AW122" s="9" t="str">
        <f aca="false">IF($D122="Anchor",IF(OR($AE122="",$T122=""),"",$AE122),"")</f>
        <v/>
      </c>
      <c r="AX122" s="9" t="str">
        <f aca="false">IF($D122="Anchor",IF(OR($AE122="",$T122=""),"",$T122),"")</f>
        <v/>
      </c>
      <c r="AY122" s="9" t="str">
        <f aca="false">IF(OR($D122="Blank",$D122="Exclude",$D122="Sample",$D122="",$G122="",$U122="",$L122=""),"",$G122*1000*$U122/100)</f>
        <v/>
      </c>
      <c r="AZ122" s="9" t="str">
        <f aca="false">IF($AY122="","",$L122)</f>
        <v/>
      </c>
      <c r="BA122" s="9" t="str">
        <f aca="false">IF(OR($D122="Blank",$D122="Exclude",$D122="Sample",$D122="",$G122="",$V122="",$P122=""),"",$G122*1000*$V122/100)</f>
        <v/>
      </c>
      <c r="BB122" s="9" t="str">
        <f aca="false">IF($BA122="","",$P122)</f>
        <v/>
      </c>
      <c r="BC122" s="9" t="str">
        <f aca="false">IF(AND($D122="Blank",$L122&lt;&gt;""),$O122,"")</f>
        <v/>
      </c>
      <c r="BD122" s="9" t="str">
        <f aca="false">IF($BC122="","",$L122)</f>
        <v/>
      </c>
      <c r="BE122" s="9" t="str">
        <f aca="false">IF(AND($D122="Blank",$P122&lt;&gt;""),$R122,"")</f>
        <v/>
      </c>
      <c r="BF122" s="9" t="str">
        <f aca="false">IF($BE122="","",$P122)</f>
        <v/>
      </c>
      <c r="BG122" s="9" t="str">
        <f aca="false">IF(AND($D122="Drift",$BX122&lt;&gt;1),IF($AA122="","",$AA122),"")</f>
        <v/>
      </c>
      <c r="BH122" s="9" t="str">
        <f aca="false">IF(AND($D122="Drift",$BY122&lt;&gt;1),IF($AF122="","",$AF122),"")</f>
        <v/>
      </c>
      <c r="BI122" s="20" t="str">
        <f aca="false">IF($B122="","",IFERROR(INDEX(Raw!$G$2:$G$1001,MATCH($A122&amp;"|N|"&amp;SUMPRODUCT(MAX((Raw!$A$2:$A$1001=$A122)*(Raw!$R$2:$R$1001="N")*(Raw!$I$2:$I$1001=1)*Raw!$D$2:$D$1001)),Raw!$S$2:$S$1001,0)),""))</f>
        <v/>
      </c>
      <c r="BJ122" s="21" t="str">
        <f aca="false">IF(OR($BI122="",Fits!$B$85&lt;=0),"",($BI122-Fits!$B$83)/Fits!$B$85)</f>
        <v/>
      </c>
      <c r="BK122" s="9" t="str">
        <f aca="false">IF($AS122="","",IF($A122&gt;=Fits!$B$86,"",$A122))</f>
        <v/>
      </c>
      <c r="BL122" s="9" t="str">
        <f aca="false">IF($BK122="","",$X122)</f>
        <v/>
      </c>
      <c r="BM122" s="9" t="str">
        <f aca="false">IF($AS122="","",IF($A122&lt;Fits!$B$86,"",$A122))</f>
        <v/>
      </c>
      <c r="BN122" s="9" t="str">
        <f aca="false">IF($BM122="","",$X122)</f>
        <v/>
      </c>
      <c r="BO122" s="9" t="str">
        <f aca="false">IF(AND($D122="Drift",$BX122&lt;&gt;1),IF($O122="","",$O122),"")</f>
        <v/>
      </c>
      <c r="BP122" s="9" t="str">
        <f aca="false">IF(AND($D122="Drift",$BX122&lt;&gt;1),IF($W122="","",$W122),"")</f>
        <v/>
      </c>
      <c r="BQ122" s="9" t="str">
        <f aca="false">IF(AND($D122="Drift",$BX122&lt;&gt;1),IF($X122="","",$X122),"")</f>
        <v/>
      </c>
      <c r="BR122" s="9" t="str">
        <f aca="false">IF(AND($D122="Drift",$BX122&lt;&gt;1),IF($Z122="","",$Z122),"")</f>
        <v/>
      </c>
      <c r="BS122" s="9" t="str">
        <f aca="false">IF(OR($B122="",$H122=""),"",SUMPRODUCT(MIN((Raw!$A$2:$A$1001=$A122)*(Raw!$R$2:$R$1001="N")*(Raw!$I$2:$I$1001=0)*(Raw!$D$2:$D$1001&lt;$H122)*Raw!$D$2:$D$1001+(1-(Raw!$A$2:$A$1001=$A122)*(Raw!$R$2:$R$1001="N")*(Raw!$I$2:$I$1001=0)*(Raw!$D$2:$D$1001&lt;$H122))*9999)))</f>
        <v/>
      </c>
      <c r="BT122" s="16" t="str">
        <f aca="false">IF(OR($BS122="",$BS122=9999,$BS122=0),"",IFERROR(INDEX(Raw!$N$2:$N$1001,MATCH($A122&amp;"|N|"&amp;$BS122,Raw!$S$2:$S$1001,0)),""))</f>
        <v/>
      </c>
      <c r="BU122" s="9" t="str">
        <f aca="false">IF($B122="","",SUMPRODUCT(MIN((Raw!$A$2:$A$1001=$A122)*(Raw!$R$2:$R$1001="C")*(Raw!$I$2:$I$1001=1)*Raw!$D$2:$D$1001+(1-(Raw!$A$2:$A$1001=$A122)*(Raw!$R$2:$R$1001="C")*(Raw!$I$2:$I$1001=1))*9999)))</f>
        <v/>
      </c>
      <c r="BV122" s="9" t="str">
        <f aca="false">IF(OR($BU122="",$BU122=9999),"",SUMPRODUCT(MIN((Raw!$A$2:$A$1001=$A122)*(Raw!$R$2:$R$1001="C")*(Raw!$I$2:$I$1001=0)*(Raw!$D$2:$D$1001&gt;$BU122)*Raw!$D$2:$D$1001+(1-(Raw!$A$2:$A$1001=$A122)*(Raw!$R$2:$R$1001="C")*(Raw!$I$2:$I$1001=0)*(Raw!$D$2:$D$1001&gt;$BU122))*9999)))</f>
        <v/>
      </c>
      <c r="BW122" s="16" t="str">
        <f aca="false">IF(OR($BV122="",$BV122=9999,$BV122=0),"",IFERROR(INDEX(Raw!$O$2:$O$1001,MATCH($A122&amp;"|C|"&amp;$BV122,Raw!$S$2:$S$1001,0)),""))</f>
        <v/>
      </c>
      <c r="BX122" s="9" t="str">
        <f aca="false">IF($B122="","",IF(ISNUMBER(SEARCH(","&amp;$A122&amp;",",","&amp;SUBSTITUTE(Setup!$B$16," ","")&amp;",")),1,0))</f>
        <v/>
      </c>
      <c r="BY122" s="9" t="str">
        <f aca="false">IF($B122="","",IF(ISNUMBER(SEARCH(","&amp;$A122&amp;",",","&amp;SUBSTITUTE(Setup!$B$17," ","")&amp;",")),1,0))</f>
        <v/>
      </c>
      <c r="BZ122" s="22" t="str">
        <f aca="false">IF($AS122="","",IF(Fits!$B$38="Row",$AQ122,IF($AR122="","",$AR122)))</f>
        <v/>
      </c>
      <c r="CA122" s="22" t="str">
        <f aca="false">IF($AT122="","",IF(Fits!$B$50="Row",$AQ122,IF($AR122="","",$AR122)))</f>
        <v/>
      </c>
      <c r="CB122" s="20" t="str">
        <f aca="false">IF(OR($D122&lt;&gt;"Drift",$X122="",$A122&lt;IF(Setup!$B$14="",0,Setup!$B$14),Fits!$B$107&lt;3,Fits!$B$110="",Fits!$B$109=0,IF(Fits!$B$38="Row",$AQ122,$AR122)=""),"",IF($BX122=1,IF(OR(Fits!$B$111="",Fits!$B$111=0),"",($X122-(IF(Fits!$B$38="Row",Fits!$B$32,Fits!$B$35)*IF(Fits!$B$38="Row",$AQ122,$AR122)+Fits!$B$110))/(Fits!$B$111*SQRT(1+(1/Fits!$B$107+(IF(Fits!$B$38="Row",$AQ122,$AR122)-Fits!$B$108)^2/Fits!$B$109)))),IF(OR(Fits!$B$107&lt;4,(1/Fits!$B$107+(IF(Fits!$B$38="Row",$AQ122,$AR122)-Fits!$B$108)^2/Fits!$B$109)&gt;=1),"",IF((Fits!$B$116-($X122-(IF(Fits!$B$38="Row",Fits!$B$32,Fits!$B$35)*IF(Fits!$B$38="Row",$AQ122,$AR122)+Fits!$B$110))^2/(1-(1/Fits!$B$107+(IF(Fits!$B$38="Row",$AQ122,$AR122)-Fits!$B$108)^2/Fits!$B$109)))&lt;=0,"",($X122-(IF(Fits!$B$38="Row",Fits!$B$32,Fits!$B$35)*IF(Fits!$B$38="Row",$AQ122,$AR122)+Fits!$B$110))/(SQRT((Fits!$B$116-($X122-(IF(Fits!$B$38="Row",Fits!$B$32,Fits!$B$35)*IF(Fits!$B$38="Row",$AQ122,$AR122)+Fits!$B$110))^2/(1-(1/Fits!$B$107+(IF(Fits!$B$38="Row",$AQ122,$AR122)-Fits!$B$108)^2/Fits!$B$109)))/(Fits!$B$107-3))*SQRT(1-(1/Fits!$B$107+(IF(Fits!$B$38="Row",$AQ122,$AR122)-Fits!$B$108)^2/Fits!$B$109)))))))</f>
        <v/>
      </c>
      <c r="CC122" s="20" t="str">
        <f aca="false">IF(OR($D122&lt;&gt;"Drift",$AC122="",$A122&lt;IF(Setup!$B$14="",0,Setup!$B$14),Fits!$B$120&lt;3,Fits!$B$123="",Fits!$B$122=0,IF(Fits!$B$50="Row",$AQ122,$AR122)=""),"",IF($BY122=1,IF(OR(Fits!$B$124="",Fits!$B$124=0),"",($AC122-(IF(Fits!$B$50="Row",Fits!$B$44,Fits!$B$47)*IF(Fits!$B$50="Row",$AQ122,$AR122)+Fits!$B$123))/(Fits!$B$124*SQRT(1+(1/Fits!$B$120+(IF(Fits!$B$50="Row",$AQ122,$AR122)-Fits!$B$121)^2/Fits!$B$122)))),IF(OR(Fits!$B$120&lt;4,(1/Fits!$B$120+(IF(Fits!$B$50="Row",$AQ122,$AR122)-Fits!$B$121)^2/Fits!$B$122)&gt;=1),"",IF((Fits!$B$129-($AC122-(IF(Fits!$B$50="Row",Fits!$B$44,Fits!$B$47)*IF(Fits!$B$50="Row",$AQ122,$AR122)+Fits!$B$123))^2/(1-(1/Fits!$B$120+(IF(Fits!$B$50="Row",$AQ122,$AR122)-Fits!$B$121)^2/Fits!$B$122)))&lt;=0,"",($AC122-(IF(Fits!$B$50="Row",Fits!$B$44,Fits!$B$47)*IF(Fits!$B$50="Row",$AQ122,$AR122)+Fits!$B$123))/(SQRT((Fits!$B$129-($AC122-(IF(Fits!$B$50="Row",Fits!$B$44,Fits!$B$47)*IF(Fits!$B$50="Row",$AQ122,$AR122)+Fits!$B$123))^2/(1-(1/Fits!$B$120+(IF(Fits!$B$50="Row",$AQ122,$AR122)-Fits!$B$121)^2/Fits!$B$122)))/(Fits!$B$120-3))*SQRT(1-(1/Fits!$B$120+(IF(Fits!$B$50="Row",$AQ122,$AR122)-Fits!$B$121)^2/Fits!$B$122)))))))</f>
        <v/>
      </c>
      <c r="CD122" s="9" t="str">
        <f aca="false">IF($AU122="","",1)</f>
        <v/>
      </c>
      <c r="CE122" s="24" t="str">
        <f aca="false">IF($AU122="","",$AU122-Fits!$B$133)</f>
        <v/>
      </c>
      <c r="CF122" s="24" t="str">
        <f aca="false">IF($AU122="","",($AV122-(Fits!$B$56*$AU122+Fits!$B$57))-Fits!$B$56*($AU122-Fits!$B$133))</f>
        <v/>
      </c>
      <c r="CG122" s="25" t="str">
        <f aca="false">IF($AU122="","",$AU122^2)</f>
        <v/>
      </c>
      <c r="CH122" s="9" t="str">
        <f aca="false">IF($AW122="","",1)</f>
        <v/>
      </c>
      <c r="CI122" s="24" t="str">
        <f aca="false">IF($AW122="","",$AW122-Fits!$B$153)</f>
        <v/>
      </c>
      <c r="CJ122" s="24" t="str">
        <f aca="false">IF($AW122="","",($AX122-(Fits!$B$63*$AW122+Fits!$B$64))-Fits!$B$63*($AW122-Fits!$B$153))</f>
        <v/>
      </c>
      <c r="CK122" s="25" t="str">
        <f aca="false">IF($AW122="","",$AW122^2)</f>
        <v/>
      </c>
      <c r="CL122" s="26" t="str">
        <f aca="false">IF(OR($Z122="",Fits!$B$55&lt;3,Fits!$B$133="",Fits!$B$134="",Fits!$B$134=0,Fits!$B$136=""),"",SQRT((Fits!$B$136*Fits!$B$56)^2+SUMPRODUCT((Fits!$J$163:$J$175*(Fits!$B$163:$B$175/Fits!$B$55+Fits!$H$163:$H$175*($Z122-Fits!$B$133)/Fits!$B$134))^2)+SUMPRODUCT((Fits!$G$163:$G$175*(($Z122-Fits!$B$133)*Fits!$I$163:$I$175/Fits!$B$134-Fits!$B$163:$B$175*Fits!$B$56/Fits!$B$55))^2)))</f>
        <v/>
      </c>
      <c r="CM122" s="26" t="str">
        <f aca="false">IF($CL122="","",Setup!$B$32*$CL122)</f>
        <v/>
      </c>
      <c r="CN122" s="26" t="str">
        <f aca="false">IF(OR($AE122="",Fits!$B$62&lt;3,Fits!$B$153="",Fits!$B$154="",Fits!$B$154=0,Fits!$B$156=""),"",SQRT((Fits!$B$156*Fits!$B$63)^2+SUMPRODUCT((Fits!$J$183:$J$195*(Fits!$B$183:$B$195/Fits!$B$62+Fits!$H$183:$H$195*($AE122-Fits!$B$153)/Fits!$B$154))^2)+SUMPRODUCT((Fits!$G$183:$G$195*(($AE122-Fits!$B$153)*Fits!$I$183:$I$195/Fits!$B$154-Fits!$B$183:$B$195*Fits!$B$63/Fits!$B$62))^2)))</f>
        <v/>
      </c>
      <c r="CO122" s="26" t="str">
        <f aca="false">IF($CN122="","",Setup!$B$32*$CN122)</f>
        <v/>
      </c>
      <c r="CP122" s="9" t="n">
        <f aca="false">IF(OR(NOT(ISNUMBER($BJ122)),$EK122=1),$CP121,IF($BJ122&lt;=Setup!$B$26,$CP121+1,0))</f>
        <v>26</v>
      </c>
      <c r="CQ122" s="9" t="str">
        <f aca="false">IF($BT122="","",$A122)</f>
        <v/>
      </c>
      <c r="CR122" s="9" t="str">
        <f aca="false">IF($BW122="","",$A122)</f>
        <v/>
      </c>
      <c r="CS122" s="9" t="str">
        <f aca="false">IF($B122="","",IF(Setup!$A$37="",0,IF(ISNUMBER(SEARCH(Setup!$A$37,$B122)),37,0)))</f>
        <v/>
      </c>
      <c r="CT122" s="9" t="str">
        <f aca="false">IF($B122="","",IF(Setup!$A$38="",0,IF(ISNUMBER(SEARCH(Setup!$A$38,$B122)),38,0)))</f>
        <v/>
      </c>
      <c r="CU122" s="9" t="str">
        <f aca="false">IF($B122="","",IF(Setup!$A$39="",0,IF(ISNUMBER(SEARCH(Setup!$A$39,$B122)),39,0)))</f>
        <v/>
      </c>
      <c r="CV122" s="9" t="str">
        <f aca="false">IF($B122="","",IF(Setup!$A$40="",0,IF(ISNUMBER(SEARCH(Setup!$A$40,$B122)),40,0)))</f>
        <v/>
      </c>
      <c r="CW122" s="9" t="str">
        <f aca="false">IF($B122="","",IF(Setup!$A$41="",0,IF(ISNUMBER(SEARCH(Setup!$A$41,$B122)),41,0)))</f>
        <v/>
      </c>
      <c r="CX122" s="9" t="str">
        <f aca="false">IF($B122="","",IF(Setup!$A$42="",0,IF(ISNUMBER(SEARCH(Setup!$A$42,$B122)),42,0)))</f>
        <v/>
      </c>
      <c r="CY122" s="9" t="str">
        <f aca="false">IF($B122="","",IF(Setup!$A$43="",0,IF(ISNUMBER(SEARCH(Setup!$A$43,$B122)),43,0)))</f>
        <v/>
      </c>
      <c r="CZ122" s="9" t="str">
        <f aca="false">IF($B122="","",IF(Setup!$A$44="",0,IF(ISNUMBER(SEARCH(Setup!$A$44,$B122)),44,0)))</f>
        <v/>
      </c>
      <c r="DA122" s="9" t="str">
        <f aca="false">IF($B122="","",IF(Setup!$A$45="",0,IF(ISNUMBER(SEARCH(Setup!$A$45,$B122)),45,0)))</f>
        <v/>
      </c>
      <c r="DB122" s="9" t="str">
        <f aca="false">IF($B122="","",IF(Setup!$A$46="",0,IF(ISNUMBER(SEARCH(Setup!$A$46,$B122)),46,0)))</f>
        <v/>
      </c>
      <c r="DC122" s="9" t="str">
        <f aca="false">IF($B122="","",IF(Setup!$A$47="",0,IF(ISNUMBER(SEARCH(Setup!$A$47,$B122)),47,0)))</f>
        <v/>
      </c>
      <c r="DD122" s="9" t="str">
        <f aca="false">IF($B122="","",IF(Setup!$A$48="",0,IF(ISNUMBER(SEARCH(Setup!$A$48,$B122)),48,0)))</f>
        <v/>
      </c>
      <c r="DE122" s="9" t="str">
        <f aca="false">IF($B122="","",IF(Setup!$A$49="",0,IF(ISNUMBER(SEARCH(Setup!$A$49,$B122)),49,0)))</f>
        <v/>
      </c>
      <c r="DF122" s="9" t="e">
        <f aca="false">IF($B122="",NA(),$A122)</f>
        <v>#N/A</v>
      </c>
      <c r="DG122" s="9" t="e">
        <f aca="false">IF($BI122="",NA(),$BI122)</f>
        <v>#N/A</v>
      </c>
      <c r="DH122" s="9" t="e">
        <f aca="false">IF($N122="",NA(),$N122)</f>
        <v>#N/A</v>
      </c>
      <c r="DI122" s="9" t="e">
        <f aca="false">IF(AND($D122="Drift",$N122&lt;&gt;""),$N122,NA())</f>
        <v>#N/A</v>
      </c>
      <c r="DJ122" s="9" t="str">
        <f aca="false">IF(AND($D122="Drift",$N122&lt;&gt;""),$N122,"")</f>
        <v/>
      </c>
      <c r="DK122" s="9" t="str">
        <f aca="false">IF($DJ122="","",$A122)</f>
        <v/>
      </c>
      <c r="DL122" s="9" t="e">
        <f aca="false">IF($AN122="",NA(),$AM122)</f>
        <v>#N/A</v>
      </c>
      <c r="DM122" s="9" t="e">
        <f aca="false">IF($AN122="",NA(),$AN122)</f>
        <v>#N/A</v>
      </c>
      <c r="DN122" s="9" t="e">
        <f aca="false">IF(AND($D122="Sample",$L122&lt;&gt;""),$L122,NA())</f>
        <v>#N/A</v>
      </c>
      <c r="DO122" s="9" t="e">
        <f aca="false">IF(AND($D122="Sample",$L122&lt;&gt;"",Fits!$B$98&lt;&gt;""),Fits!$B$98,NA())</f>
        <v>#N/A</v>
      </c>
      <c r="DP122" s="9" t="e">
        <f aca="false">IF($AS122="",NA(),$AS122)</f>
        <v>#N/A</v>
      </c>
      <c r="DQ122" s="9" t="e">
        <f aca="false">IF(AND($D122="Drift",$AS122="",$X122&lt;&gt;""),$X122,NA())</f>
        <v>#N/A</v>
      </c>
      <c r="DR122" s="9" t="e">
        <f aca="false">IF(AND($D122="Drift",$Z122&lt;&gt;""),$Z122,NA())</f>
        <v>#N/A</v>
      </c>
      <c r="DS122" s="9" t="e">
        <f aca="false">IF(AND(OR($D122="Sample",$D122="Check"),$AA122&lt;&gt;""),$AA122,NA())</f>
        <v>#N/A</v>
      </c>
      <c r="DT122" s="9" t="e">
        <f aca="false">IF(OR($B122="",Fits!$B$138=""),NA(),Fits!$B$138)</f>
        <v>#N/A</v>
      </c>
      <c r="DU122" s="9" t="e">
        <f aca="false">IF(OR($B122="",Fits!$B$139=""),NA(),Fits!$B$139)</f>
        <v>#N/A</v>
      </c>
      <c r="DV122" s="9" t="e">
        <f aca="false">IF($BT122="",NA(),$BT122)</f>
        <v>#N/A</v>
      </c>
      <c r="DW122" s="9" t="e">
        <f aca="false">IF($AP122="",NA(),$AO122)</f>
        <v>#N/A</v>
      </c>
      <c r="DX122" s="9" t="e">
        <f aca="false">IF($AP122="",NA(),$AP122)</f>
        <v>#N/A</v>
      </c>
      <c r="DY122" s="9" t="e">
        <f aca="false">IF(AND($D122="Sample",$P122&lt;&gt;""),$P122,NA())</f>
        <v>#N/A</v>
      </c>
      <c r="DZ122" s="9" t="e">
        <f aca="false">IF(AND($D122="Sample",$P122&lt;&gt;"",Fits!$B$105&lt;&gt;""),Fits!$B$105,NA())</f>
        <v>#N/A</v>
      </c>
      <c r="EA122" s="9" t="e">
        <f aca="false">IF($AT122="",NA(),$AT122)</f>
        <v>#N/A</v>
      </c>
      <c r="EB122" s="9" t="e">
        <f aca="false">IF(AND($D122="Drift",$AT122="",$AC122&lt;&gt;""),$AC122,NA())</f>
        <v>#N/A</v>
      </c>
      <c r="EC122" s="9" t="e">
        <f aca="false">IF(AND($D122="Drift",$AE122&lt;&gt;""),$AE122,NA())</f>
        <v>#N/A</v>
      </c>
      <c r="ED122" s="9" t="e">
        <f aca="false">IF(AND(OR($D122="Sample",$D122="Check"),$AF122&lt;&gt;""),$AF122,NA())</f>
        <v>#N/A</v>
      </c>
      <c r="EE122" s="9" t="e">
        <f aca="false">IF(OR($B122="",Fits!$B$158=""),NA(),Fits!$B$158)</f>
        <v>#N/A</v>
      </c>
      <c r="EF122" s="9" t="e">
        <f aca="false">IF(OR($B122="",Fits!$B$159=""),NA(),Fits!$B$159)</f>
        <v>#N/A</v>
      </c>
      <c r="EG122" s="9" t="e">
        <f aca="false">IF($BW122="",NA(),$BW122)</f>
        <v>#N/A</v>
      </c>
      <c r="EH122" s="9" t="e">
        <f aca="false">IF(AND($EN122=1,ISNUMBER($N122)),$N122,NA())</f>
        <v>#N/A</v>
      </c>
      <c r="EI122" s="9" t="str">
        <f aca="false">IF($B122="","",$A122)</f>
        <v/>
      </c>
      <c r="EJ122" s="9" t="n">
        <f aca="false">IF(OR(AND(ISNUMBER($L122),Fits!$B$97&gt;0,$L122&gt;Fits!$B$97),AND(ISNUMBER($P122),Fits!$B$104&gt;0,$P122&gt;Fits!$B$104)),1,0)</f>
        <v>0</v>
      </c>
      <c r="EK122" s="9" t="n">
        <f aca="false">IF(OR($EJ121=1,$EJ120=1),1,0)</f>
        <v>0</v>
      </c>
      <c r="EL122" s="22" t="n">
        <f aca="false">IF(AND($EK122=0,ISNUMBER($N122)),$N122,$EL121)</f>
        <v>25.7</v>
      </c>
      <c r="EM122" s="9" t="str">
        <f aca="false">IF(AND($EK122=1,ISNUMBER($N122),ISNUMBER($EL122)),$N122-$EL122,"")</f>
        <v/>
      </c>
      <c r="EN122" s="9" t="n">
        <f aca="false">IF(Setup!$B$28="",0,IF(ISNUMBER($EM122),IF($EM122&gt;Setup!$B$28,1,0),0))</f>
        <v>0</v>
      </c>
      <c r="EO122" s="9" t="str">
        <f aca="false">IF($EN122=1,COUNTIF($EN$6:$EN122,1),"")</f>
        <v/>
      </c>
      <c r="EP122" s="9" t="n">
        <f aca="false">IF(AND($EJ121=1,OR($D122="Sample",$D122="Check")),1,0)</f>
        <v>0</v>
      </c>
      <c r="EQ122" s="9" t="str">
        <f aca="false">IF(ISNUMBER($BI122),IF(COUNT($BI$6:$BI122)&lt;=5,$BI122,""),"")</f>
        <v/>
      </c>
      <c r="ER122" s="9" t="n">
        <f aca="false">IF(OR(NOT(ISNUMBER($BJ122)),$EK122=1),$ER121,IF($BJ122&lt;=Setup!$B$26,IF($CP121=0,$A122,$ER121),""))</f>
        <v>27</v>
      </c>
    </row>
    <row r="123" customFormat="false" ht="15" hidden="false" customHeight="false" outlineLevel="0" collapsed="false">
      <c r="A123" s="8" t="n">
        <v>118</v>
      </c>
      <c r="B123" s="8" t="str">
        <f aca="false">IFERROR(INDEX(Raw!$B$2:$B$1001,MATCH($A123,Raw!$A$2:$A$1001,0)),"")</f>
        <v/>
      </c>
      <c r="C123" s="9" t="str">
        <f aca="false">IF($B123="","",MAX($CS123:$DE123))</f>
        <v/>
      </c>
      <c r="D123" s="8" t="str">
        <f aca="false">IF($B123="","",IF($C123=0,"Sample",INDEX(Setup!$B$37:$B$49,$C123-36)))</f>
        <v/>
      </c>
      <c r="E123" s="16" t="str">
        <f aca="false">IF($B123="","",IFERROR(IF(INDEX(Raw!$E$2:$E$1001,MATCH($A123,Raw!$A$2:$A$1001,0))=0,"",INDEX(Raw!$E$2:$E$1001,MATCH($A123,Raw!$A$2:$A$1001,0))),""))</f>
        <v/>
      </c>
      <c r="F123" s="18"/>
      <c r="G123" s="16" t="str">
        <f aca="false">IF($B123="","",IF($F123&lt;&gt;"",$F123,IF($E123="","",$E123)))</f>
        <v/>
      </c>
      <c r="H123" s="9" t="str">
        <f aca="false">IF($B123="","",SUMPRODUCT(MAX((Raw!$A$2:$A$1001=$A123)*(Raw!$R$2:$R$1001="N")*Raw!$D$2:$D$1001)))</f>
        <v/>
      </c>
      <c r="I123" s="9" t="str">
        <f aca="false">IF(OR($H123="",$H123=0),"",$A123&amp;"|N|"&amp;$H123)</f>
        <v/>
      </c>
      <c r="J123" s="9" t="str">
        <f aca="false">IF($B123="","",SUMPRODUCT(MIN((Raw!$A$2:$A$1001=$A123)*(Raw!$R$2:$R$1001="C")*Raw!$D$2:$D$1001+(1-(Raw!$A$2:$A$1001=$A123)*(Raw!$R$2:$R$1001="C"))*9999)))</f>
        <v/>
      </c>
      <c r="K123" s="9" t="str">
        <f aca="false">IF(OR($J123="",$J123=0,$J123=9999),"",$A123&amp;"|C|"&amp;$J123)</f>
        <v/>
      </c>
      <c r="L123" s="16" t="str">
        <f aca="false">IF($I123="","",IF(INDEX(Raw!$I$2:$I$1001,MATCH($I123,Raw!$S$2:$S$1001,0))&lt;&gt;0,"",INDEX(Raw!$H$2:$H$1001,MATCH($I123,Raw!$S$2:$S$1001,0))))</f>
        <v/>
      </c>
      <c r="M123" s="19" t="str">
        <f aca="false">IF($I123="","",IF(INDEX(Raw!$I$2:$I$1001,MATCH($I123,Raw!$S$2:$S$1001,0))&lt;&gt;0,"",INDEX(Raw!$F$2:$F$1001,MATCH($I123,Raw!$S$2:$S$1001,0))))</f>
        <v/>
      </c>
      <c r="N123" s="20" t="str">
        <f aca="false">IF($I123="","",IF(INDEX(Raw!$I$2:$I$1001,MATCH($I123,Raw!$S$2:$S$1001,0))&lt;&gt;0,"",INDEX(Raw!$G$2:$G$1001,MATCH($I123,Raw!$S$2:$S$1001,0))))</f>
        <v/>
      </c>
      <c r="O123" s="16" t="str">
        <f aca="false">IF($I123="","",IF(INDEX(Raw!$I$2:$I$1001,MATCH($I123,Raw!$S$2:$S$1001,0))&lt;&gt;0,"",INDEX(Raw!$N$2:$N$1001,MATCH($I123,Raw!$S$2:$S$1001,0))))</f>
        <v/>
      </c>
      <c r="P123" s="16" t="str">
        <f aca="false">IF($K123="","",IF(INDEX(Raw!$I$2:$I$1001,MATCH($K123,Raw!$S$2:$S$1001,0))&lt;&gt;0,"",INDEX(Raw!$K$2:$K$1001,MATCH($K123,Raw!$S$2:$S$1001,0))))</f>
        <v/>
      </c>
      <c r="Q123" s="19" t="str">
        <f aca="false">IF($K123="","",IF(INDEX(Raw!$I$2:$I$1001,MATCH($K123,Raw!$S$2:$S$1001,0))&lt;&gt;0,"",INDEX(Raw!$J$2:$J$1001,MATCH($K123,Raw!$S$2:$S$1001,0))))</f>
        <v/>
      </c>
      <c r="R123" s="16" t="str">
        <f aca="false">IF($K123="","",IF(INDEX(Raw!$I$2:$I$1001,MATCH($K123,Raw!$S$2:$S$1001,0))&lt;&gt;0,"",INDEX(Raw!$O$2:$O$1001,MATCH($K123,Raw!$S$2:$S$1001,0))))</f>
        <v/>
      </c>
      <c r="S123" s="21" t="str">
        <f aca="false">IF($B123="","",IF($C123=0,"",IF(INDEX(Setup!$D$37:$D$49,$C123-36)="","",INDEX(Setup!$D$37:$D$49,$C123-36))))</f>
        <v/>
      </c>
      <c r="T123" s="21" t="str">
        <f aca="false">IF($B123="","",IF($C123=0,"",IF(INDEX(Setup!$C$37:$C$49,$C123-36)="","",INDEX(Setup!$C$37:$C$49,$C123-36))))</f>
        <v/>
      </c>
      <c r="U123" s="21" t="str">
        <f aca="false">IF($B123="","",IF($C123=0,"",IF(INDEX(Setup!$F$37:$F$49,$C123-36)="","",INDEX(Setup!$F$37:$F$49,$C123-36))))</f>
        <v/>
      </c>
      <c r="V123" s="21" t="str">
        <f aca="false">IF($B123="","",IF($C123=0,"",IF(INDEX(Setup!$E$37:$E$49,$C123-36)="","",INDEX(Setup!$E$37:$E$49,$C123-36))))</f>
        <v/>
      </c>
      <c r="W123" s="16" t="str">
        <f aca="false">IF($O123="","",IF(OR(Fits!$C$5&lt;&gt;"Yes",$D123="Blank",$L123&lt;=Fits!$B$6),$O123,($L123*$O123-Fits!$B$6*Fits!$B$7)/($L123-Fits!$B$6)))</f>
        <v/>
      </c>
      <c r="X123" s="16" t="str">
        <f aca="false">IF($W123="","",$W123-Fits!$B$20*($L123-Fits!$B$16))</f>
        <v/>
      </c>
      <c r="Y123" s="22" t="str">
        <f aca="false">IF($W123="","",IF(OR(Fits!$B$38="Row",$BI123=""),$A123,$BI123))</f>
        <v/>
      </c>
      <c r="Z123" s="16" t="str">
        <f aca="false">IF($X123="","",$X123-Fits!$B$39*($Y123-Fits!$B$40))</f>
        <v/>
      </c>
      <c r="AA123" s="23" t="str">
        <f aca="false">IF(OR($Z123="",Fits!$B$55&lt;2),"",Fits!$B$56*$Z123+Fits!$B$57)</f>
        <v/>
      </c>
      <c r="AB123" s="16" t="str">
        <f aca="false">IF($R123="","",IF(OR(Fits!$C$9&lt;&gt;"Yes",$D123="Blank",$P123&lt;=Fits!$B$10),$R123,($P123*$R123-Fits!$B$10*Fits!$B$11)/($P123-Fits!$B$10)))</f>
        <v/>
      </c>
      <c r="AC123" s="16" t="str">
        <f aca="false">IF($AB123="","",$AB123-Fits!$B$28*($P123-Fits!$B$24))</f>
        <v/>
      </c>
      <c r="AD123" s="22" t="str">
        <f aca="false">IF($AB123="","",IF(OR(Fits!$B$50="Row",$BI123=""),$A123,$BI123))</f>
        <v/>
      </c>
      <c r="AE123" s="16" t="str">
        <f aca="false">IF($AC123="","",$AC123-Fits!$B$51*($AD123-Fits!$B$52))</f>
        <v/>
      </c>
      <c r="AF123" s="23" t="str">
        <f aca="false">IF(OR($AE123="",Fits!$B$62&lt;2),"",Fits!$B$63*$AE123+Fits!$B$64)</f>
        <v/>
      </c>
      <c r="AG123" s="21" t="str">
        <f aca="false">IF(OR($L123="",Fits!$B$69&lt;3),"",($L123-Fits!$B$71)/Fits!$B$70)</f>
        <v/>
      </c>
      <c r="AH123" s="21" t="str">
        <f aca="false">IF(OR($P123="",Fits!$B$75&lt;3),"",($P123-Fits!$B$77)/Fits!$B$76)</f>
        <v/>
      </c>
      <c r="AI123" s="23" t="str">
        <f aca="false">IF(OR($AG123="",$G123="",$G123=0),"",$AG123/($G123*1000)*100)</f>
        <v/>
      </c>
      <c r="AJ123" s="23" t="str">
        <f aca="false">IF(OR($AH123="",$G123="",$G123=0),"",$AH123/($G123*1000)*100)</f>
        <v/>
      </c>
      <c r="AK123" s="23" t="str">
        <f aca="false">IF(OR($AG123="",$AH123="",$AG123&lt;=0),"",($AH123/Setup!$B$52)/($AG123/Setup!$B$53))</f>
        <v/>
      </c>
      <c r="AL123" s="23" t="str">
        <f aca="false">IF(OR($AG123="",$AH123="",$AG123&lt;=0),"",$AH123/$AG123)</f>
        <v/>
      </c>
      <c r="AM123" s="9" t="str">
        <f aca="false">IF($D123="Linearity",IF($L123="","",$L123),"")</f>
        <v/>
      </c>
      <c r="AN123" s="9" t="str">
        <f aca="false">IF($D123="Linearity",IF($W123="","",$W123),"")</f>
        <v/>
      </c>
      <c r="AO123" s="9" t="str">
        <f aca="false">IF($D123="Linearity",IF($P123="","",$P123),"")</f>
        <v/>
      </c>
      <c r="AP123" s="9" t="str">
        <f aca="false">IF($D123="Linearity",IF($AB123="","",$AB123),"")</f>
        <v/>
      </c>
      <c r="AQ123" s="9" t="str">
        <f aca="false">IF($D123="Drift",IF($A123&lt;IF(Setup!$B$14="",0,Setup!$B$14),"",$A123),"")</f>
        <v/>
      </c>
      <c r="AR123" s="9" t="str">
        <f aca="false">IF($D123="Drift",IF($A123&lt;IF(Setup!$B$14="",0,Setup!$B$14),"",IF($BI123="","",$BI123)),"")</f>
        <v/>
      </c>
      <c r="AS123" s="9" t="str">
        <f aca="false">IF($D123="Drift",IF($A123&lt;IF(Setup!$B$14="",0,Setup!$B$14),"",IF(OR($X123="",$BX123=1),"",$X123)),"")</f>
        <v/>
      </c>
      <c r="AT123" s="9" t="str">
        <f aca="false">IF($D123="Drift",IF($A123&lt;IF(Setup!$B$14="",0,Setup!$B$14),"",IF(OR($AC123="",$BY123=1),"",$AC123)),"")</f>
        <v/>
      </c>
      <c r="AU123" s="9" t="str">
        <f aca="false">IF($D123="Anchor",IF(OR($Z123="",$S123=""),"",$Z123),"")</f>
        <v/>
      </c>
      <c r="AV123" s="9" t="str">
        <f aca="false">IF($D123="Anchor",IF(OR($Z123="",$S123=""),"",$S123),"")</f>
        <v/>
      </c>
      <c r="AW123" s="9" t="str">
        <f aca="false">IF($D123="Anchor",IF(OR($AE123="",$T123=""),"",$AE123),"")</f>
        <v/>
      </c>
      <c r="AX123" s="9" t="str">
        <f aca="false">IF($D123="Anchor",IF(OR($AE123="",$T123=""),"",$T123),"")</f>
        <v/>
      </c>
      <c r="AY123" s="9" t="str">
        <f aca="false">IF(OR($D123="Blank",$D123="Exclude",$D123="Sample",$D123="",$G123="",$U123="",$L123=""),"",$G123*1000*$U123/100)</f>
        <v/>
      </c>
      <c r="AZ123" s="9" t="str">
        <f aca="false">IF($AY123="","",$L123)</f>
        <v/>
      </c>
      <c r="BA123" s="9" t="str">
        <f aca="false">IF(OR($D123="Blank",$D123="Exclude",$D123="Sample",$D123="",$G123="",$V123="",$P123=""),"",$G123*1000*$V123/100)</f>
        <v/>
      </c>
      <c r="BB123" s="9" t="str">
        <f aca="false">IF($BA123="","",$P123)</f>
        <v/>
      </c>
      <c r="BC123" s="9" t="str">
        <f aca="false">IF(AND($D123="Blank",$L123&lt;&gt;""),$O123,"")</f>
        <v/>
      </c>
      <c r="BD123" s="9" t="str">
        <f aca="false">IF($BC123="","",$L123)</f>
        <v/>
      </c>
      <c r="BE123" s="9" t="str">
        <f aca="false">IF(AND($D123="Blank",$P123&lt;&gt;""),$R123,"")</f>
        <v/>
      </c>
      <c r="BF123" s="9" t="str">
        <f aca="false">IF($BE123="","",$P123)</f>
        <v/>
      </c>
      <c r="BG123" s="9" t="str">
        <f aca="false">IF(AND($D123="Drift",$BX123&lt;&gt;1),IF($AA123="","",$AA123),"")</f>
        <v/>
      </c>
      <c r="BH123" s="9" t="str">
        <f aca="false">IF(AND($D123="Drift",$BY123&lt;&gt;1),IF($AF123="","",$AF123),"")</f>
        <v/>
      </c>
      <c r="BI123" s="20" t="str">
        <f aca="false">IF($B123="","",IFERROR(INDEX(Raw!$G$2:$G$1001,MATCH($A123&amp;"|N|"&amp;SUMPRODUCT(MAX((Raw!$A$2:$A$1001=$A123)*(Raw!$R$2:$R$1001="N")*(Raw!$I$2:$I$1001=1)*Raw!$D$2:$D$1001)),Raw!$S$2:$S$1001,0)),""))</f>
        <v/>
      </c>
      <c r="BJ123" s="21" t="str">
        <f aca="false">IF(OR($BI123="",Fits!$B$85&lt;=0),"",($BI123-Fits!$B$83)/Fits!$B$85)</f>
        <v/>
      </c>
      <c r="BK123" s="9" t="str">
        <f aca="false">IF($AS123="","",IF($A123&gt;=Fits!$B$86,"",$A123))</f>
        <v/>
      </c>
      <c r="BL123" s="9" t="str">
        <f aca="false">IF($BK123="","",$X123)</f>
        <v/>
      </c>
      <c r="BM123" s="9" t="str">
        <f aca="false">IF($AS123="","",IF($A123&lt;Fits!$B$86,"",$A123))</f>
        <v/>
      </c>
      <c r="BN123" s="9" t="str">
        <f aca="false">IF($BM123="","",$X123)</f>
        <v/>
      </c>
      <c r="BO123" s="9" t="str">
        <f aca="false">IF(AND($D123="Drift",$BX123&lt;&gt;1),IF($O123="","",$O123),"")</f>
        <v/>
      </c>
      <c r="BP123" s="9" t="str">
        <f aca="false">IF(AND($D123="Drift",$BX123&lt;&gt;1),IF($W123="","",$W123),"")</f>
        <v/>
      </c>
      <c r="BQ123" s="9" t="str">
        <f aca="false">IF(AND($D123="Drift",$BX123&lt;&gt;1),IF($X123="","",$X123),"")</f>
        <v/>
      </c>
      <c r="BR123" s="9" t="str">
        <f aca="false">IF(AND($D123="Drift",$BX123&lt;&gt;1),IF($Z123="","",$Z123),"")</f>
        <v/>
      </c>
      <c r="BS123" s="9" t="str">
        <f aca="false">IF(OR($B123="",$H123=""),"",SUMPRODUCT(MIN((Raw!$A$2:$A$1001=$A123)*(Raw!$R$2:$R$1001="N")*(Raw!$I$2:$I$1001=0)*(Raw!$D$2:$D$1001&lt;$H123)*Raw!$D$2:$D$1001+(1-(Raw!$A$2:$A$1001=$A123)*(Raw!$R$2:$R$1001="N")*(Raw!$I$2:$I$1001=0)*(Raw!$D$2:$D$1001&lt;$H123))*9999)))</f>
        <v/>
      </c>
      <c r="BT123" s="16" t="str">
        <f aca="false">IF(OR($BS123="",$BS123=9999,$BS123=0),"",IFERROR(INDEX(Raw!$N$2:$N$1001,MATCH($A123&amp;"|N|"&amp;$BS123,Raw!$S$2:$S$1001,0)),""))</f>
        <v/>
      </c>
      <c r="BU123" s="9" t="str">
        <f aca="false">IF($B123="","",SUMPRODUCT(MIN((Raw!$A$2:$A$1001=$A123)*(Raw!$R$2:$R$1001="C")*(Raw!$I$2:$I$1001=1)*Raw!$D$2:$D$1001+(1-(Raw!$A$2:$A$1001=$A123)*(Raw!$R$2:$R$1001="C")*(Raw!$I$2:$I$1001=1))*9999)))</f>
        <v/>
      </c>
      <c r="BV123" s="9" t="str">
        <f aca="false">IF(OR($BU123="",$BU123=9999),"",SUMPRODUCT(MIN((Raw!$A$2:$A$1001=$A123)*(Raw!$R$2:$R$1001="C")*(Raw!$I$2:$I$1001=0)*(Raw!$D$2:$D$1001&gt;$BU123)*Raw!$D$2:$D$1001+(1-(Raw!$A$2:$A$1001=$A123)*(Raw!$R$2:$R$1001="C")*(Raw!$I$2:$I$1001=0)*(Raw!$D$2:$D$1001&gt;$BU123))*9999)))</f>
        <v/>
      </c>
      <c r="BW123" s="16" t="str">
        <f aca="false">IF(OR($BV123="",$BV123=9999,$BV123=0),"",IFERROR(INDEX(Raw!$O$2:$O$1001,MATCH($A123&amp;"|C|"&amp;$BV123,Raw!$S$2:$S$1001,0)),""))</f>
        <v/>
      </c>
      <c r="BX123" s="9" t="str">
        <f aca="false">IF($B123="","",IF(ISNUMBER(SEARCH(","&amp;$A123&amp;",",","&amp;SUBSTITUTE(Setup!$B$16," ","")&amp;",")),1,0))</f>
        <v/>
      </c>
      <c r="BY123" s="9" t="str">
        <f aca="false">IF($B123="","",IF(ISNUMBER(SEARCH(","&amp;$A123&amp;",",","&amp;SUBSTITUTE(Setup!$B$17," ","")&amp;",")),1,0))</f>
        <v/>
      </c>
      <c r="BZ123" s="22" t="str">
        <f aca="false">IF($AS123="","",IF(Fits!$B$38="Row",$AQ123,IF($AR123="","",$AR123)))</f>
        <v/>
      </c>
      <c r="CA123" s="22" t="str">
        <f aca="false">IF($AT123="","",IF(Fits!$B$50="Row",$AQ123,IF($AR123="","",$AR123)))</f>
        <v/>
      </c>
      <c r="CB123" s="20" t="str">
        <f aca="false">IF(OR($D123&lt;&gt;"Drift",$X123="",$A123&lt;IF(Setup!$B$14="",0,Setup!$B$14),Fits!$B$107&lt;3,Fits!$B$110="",Fits!$B$109=0,IF(Fits!$B$38="Row",$AQ123,$AR123)=""),"",IF($BX123=1,IF(OR(Fits!$B$111="",Fits!$B$111=0),"",($X123-(IF(Fits!$B$38="Row",Fits!$B$32,Fits!$B$35)*IF(Fits!$B$38="Row",$AQ123,$AR123)+Fits!$B$110))/(Fits!$B$111*SQRT(1+(1/Fits!$B$107+(IF(Fits!$B$38="Row",$AQ123,$AR123)-Fits!$B$108)^2/Fits!$B$109)))),IF(OR(Fits!$B$107&lt;4,(1/Fits!$B$107+(IF(Fits!$B$38="Row",$AQ123,$AR123)-Fits!$B$108)^2/Fits!$B$109)&gt;=1),"",IF((Fits!$B$116-($X123-(IF(Fits!$B$38="Row",Fits!$B$32,Fits!$B$35)*IF(Fits!$B$38="Row",$AQ123,$AR123)+Fits!$B$110))^2/(1-(1/Fits!$B$107+(IF(Fits!$B$38="Row",$AQ123,$AR123)-Fits!$B$108)^2/Fits!$B$109)))&lt;=0,"",($X123-(IF(Fits!$B$38="Row",Fits!$B$32,Fits!$B$35)*IF(Fits!$B$38="Row",$AQ123,$AR123)+Fits!$B$110))/(SQRT((Fits!$B$116-($X123-(IF(Fits!$B$38="Row",Fits!$B$32,Fits!$B$35)*IF(Fits!$B$38="Row",$AQ123,$AR123)+Fits!$B$110))^2/(1-(1/Fits!$B$107+(IF(Fits!$B$38="Row",$AQ123,$AR123)-Fits!$B$108)^2/Fits!$B$109)))/(Fits!$B$107-3))*SQRT(1-(1/Fits!$B$107+(IF(Fits!$B$38="Row",$AQ123,$AR123)-Fits!$B$108)^2/Fits!$B$109)))))))</f>
        <v/>
      </c>
      <c r="CC123" s="20" t="str">
        <f aca="false">IF(OR($D123&lt;&gt;"Drift",$AC123="",$A123&lt;IF(Setup!$B$14="",0,Setup!$B$14),Fits!$B$120&lt;3,Fits!$B$123="",Fits!$B$122=0,IF(Fits!$B$50="Row",$AQ123,$AR123)=""),"",IF($BY123=1,IF(OR(Fits!$B$124="",Fits!$B$124=0),"",($AC123-(IF(Fits!$B$50="Row",Fits!$B$44,Fits!$B$47)*IF(Fits!$B$50="Row",$AQ123,$AR123)+Fits!$B$123))/(Fits!$B$124*SQRT(1+(1/Fits!$B$120+(IF(Fits!$B$50="Row",$AQ123,$AR123)-Fits!$B$121)^2/Fits!$B$122)))),IF(OR(Fits!$B$120&lt;4,(1/Fits!$B$120+(IF(Fits!$B$50="Row",$AQ123,$AR123)-Fits!$B$121)^2/Fits!$B$122)&gt;=1),"",IF((Fits!$B$129-($AC123-(IF(Fits!$B$50="Row",Fits!$B$44,Fits!$B$47)*IF(Fits!$B$50="Row",$AQ123,$AR123)+Fits!$B$123))^2/(1-(1/Fits!$B$120+(IF(Fits!$B$50="Row",$AQ123,$AR123)-Fits!$B$121)^2/Fits!$B$122)))&lt;=0,"",($AC123-(IF(Fits!$B$50="Row",Fits!$B$44,Fits!$B$47)*IF(Fits!$B$50="Row",$AQ123,$AR123)+Fits!$B$123))/(SQRT((Fits!$B$129-($AC123-(IF(Fits!$B$50="Row",Fits!$B$44,Fits!$B$47)*IF(Fits!$B$50="Row",$AQ123,$AR123)+Fits!$B$123))^2/(1-(1/Fits!$B$120+(IF(Fits!$B$50="Row",$AQ123,$AR123)-Fits!$B$121)^2/Fits!$B$122)))/(Fits!$B$120-3))*SQRT(1-(1/Fits!$B$120+(IF(Fits!$B$50="Row",$AQ123,$AR123)-Fits!$B$121)^2/Fits!$B$122)))))))</f>
        <v/>
      </c>
      <c r="CD123" s="9" t="str">
        <f aca="false">IF($AU123="","",1)</f>
        <v/>
      </c>
      <c r="CE123" s="24" t="str">
        <f aca="false">IF($AU123="","",$AU123-Fits!$B$133)</f>
        <v/>
      </c>
      <c r="CF123" s="24" t="str">
        <f aca="false">IF($AU123="","",($AV123-(Fits!$B$56*$AU123+Fits!$B$57))-Fits!$B$56*($AU123-Fits!$B$133))</f>
        <v/>
      </c>
      <c r="CG123" s="25" t="str">
        <f aca="false">IF($AU123="","",$AU123^2)</f>
        <v/>
      </c>
      <c r="CH123" s="9" t="str">
        <f aca="false">IF($AW123="","",1)</f>
        <v/>
      </c>
      <c r="CI123" s="24" t="str">
        <f aca="false">IF($AW123="","",$AW123-Fits!$B$153)</f>
        <v/>
      </c>
      <c r="CJ123" s="24" t="str">
        <f aca="false">IF($AW123="","",($AX123-(Fits!$B$63*$AW123+Fits!$B$64))-Fits!$B$63*($AW123-Fits!$B$153))</f>
        <v/>
      </c>
      <c r="CK123" s="25" t="str">
        <f aca="false">IF($AW123="","",$AW123^2)</f>
        <v/>
      </c>
      <c r="CL123" s="26" t="str">
        <f aca="false">IF(OR($Z123="",Fits!$B$55&lt;3,Fits!$B$133="",Fits!$B$134="",Fits!$B$134=0,Fits!$B$136=""),"",SQRT((Fits!$B$136*Fits!$B$56)^2+SUMPRODUCT((Fits!$J$163:$J$175*(Fits!$B$163:$B$175/Fits!$B$55+Fits!$H$163:$H$175*($Z123-Fits!$B$133)/Fits!$B$134))^2)+SUMPRODUCT((Fits!$G$163:$G$175*(($Z123-Fits!$B$133)*Fits!$I$163:$I$175/Fits!$B$134-Fits!$B$163:$B$175*Fits!$B$56/Fits!$B$55))^2)))</f>
        <v/>
      </c>
      <c r="CM123" s="26" t="str">
        <f aca="false">IF($CL123="","",Setup!$B$32*$CL123)</f>
        <v/>
      </c>
      <c r="CN123" s="26" t="str">
        <f aca="false">IF(OR($AE123="",Fits!$B$62&lt;3,Fits!$B$153="",Fits!$B$154="",Fits!$B$154=0,Fits!$B$156=""),"",SQRT((Fits!$B$156*Fits!$B$63)^2+SUMPRODUCT((Fits!$J$183:$J$195*(Fits!$B$183:$B$195/Fits!$B$62+Fits!$H$183:$H$195*($AE123-Fits!$B$153)/Fits!$B$154))^2)+SUMPRODUCT((Fits!$G$183:$G$195*(($AE123-Fits!$B$153)*Fits!$I$183:$I$195/Fits!$B$154-Fits!$B$183:$B$195*Fits!$B$63/Fits!$B$62))^2)))</f>
        <v/>
      </c>
      <c r="CO123" s="26" t="str">
        <f aca="false">IF($CN123="","",Setup!$B$32*$CN123)</f>
        <v/>
      </c>
      <c r="CP123" s="9" t="n">
        <f aca="false">IF(OR(NOT(ISNUMBER($BJ123)),$EK123=1),$CP122,IF($BJ123&lt;=Setup!$B$26,$CP122+1,0))</f>
        <v>26</v>
      </c>
      <c r="CQ123" s="9" t="str">
        <f aca="false">IF($BT123="","",$A123)</f>
        <v/>
      </c>
      <c r="CR123" s="9" t="str">
        <f aca="false">IF($BW123="","",$A123)</f>
        <v/>
      </c>
      <c r="CS123" s="9" t="str">
        <f aca="false">IF($B123="","",IF(Setup!$A$37="",0,IF(ISNUMBER(SEARCH(Setup!$A$37,$B123)),37,0)))</f>
        <v/>
      </c>
      <c r="CT123" s="9" t="str">
        <f aca="false">IF($B123="","",IF(Setup!$A$38="",0,IF(ISNUMBER(SEARCH(Setup!$A$38,$B123)),38,0)))</f>
        <v/>
      </c>
      <c r="CU123" s="9" t="str">
        <f aca="false">IF($B123="","",IF(Setup!$A$39="",0,IF(ISNUMBER(SEARCH(Setup!$A$39,$B123)),39,0)))</f>
        <v/>
      </c>
      <c r="CV123" s="9" t="str">
        <f aca="false">IF($B123="","",IF(Setup!$A$40="",0,IF(ISNUMBER(SEARCH(Setup!$A$40,$B123)),40,0)))</f>
        <v/>
      </c>
      <c r="CW123" s="9" t="str">
        <f aca="false">IF($B123="","",IF(Setup!$A$41="",0,IF(ISNUMBER(SEARCH(Setup!$A$41,$B123)),41,0)))</f>
        <v/>
      </c>
      <c r="CX123" s="9" t="str">
        <f aca="false">IF($B123="","",IF(Setup!$A$42="",0,IF(ISNUMBER(SEARCH(Setup!$A$42,$B123)),42,0)))</f>
        <v/>
      </c>
      <c r="CY123" s="9" t="str">
        <f aca="false">IF($B123="","",IF(Setup!$A$43="",0,IF(ISNUMBER(SEARCH(Setup!$A$43,$B123)),43,0)))</f>
        <v/>
      </c>
      <c r="CZ123" s="9" t="str">
        <f aca="false">IF($B123="","",IF(Setup!$A$44="",0,IF(ISNUMBER(SEARCH(Setup!$A$44,$B123)),44,0)))</f>
        <v/>
      </c>
      <c r="DA123" s="9" t="str">
        <f aca="false">IF($B123="","",IF(Setup!$A$45="",0,IF(ISNUMBER(SEARCH(Setup!$A$45,$B123)),45,0)))</f>
        <v/>
      </c>
      <c r="DB123" s="9" t="str">
        <f aca="false">IF($B123="","",IF(Setup!$A$46="",0,IF(ISNUMBER(SEARCH(Setup!$A$46,$B123)),46,0)))</f>
        <v/>
      </c>
      <c r="DC123" s="9" t="str">
        <f aca="false">IF($B123="","",IF(Setup!$A$47="",0,IF(ISNUMBER(SEARCH(Setup!$A$47,$B123)),47,0)))</f>
        <v/>
      </c>
      <c r="DD123" s="9" t="str">
        <f aca="false">IF($B123="","",IF(Setup!$A$48="",0,IF(ISNUMBER(SEARCH(Setup!$A$48,$B123)),48,0)))</f>
        <v/>
      </c>
      <c r="DE123" s="9" t="str">
        <f aca="false">IF($B123="","",IF(Setup!$A$49="",0,IF(ISNUMBER(SEARCH(Setup!$A$49,$B123)),49,0)))</f>
        <v/>
      </c>
      <c r="DF123" s="9" t="e">
        <f aca="false">IF($B123="",NA(),$A123)</f>
        <v>#N/A</v>
      </c>
      <c r="DG123" s="9" t="e">
        <f aca="false">IF($BI123="",NA(),$BI123)</f>
        <v>#N/A</v>
      </c>
      <c r="DH123" s="9" t="e">
        <f aca="false">IF($N123="",NA(),$N123)</f>
        <v>#N/A</v>
      </c>
      <c r="DI123" s="9" t="e">
        <f aca="false">IF(AND($D123="Drift",$N123&lt;&gt;""),$N123,NA())</f>
        <v>#N/A</v>
      </c>
      <c r="DJ123" s="9" t="str">
        <f aca="false">IF(AND($D123="Drift",$N123&lt;&gt;""),$N123,"")</f>
        <v/>
      </c>
      <c r="DK123" s="9" t="str">
        <f aca="false">IF($DJ123="","",$A123)</f>
        <v/>
      </c>
      <c r="DL123" s="9" t="e">
        <f aca="false">IF($AN123="",NA(),$AM123)</f>
        <v>#N/A</v>
      </c>
      <c r="DM123" s="9" t="e">
        <f aca="false">IF($AN123="",NA(),$AN123)</f>
        <v>#N/A</v>
      </c>
      <c r="DN123" s="9" t="e">
        <f aca="false">IF(AND($D123="Sample",$L123&lt;&gt;""),$L123,NA())</f>
        <v>#N/A</v>
      </c>
      <c r="DO123" s="9" t="e">
        <f aca="false">IF(AND($D123="Sample",$L123&lt;&gt;"",Fits!$B$98&lt;&gt;""),Fits!$B$98,NA())</f>
        <v>#N/A</v>
      </c>
      <c r="DP123" s="9" t="e">
        <f aca="false">IF($AS123="",NA(),$AS123)</f>
        <v>#N/A</v>
      </c>
      <c r="DQ123" s="9" t="e">
        <f aca="false">IF(AND($D123="Drift",$AS123="",$X123&lt;&gt;""),$X123,NA())</f>
        <v>#N/A</v>
      </c>
      <c r="DR123" s="9" t="e">
        <f aca="false">IF(AND($D123="Drift",$Z123&lt;&gt;""),$Z123,NA())</f>
        <v>#N/A</v>
      </c>
      <c r="DS123" s="9" t="e">
        <f aca="false">IF(AND(OR($D123="Sample",$D123="Check"),$AA123&lt;&gt;""),$AA123,NA())</f>
        <v>#N/A</v>
      </c>
      <c r="DT123" s="9" t="e">
        <f aca="false">IF(OR($B123="",Fits!$B$138=""),NA(),Fits!$B$138)</f>
        <v>#N/A</v>
      </c>
      <c r="DU123" s="9" t="e">
        <f aca="false">IF(OR($B123="",Fits!$B$139=""),NA(),Fits!$B$139)</f>
        <v>#N/A</v>
      </c>
      <c r="DV123" s="9" t="e">
        <f aca="false">IF($BT123="",NA(),$BT123)</f>
        <v>#N/A</v>
      </c>
      <c r="DW123" s="9" t="e">
        <f aca="false">IF($AP123="",NA(),$AO123)</f>
        <v>#N/A</v>
      </c>
      <c r="DX123" s="9" t="e">
        <f aca="false">IF($AP123="",NA(),$AP123)</f>
        <v>#N/A</v>
      </c>
      <c r="DY123" s="9" t="e">
        <f aca="false">IF(AND($D123="Sample",$P123&lt;&gt;""),$P123,NA())</f>
        <v>#N/A</v>
      </c>
      <c r="DZ123" s="9" t="e">
        <f aca="false">IF(AND($D123="Sample",$P123&lt;&gt;"",Fits!$B$105&lt;&gt;""),Fits!$B$105,NA())</f>
        <v>#N/A</v>
      </c>
      <c r="EA123" s="9" t="e">
        <f aca="false">IF($AT123="",NA(),$AT123)</f>
        <v>#N/A</v>
      </c>
      <c r="EB123" s="9" t="e">
        <f aca="false">IF(AND($D123="Drift",$AT123="",$AC123&lt;&gt;""),$AC123,NA())</f>
        <v>#N/A</v>
      </c>
      <c r="EC123" s="9" t="e">
        <f aca="false">IF(AND($D123="Drift",$AE123&lt;&gt;""),$AE123,NA())</f>
        <v>#N/A</v>
      </c>
      <c r="ED123" s="9" t="e">
        <f aca="false">IF(AND(OR($D123="Sample",$D123="Check"),$AF123&lt;&gt;""),$AF123,NA())</f>
        <v>#N/A</v>
      </c>
      <c r="EE123" s="9" t="e">
        <f aca="false">IF(OR($B123="",Fits!$B$158=""),NA(),Fits!$B$158)</f>
        <v>#N/A</v>
      </c>
      <c r="EF123" s="9" t="e">
        <f aca="false">IF(OR($B123="",Fits!$B$159=""),NA(),Fits!$B$159)</f>
        <v>#N/A</v>
      </c>
      <c r="EG123" s="9" t="e">
        <f aca="false">IF($BW123="",NA(),$BW123)</f>
        <v>#N/A</v>
      </c>
      <c r="EH123" s="9" t="e">
        <f aca="false">IF(AND($EN123=1,ISNUMBER($N123)),$N123,NA())</f>
        <v>#N/A</v>
      </c>
      <c r="EI123" s="9" t="str">
        <f aca="false">IF($B123="","",$A123)</f>
        <v/>
      </c>
      <c r="EJ123" s="9" t="n">
        <f aca="false">IF(OR(AND(ISNUMBER($L123),Fits!$B$97&gt;0,$L123&gt;Fits!$B$97),AND(ISNUMBER($P123),Fits!$B$104&gt;0,$P123&gt;Fits!$B$104)),1,0)</f>
        <v>0</v>
      </c>
      <c r="EK123" s="9" t="n">
        <f aca="false">IF(OR($EJ122=1,$EJ121=1),1,0)</f>
        <v>0</v>
      </c>
      <c r="EL123" s="22" t="n">
        <f aca="false">IF(AND($EK123=0,ISNUMBER($N123)),$N123,$EL122)</f>
        <v>25.7</v>
      </c>
      <c r="EM123" s="9" t="str">
        <f aca="false">IF(AND($EK123=1,ISNUMBER($N123),ISNUMBER($EL123)),$N123-$EL123,"")</f>
        <v/>
      </c>
      <c r="EN123" s="9" t="n">
        <f aca="false">IF(Setup!$B$28="",0,IF(ISNUMBER($EM123),IF($EM123&gt;Setup!$B$28,1,0),0))</f>
        <v>0</v>
      </c>
      <c r="EO123" s="9" t="str">
        <f aca="false">IF($EN123=1,COUNTIF($EN$6:$EN123,1),"")</f>
        <v/>
      </c>
      <c r="EP123" s="9" t="n">
        <f aca="false">IF(AND($EJ122=1,OR($D123="Sample",$D123="Check")),1,0)</f>
        <v>0</v>
      </c>
      <c r="EQ123" s="9" t="str">
        <f aca="false">IF(ISNUMBER($BI123),IF(COUNT($BI$6:$BI123)&lt;=5,$BI123,""),"")</f>
        <v/>
      </c>
      <c r="ER123" s="9" t="n">
        <f aca="false">IF(OR(NOT(ISNUMBER($BJ123)),$EK123=1),$ER122,IF($BJ123&lt;=Setup!$B$26,IF($CP122=0,$A123,$ER122),""))</f>
        <v>27</v>
      </c>
    </row>
    <row r="124" customFormat="false" ht="15" hidden="false" customHeight="false" outlineLevel="0" collapsed="false">
      <c r="A124" s="8" t="n">
        <v>119</v>
      </c>
      <c r="B124" s="8" t="str">
        <f aca="false">IFERROR(INDEX(Raw!$B$2:$B$1001,MATCH($A124,Raw!$A$2:$A$1001,0)),"")</f>
        <v/>
      </c>
      <c r="C124" s="9" t="str">
        <f aca="false">IF($B124="","",MAX($CS124:$DE124))</f>
        <v/>
      </c>
      <c r="D124" s="8" t="str">
        <f aca="false">IF($B124="","",IF($C124=0,"Sample",INDEX(Setup!$B$37:$B$49,$C124-36)))</f>
        <v/>
      </c>
      <c r="E124" s="16" t="str">
        <f aca="false">IF($B124="","",IFERROR(IF(INDEX(Raw!$E$2:$E$1001,MATCH($A124,Raw!$A$2:$A$1001,0))=0,"",INDEX(Raw!$E$2:$E$1001,MATCH($A124,Raw!$A$2:$A$1001,0))),""))</f>
        <v/>
      </c>
      <c r="F124" s="18"/>
      <c r="G124" s="16" t="str">
        <f aca="false">IF($B124="","",IF($F124&lt;&gt;"",$F124,IF($E124="","",$E124)))</f>
        <v/>
      </c>
      <c r="H124" s="9" t="str">
        <f aca="false">IF($B124="","",SUMPRODUCT(MAX((Raw!$A$2:$A$1001=$A124)*(Raw!$R$2:$R$1001="N")*Raw!$D$2:$D$1001)))</f>
        <v/>
      </c>
      <c r="I124" s="9" t="str">
        <f aca="false">IF(OR($H124="",$H124=0),"",$A124&amp;"|N|"&amp;$H124)</f>
        <v/>
      </c>
      <c r="J124" s="9" t="str">
        <f aca="false">IF($B124="","",SUMPRODUCT(MIN((Raw!$A$2:$A$1001=$A124)*(Raw!$R$2:$R$1001="C")*Raw!$D$2:$D$1001+(1-(Raw!$A$2:$A$1001=$A124)*(Raw!$R$2:$R$1001="C"))*9999)))</f>
        <v/>
      </c>
      <c r="K124" s="9" t="str">
        <f aca="false">IF(OR($J124="",$J124=0,$J124=9999),"",$A124&amp;"|C|"&amp;$J124)</f>
        <v/>
      </c>
      <c r="L124" s="16" t="str">
        <f aca="false">IF($I124="","",IF(INDEX(Raw!$I$2:$I$1001,MATCH($I124,Raw!$S$2:$S$1001,0))&lt;&gt;0,"",INDEX(Raw!$H$2:$H$1001,MATCH($I124,Raw!$S$2:$S$1001,0))))</f>
        <v/>
      </c>
      <c r="M124" s="19" t="str">
        <f aca="false">IF($I124="","",IF(INDEX(Raw!$I$2:$I$1001,MATCH($I124,Raw!$S$2:$S$1001,0))&lt;&gt;0,"",INDEX(Raw!$F$2:$F$1001,MATCH($I124,Raw!$S$2:$S$1001,0))))</f>
        <v/>
      </c>
      <c r="N124" s="20" t="str">
        <f aca="false">IF($I124="","",IF(INDEX(Raw!$I$2:$I$1001,MATCH($I124,Raw!$S$2:$S$1001,0))&lt;&gt;0,"",INDEX(Raw!$G$2:$G$1001,MATCH($I124,Raw!$S$2:$S$1001,0))))</f>
        <v/>
      </c>
      <c r="O124" s="16" t="str">
        <f aca="false">IF($I124="","",IF(INDEX(Raw!$I$2:$I$1001,MATCH($I124,Raw!$S$2:$S$1001,0))&lt;&gt;0,"",INDEX(Raw!$N$2:$N$1001,MATCH($I124,Raw!$S$2:$S$1001,0))))</f>
        <v/>
      </c>
      <c r="P124" s="16" t="str">
        <f aca="false">IF($K124="","",IF(INDEX(Raw!$I$2:$I$1001,MATCH($K124,Raw!$S$2:$S$1001,0))&lt;&gt;0,"",INDEX(Raw!$K$2:$K$1001,MATCH($K124,Raw!$S$2:$S$1001,0))))</f>
        <v/>
      </c>
      <c r="Q124" s="19" t="str">
        <f aca="false">IF($K124="","",IF(INDEX(Raw!$I$2:$I$1001,MATCH($K124,Raw!$S$2:$S$1001,0))&lt;&gt;0,"",INDEX(Raw!$J$2:$J$1001,MATCH($K124,Raw!$S$2:$S$1001,0))))</f>
        <v/>
      </c>
      <c r="R124" s="16" t="str">
        <f aca="false">IF($K124="","",IF(INDEX(Raw!$I$2:$I$1001,MATCH($K124,Raw!$S$2:$S$1001,0))&lt;&gt;0,"",INDEX(Raw!$O$2:$O$1001,MATCH($K124,Raw!$S$2:$S$1001,0))))</f>
        <v/>
      </c>
      <c r="S124" s="21" t="str">
        <f aca="false">IF($B124="","",IF($C124=0,"",IF(INDEX(Setup!$D$37:$D$49,$C124-36)="","",INDEX(Setup!$D$37:$D$49,$C124-36))))</f>
        <v/>
      </c>
      <c r="T124" s="21" t="str">
        <f aca="false">IF($B124="","",IF($C124=0,"",IF(INDEX(Setup!$C$37:$C$49,$C124-36)="","",INDEX(Setup!$C$37:$C$49,$C124-36))))</f>
        <v/>
      </c>
      <c r="U124" s="21" t="str">
        <f aca="false">IF($B124="","",IF($C124=0,"",IF(INDEX(Setup!$F$37:$F$49,$C124-36)="","",INDEX(Setup!$F$37:$F$49,$C124-36))))</f>
        <v/>
      </c>
      <c r="V124" s="21" t="str">
        <f aca="false">IF($B124="","",IF($C124=0,"",IF(INDEX(Setup!$E$37:$E$49,$C124-36)="","",INDEX(Setup!$E$37:$E$49,$C124-36))))</f>
        <v/>
      </c>
      <c r="W124" s="16" t="str">
        <f aca="false">IF($O124="","",IF(OR(Fits!$C$5&lt;&gt;"Yes",$D124="Blank",$L124&lt;=Fits!$B$6),$O124,($L124*$O124-Fits!$B$6*Fits!$B$7)/($L124-Fits!$B$6)))</f>
        <v/>
      </c>
      <c r="X124" s="16" t="str">
        <f aca="false">IF($W124="","",$W124-Fits!$B$20*($L124-Fits!$B$16))</f>
        <v/>
      </c>
      <c r="Y124" s="22" t="str">
        <f aca="false">IF($W124="","",IF(OR(Fits!$B$38="Row",$BI124=""),$A124,$BI124))</f>
        <v/>
      </c>
      <c r="Z124" s="16" t="str">
        <f aca="false">IF($X124="","",$X124-Fits!$B$39*($Y124-Fits!$B$40))</f>
        <v/>
      </c>
      <c r="AA124" s="23" t="str">
        <f aca="false">IF(OR($Z124="",Fits!$B$55&lt;2),"",Fits!$B$56*$Z124+Fits!$B$57)</f>
        <v/>
      </c>
      <c r="AB124" s="16" t="str">
        <f aca="false">IF($R124="","",IF(OR(Fits!$C$9&lt;&gt;"Yes",$D124="Blank",$P124&lt;=Fits!$B$10),$R124,($P124*$R124-Fits!$B$10*Fits!$B$11)/($P124-Fits!$B$10)))</f>
        <v/>
      </c>
      <c r="AC124" s="16" t="str">
        <f aca="false">IF($AB124="","",$AB124-Fits!$B$28*($P124-Fits!$B$24))</f>
        <v/>
      </c>
      <c r="AD124" s="22" t="str">
        <f aca="false">IF($AB124="","",IF(OR(Fits!$B$50="Row",$BI124=""),$A124,$BI124))</f>
        <v/>
      </c>
      <c r="AE124" s="16" t="str">
        <f aca="false">IF($AC124="","",$AC124-Fits!$B$51*($AD124-Fits!$B$52))</f>
        <v/>
      </c>
      <c r="AF124" s="23" t="str">
        <f aca="false">IF(OR($AE124="",Fits!$B$62&lt;2),"",Fits!$B$63*$AE124+Fits!$B$64)</f>
        <v/>
      </c>
      <c r="AG124" s="21" t="str">
        <f aca="false">IF(OR($L124="",Fits!$B$69&lt;3),"",($L124-Fits!$B$71)/Fits!$B$70)</f>
        <v/>
      </c>
      <c r="AH124" s="21" t="str">
        <f aca="false">IF(OR($P124="",Fits!$B$75&lt;3),"",($P124-Fits!$B$77)/Fits!$B$76)</f>
        <v/>
      </c>
      <c r="AI124" s="23" t="str">
        <f aca="false">IF(OR($AG124="",$G124="",$G124=0),"",$AG124/($G124*1000)*100)</f>
        <v/>
      </c>
      <c r="AJ124" s="23" t="str">
        <f aca="false">IF(OR($AH124="",$G124="",$G124=0),"",$AH124/($G124*1000)*100)</f>
        <v/>
      </c>
      <c r="AK124" s="23" t="str">
        <f aca="false">IF(OR($AG124="",$AH124="",$AG124&lt;=0),"",($AH124/Setup!$B$52)/($AG124/Setup!$B$53))</f>
        <v/>
      </c>
      <c r="AL124" s="23" t="str">
        <f aca="false">IF(OR($AG124="",$AH124="",$AG124&lt;=0),"",$AH124/$AG124)</f>
        <v/>
      </c>
      <c r="AM124" s="9" t="str">
        <f aca="false">IF($D124="Linearity",IF($L124="","",$L124),"")</f>
        <v/>
      </c>
      <c r="AN124" s="9" t="str">
        <f aca="false">IF($D124="Linearity",IF($W124="","",$W124),"")</f>
        <v/>
      </c>
      <c r="AO124" s="9" t="str">
        <f aca="false">IF($D124="Linearity",IF($P124="","",$P124),"")</f>
        <v/>
      </c>
      <c r="AP124" s="9" t="str">
        <f aca="false">IF($D124="Linearity",IF($AB124="","",$AB124),"")</f>
        <v/>
      </c>
      <c r="AQ124" s="9" t="str">
        <f aca="false">IF($D124="Drift",IF($A124&lt;IF(Setup!$B$14="",0,Setup!$B$14),"",$A124),"")</f>
        <v/>
      </c>
      <c r="AR124" s="9" t="str">
        <f aca="false">IF($D124="Drift",IF($A124&lt;IF(Setup!$B$14="",0,Setup!$B$14),"",IF($BI124="","",$BI124)),"")</f>
        <v/>
      </c>
      <c r="AS124" s="9" t="str">
        <f aca="false">IF($D124="Drift",IF($A124&lt;IF(Setup!$B$14="",0,Setup!$B$14),"",IF(OR($X124="",$BX124=1),"",$X124)),"")</f>
        <v/>
      </c>
      <c r="AT124" s="9" t="str">
        <f aca="false">IF($D124="Drift",IF($A124&lt;IF(Setup!$B$14="",0,Setup!$B$14),"",IF(OR($AC124="",$BY124=1),"",$AC124)),"")</f>
        <v/>
      </c>
      <c r="AU124" s="9" t="str">
        <f aca="false">IF($D124="Anchor",IF(OR($Z124="",$S124=""),"",$Z124),"")</f>
        <v/>
      </c>
      <c r="AV124" s="9" t="str">
        <f aca="false">IF($D124="Anchor",IF(OR($Z124="",$S124=""),"",$S124),"")</f>
        <v/>
      </c>
      <c r="AW124" s="9" t="str">
        <f aca="false">IF($D124="Anchor",IF(OR($AE124="",$T124=""),"",$AE124),"")</f>
        <v/>
      </c>
      <c r="AX124" s="9" t="str">
        <f aca="false">IF($D124="Anchor",IF(OR($AE124="",$T124=""),"",$T124),"")</f>
        <v/>
      </c>
      <c r="AY124" s="9" t="str">
        <f aca="false">IF(OR($D124="Blank",$D124="Exclude",$D124="Sample",$D124="",$G124="",$U124="",$L124=""),"",$G124*1000*$U124/100)</f>
        <v/>
      </c>
      <c r="AZ124" s="9" t="str">
        <f aca="false">IF($AY124="","",$L124)</f>
        <v/>
      </c>
      <c r="BA124" s="9" t="str">
        <f aca="false">IF(OR($D124="Blank",$D124="Exclude",$D124="Sample",$D124="",$G124="",$V124="",$P124=""),"",$G124*1000*$V124/100)</f>
        <v/>
      </c>
      <c r="BB124" s="9" t="str">
        <f aca="false">IF($BA124="","",$P124)</f>
        <v/>
      </c>
      <c r="BC124" s="9" t="str">
        <f aca="false">IF(AND($D124="Blank",$L124&lt;&gt;""),$O124,"")</f>
        <v/>
      </c>
      <c r="BD124" s="9" t="str">
        <f aca="false">IF($BC124="","",$L124)</f>
        <v/>
      </c>
      <c r="BE124" s="9" t="str">
        <f aca="false">IF(AND($D124="Blank",$P124&lt;&gt;""),$R124,"")</f>
        <v/>
      </c>
      <c r="BF124" s="9" t="str">
        <f aca="false">IF($BE124="","",$P124)</f>
        <v/>
      </c>
      <c r="BG124" s="9" t="str">
        <f aca="false">IF(AND($D124="Drift",$BX124&lt;&gt;1),IF($AA124="","",$AA124),"")</f>
        <v/>
      </c>
      <c r="BH124" s="9" t="str">
        <f aca="false">IF(AND($D124="Drift",$BY124&lt;&gt;1),IF($AF124="","",$AF124),"")</f>
        <v/>
      </c>
      <c r="BI124" s="20" t="str">
        <f aca="false">IF($B124="","",IFERROR(INDEX(Raw!$G$2:$G$1001,MATCH($A124&amp;"|N|"&amp;SUMPRODUCT(MAX((Raw!$A$2:$A$1001=$A124)*(Raw!$R$2:$R$1001="N")*(Raw!$I$2:$I$1001=1)*Raw!$D$2:$D$1001)),Raw!$S$2:$S$1001,0)),""))</f>
        <v/>
      </c>
      <c r="BJ124" s="21" t="str">
        <f aca="false">IF(OR($BI124="",Fits!$B$85&lt;=0),"",($BI124-Fits!$B$83)/Fits!$B$85)</f>
        <v/>
      </c>
      <c r="BK124" s="9" t="str">
        <f aca="false">IF($AS124="","",IF($A124&gt;=Fits!$B$86,"",$A124))</f>
        <v/>
      </c>
      <c r="BL124" s="9" t="str">
        <f aca="false">IF($BK124="","",$X124)</f>
        <v/>
      </c>
      <c r="BM124" s="9" t="str">
        <f aca="false">IF($AS124="","",IF($A124&lt;Fits!$B$86,"",$A124))</f>
        <v/>
      </c>
      <c r="BN124" s="9" t="str">
        <f aca="false">IF($BM124="","",$X124)</f>
        <v/>
      </c>
      <c r="BO124" s="9" t="str">
        <f aca="false">IF(AND($D124="Drift",$BX124&lt;&gt;1),IF($O124="","",$O124),"")</f>
        <v/>
      </c>
      <c r="BP124" s="9" t="str">
        <f aca="false">IF(AND($D124="Drift",$BX124&lt;&gt;1),IF($W124="","",$W124),"")</f>
        <v/>
      </c>
      <c r="BQ124" s="9" t="str">
        <f aca="false">IF(AND($D124="Drift",$BX124&lt;&gt;1),IF($X124="","",$X124),"")</f>
        <v/>
      </c>
      <c r="BR124" s="9" t="str">
        <f aca="false">IF(AND($D124="Drift",$BX124&lt;&gt;1),IF($Z124="","",$Z124),"")</f>
        <v/>
      </c>
      <c r="BS124" s="9" t="str">
        <f aca="false">IF(OR($B124="",$H124=""),"",SUMPRODUCT(MIN((Raw!$A$2:$A$1001=$A124)*(Raw!$R$2:$R$1001="N")*(Raw!$I$2:$I$1001=0)*(Raw!$D$2:$D$1001&lt;$H124)*Raw!$D$2:$D$1001+(1-(Raw!$A$2:$A$1001=$A124)*(Raw!$R$2:$R$1001="N")*(Raw!$I$2:$I$1001=0)*(Raw!$D$2:$D$1001&lt;$H124))*9999)))</f>
        <v/>
      </c>
      <c r="BT124" s="16" t="str">
        <f aca="false">IF(OR($BS124="",$BS124=9999,$BS124=0),"",IFERROR(INDEX(Raw!$N$2:$N$1001,MATCH($A124&amp;"|N|"&amp;$BS124,Raw!$S$2:$S$1001,0)),""))</f>
        <v/>
      </c>
      <c r="BU124" s="9" t="str">
        <f aca="false">IF($B124="","",SUMPRODUCT(MIN((Raw!$A$2:$A$1001=$A124)*(Raw!$R$2:$R$1001="C")*(Raw!$I$2:$I$1001=1)*Raw!$D$2:$D$1001+(1-(Raw!$A$2:$A$1001=$A124)*(Raw!$R$2:$R$1001="C")*(Raw!$I$2:$I$1001=1))*9999)))</f>
        <v/>
      </c>
      <c r="BV124" s="9" t="str">
        <f aca="false">IF(OR($BU124="",$BU124=9999),"",SUMPRODUCT(MIN((Raw!$A$2:$A$1001=$A124)*(Raw!$R$2:$R$1001="C")*(Raw!$I$2:$I$1001=0)*(Raw!$D$2:$D$1001&gt;$BU124)*Raw!$D$2:$D$1001+(1-(Raw!$A$2:$A$1001=$A124)*(Raw!$R$2:$R$1001="C")*(Raw!$I$2:$I$1001=0)*(Raw!$D$2:$D$1001&gt;$BU124))*9999)))</f>
        <v/>
      </c>
      <c r="BW124" s="16" t="str">
        <f aca="false">IF(OR($BV124="",$BV124=9999,$BV124=0),"",IFERROR(INDEX(Raw!$O$2:$O$1001,MATCH($A124&amp;"|C|"&amp;$BV124,Raw!$S$2:$S$1001,0)),""))</f>
        <v/>
      </c>
      <c r="BX124" s="9" t="str">
        <f aca="false">IF($B124="","",IF(ISNUMBER(SEARCH(","&amp;$A124&amp;",",","&amp;SUBSTITUTE(Setup!$B$16," ","")&amp;",")),1,0))</f>
        <v/>
      </c>
      <c r="BY124" s="9" t="str">
        <f aca="false">IF($B124="","",IF(ISNUMBER(SEARCH(","&amp;$A124&amp;",",","&amp;SUBSTITUTE(Setup!$B$17," ","")&amp;",")),1,0))</f>
        <v/>
      </c>
      <c r="BZ124" s="22" t="str">
        <f aca="false">IF($AS124="","",IF(Fits!$B$38="Row",$AQ124,IF($AR124="","",$AR124)))</f>
        <v/>
      </c>
      <c r="CA124" s="22" t="str">
        <f aca="false">IF($AT124="","",IF(Fits!$B$50="Row",$AQ124,IF($AR124="","",$AR124)))</f>
        <v/>
      </c>
      <c r="CB124" s="20" t="str">
        <f aca="false">IF(OR($D124&lt;&gt;"Drift",$X124="",$A124&lt;IF(Setup!$B$14="",0,Setup!$B$14),Fits!$B$107&lt;3,Fits!$B$110="",Fits!$B$109=0,IF(Fits!$B$38="Row",$AQ124,$AR124)=""),"",IF($BX124=1,IF(OR(Fits!$B$111="",Fits!$B$111=0),"",($X124-(IF(Fits!$B$38="Row",Fits!$B$32,Fits!$B$35)*IF(Fits!$B$38="Row",$AQ124,$AR124)+Fits!$B$110))/(Fits!$B$111*SQRT(1+(1/Fits!$B$107+(IF(Fits!$B$38="Row",$AQ124,$AR124)-Fits!$B$108)^2/Fits!$B$109)))),IF(OR(Fits!$B$107&lt;4,(1/Fits!$B$107+(IF(Fits!$B$38="Row",$AQ124,$AR124)-Fits!$B$108)^2/Fits!$B$109)&gt;=1),"",IF((Fits!$B$116-($X124-(IF(Fits!$B$38="Row",Fits!$B$32,Fits!$B$35)*IF(Fits!$B$38="Row",$AQ124,$AR124)+Fits!$B$110))^2/(1-(1/Fits!$B$107+(IF(Fits!$B$38="Row",$AQ124,$AR124)-Fits!$B$108)^2/Fits!$B$109)))&lt;=0,"",($X124-(IF(Fits!$B$38="Row",Fits!$B$32,Fits!$B$35)*IF(Fits!$B$38="Row",$AQ124,$AR124)+Fits!$B$110))/(SQRT((Fits!$B$116-($X124-(IF(Fits!$B$38="Row",Fits!$B$32,Fits!$B$35)*IF(Fits!$B$38="Row",$AQ124,$AR124)+Fits!$B$110))^2/(1-(1/Fits!$B$107+(IF(Fits!$B$38="Row",$AQ124,$AR124)-Fits!$B$108)^2/Fits!$B$109)))/(Fits!$B$107-3))*SQRT(1-(1/Fits!$B$107+(IF(Fits!$B$38="Row",$AQ124,$AR124)-Fits!$B$108)^2/Fits!$B$109)))))))</f>
        <v/>
      </c>
      <c r="CC124" s="20" t="str">
        <f aca="false">IF(OR($D124&lt;&gt;"Drift",$AC124="",$A124&lt;IF(Setup!$B$14="",0,Setup!$B$14),Fits!$B$120&lt;3,Fits!$B$123="",Fits!$B$122=0,IF(Fits!$B$50="Row",$AQ124,$AR124)=""),"",IF($BY124=1,IF(OR(Fits!$B$124="",Fits!$B$124=0),"",($AC124-(IF(Fits!$B$50="Row",Fits!$B$44,Fits!$B$47)*IF(Fits!$B$50="Row",$AQ124,$AR124)+Fits!$B$123))/(Fits!$B$124*SQRT(1+(1/Fits!$B$120+(IF(Fits!$B$50="Row",$AQ124,$AR124)-Fits!$B$121)^2/Fits!$B$122)))),IF(OR(Fits!$B$120&lt;4,(1/Fits!$B$120+(IF(Fits!$B$50="Row",$AQ124,$AR124)-Fits!$B$121)^2/Fits!$B$122)&gt;=1),"",IF((Fits!$B$129-($AC124-(IF(Fits!$B$50="Row",Fits!$B$44,Fits!$B$47)*IF(Fits!$B$50="Row",$AQ124,$AR124)+Fits!$B$123))^2/(1-(1/Fits!$B$120+(IF(Fits!$B$50="Row",$AQ124,$AR124)-Fits!$B$121)^2/Fits!$B$122)))&lt;=0,"",($AC124-(IF(Fits!$B$50="Row",Fits!$B$44,Fits!$B$47)*IF(Fits!$B$50="Row",$AQ124,$AR124)+Fits!$B$123))/(SQRT((Fits!$B$129-($AC124-(IF(Fits!$B$50="Row",Fits!$B$44,Fits!$B$47)*IF(Fits!$B$50="Row",$AQ124,$AR124)+Fits!$B$123))^2/(1-(1/Fits!$B$120+(IF(Fits!$B$50="Row",$AQ124,$AR124)-Fits!$B$121)^2/Fits!$B$122)))/(Fits!$B$120-3))*SQRT(1-(1/Fits!$B$120+(IF(Fits!$B$50="Row",$AQ124,$AR124)-Fits!$B$121)^2/Fits!$B$122)))))))</f>
        <v/>
      </c>
      <c r="CD124" s="9" t="str">
        <f aca="false">IF($AU124="","",1)</f>
        <v/>
      </c>
      <c r="CE124" s="24" t="str">
        <f aca="false">IF($AU124="","",$AU124-Fits!$B$133)</f>
        <v/>
      </c>
      <c r="CF124" s="24" t="str">
        <f aca="false">IF($AU124="","",($AV124-(Fits!$B$56*$AU124+Fits!$B$57))-Fits!$B$56*($AU124-Fits!$B$133))</f>
        <v/>
      </c>
      <c r="CG124" s="25" t="str">
        <f aca="false">IF($AU124="","",$AU124^2)</f>
        <v/>
      </c>
      <c r="CH124" s="9" t="str">
        <f aca="false">IF($AW124="","",1)</f>
        <v/>
      </c>
      <c r="CI124" s="24" t="str">
        <f aca="false">IF($AW124="","",$AW124-Fits!$B$153)</f>
        <v/>
      </c>
      <c r="CJ124" s="24" t="str">
        <f aca="false">IF($AW124="","",($AX124-(Fits!$B$63*$AW124+Fits!$B$64))-Fits!$B$63*($AW124-Fits!$B$153))</f>
        <v/>
      </c>
      <c r="CK124" s="25" t="str">
        <f aca="false">IF($AW124="","",$AW124^2)</f>
        <v/>
      </c>
      <c r="CL124" s="26" t="str">
        <f aca="false">IF(OR($Z124="",Fits!$B$55&lt;3,Fits!$B$133="",Fits!$B$134="",Fits!$B$134=0,Fits!$B$136=""),"",SQRT((Fits!$B$136*Fits!$B$56)^2+SUMPRODUCT((Fits!$J$163:$J$175*(Fits!$B$163:$B$175/Fits!$B$55+Fits!$H$163:$H$175*($Z124-Fits!$B$133)/Fits!$B$134))^2)+SUMPRODUCT((Fits!$G$163:$G$175*(($Z124-Fits!$B$133)*Fits!$I$163:$I$175/Fits!$B$134-Fits!$B$163:$B$175*Fits!$B$56/Fits!$B$55))^2)))</f>
        <v/>
      </c>
      <c r="CM124" s="26" t="str">
        <f aca="false">IF($CL124="","",Setup!$B$32*$CL124)</f>
        <v/>
      </c>
      <c r="CN124" s="26" t="str">
        <f aca="false">IF(OR($AE124="",Fits!$B$62&lt;3,Fits!$B$153="",Fits!$B$154="",Fits!$B$154=0,Fits!$B$156=""),"",SQRT((Fits!$B$156*Fits!$B$63)^2+SUMPRODUCT((Fits!$J$183:$J$195*(Fits!$B$183:$B$195/Fits!$B$62+Fits!$H$183:$H$195*($AE124-Fits!$B$153)/Fits!$B$154))^2)+SUMPRODUCT((Fits!$G$183:$G$195*(($AE124-Fits!$B$153)*Fits!$I$183:$I$195/Fits!$B$154-Fits!$B$183:$B$195*Fits!$B$63/Fits!$B$62))^2)))</f>
        <v/>
      </c>
      <c r="CO124" s="26" t="str">
        <f aca="false">IF($CN124="","",Setup!$B$32*$CN124)</f>
        <v/>
      </c>
      <c r="CP124" s="9" t="n">
        <f aca="false">IF(OR(NOT(ISNUMBER($BJ124)),$EK124=1),$CP123,IF($BJ124&lt;=Setup!$B$26,$CP123+1,0))</f>
        <v>26</v>
      </c>
      <c r="CQ124" s="9" t="str">
        <f aca="false">IF($BT124="","",$A124)</f>
        <v/>
      </c>
      <c r="CR124" s="9" t="str">
        <f aca="false">IF($BW124="","",$A124)</f>
        <v/>
      </c>
      <c r="CS124" s="9" t="str">
        <f aca="false">IF($B124="","",IF(Setup!$A$37="",0,IF(ISNUMBER(SEARCH(Setup!$A$37,$B124)),37,0)))</f>
        <v/>
      </c>
      <c r="CT124" s="9" t="str">
        <f aca="false">IF($B124="","",IF(Setup!$A$38="",0,IF(ISNUMBER(SEARCH(Setup!$A$38,$B124)),38,0)))</f>
        <v/>
      </c>
      <c r="CU124" s="9" t="str">
        <f aca="false">IF($B124="","",IF(Setup!$A$39="",0,IF(ISNUMBER(SEARCH(Setup!$A$39,$B124)),39,0)))</f>
        <v/>
      </c>
      <c r="CV124" s="9" t="str">
        <f aca="false">IF($B124="","",IF(Setup!$A$40="",0,IF(ISNUMBER(SEARCH(Setup!$A$40,$B124)),40,0)))</f>
        <v/>
      </c>
      <c r="CW124" s="9" t="str">
        <f aca="false">IF($B124="","",IF(Setup!$A$41="",0,IF(ISNUMBER(SEARCH(Setup!$A$41,$B124)),41,0)))</f>
        <v/>
      </c>
      <c r="CX124" s="9" t="str">
        <f aca="false">IF($B124="","",IF(Setup!$A$42="",0,IF(ISNUMBER(SEARCH(Setup!$A$42,$B124)),42,0)))</f>
        <v/>
      </c>
      <c r="CY124" s="9" t="str">
        <f aca="false">IF($B124="","",IF(Setup!$A$43="",0,IF(ISNUMBER(SEARCH(Setup!$A$43,$B124)),43,0)))</f>
        <v/>
      </c>
      <c r="CZ124" s="9" t="str">
        <f aca="false">IF($B124="","",IF(Setup!$A$44="",0,IF(ISNUMBER(SEARCH(Setup!$A$44,$B124)),44,0)))</f>
        <v/>
      </c>
      <c r="DA124" s="9" t="str">
        <f aca="false">IF($B124="","",IF(Setup!$A$45="",0,IF(ISNUMBER(SEARCH(Setup!$A$45,$B124)),45,0)))</f>
        <v/>
      </c>
      <c r="DB124" s="9" t="str">
        <f aca="false">IF($B124="","",IF(Setup!$A$46="",0,IF(ISNUMBER(SEARCH(Setup!$A$46,$B124)),46,0)))</f>
        <v/>
      </c>
      <c r="DC124" s="9" t="str">
        <f aca="false">IF($B124="","",IF(Setup!$A$47="",0,IF(ISNUMBER(SEARCH(Setup!$A$47,$B124)),47,0)))</f>
        <v/>
      </c>
      <c r="DD124" s="9" t="str">
        <f aca="false">IF($B124="","",IF(Setup!$A$48="",0,IF(ISNUMBER(SEARCH(Setup!$A$48,$B124)),48,0)))</f>
        <v/>
      </c>
      <c r="DE124" s="9" t="str">
        <f aca="false">IF($B124="","",IF(Setup!$A$49="",0,IF(ISNUMBER(SEARCH(Setup!$A$49,$B124)),49,0)))</f>
        <v/>
      </c>
      <c r="DF124" s="9" t="e">
        <f aca="false">IF($B124="",NA(),$A124)</f>
        <v>#N/A</v>
      </c>
      <c r="DG124" s="9" t="e">
        <f aca="false">IF($BI124="",NA(),$BI124)</f>
        <v>#N/A</v>
      </c>
      <c r="DH124" s="9" t="e">
        <f aca="false">IF($N124="",NA(),$N124)</f>
        <v>#N/A</v>
      </c>
      <c r="DI124" s="9" t="e">
        <f aca="false">IF(AND($D124="Drift",$N124&lt;&gt;""),$N124,NA())</f>
        <v>#N/A</v>
      </c>
      <c r="DJ124" s="9" t="str">
        <f aca="false">IF(AND($D124="Drift",$N124&lt;&gt;""),$N124,"")</f>
        <v/>
      </c>
      <c r="DK124" s="9" t="str">
        <f aca="false">IF($DJ124="","",$A124)</f>
        <v/>
      </c>
      <c r="DL124" s="9" t="e">
        <f aca="false">IF($AN124="",NA(),$AM124)</f>
        <v>#N/A</v>
      </c>
      <c r="DM124" s="9" t="e">
        <f aca="false">IF($AN124="",NA(),$AN124)</f>
        <v>#N/A</v>
      </c>
      <c r="DN124" s="9" t="e">
        <f aca="false">IF(AND($D124="Sample",$L124&lt;&gt;""),$L124,NA())</f>
        <v>#N/A</v>
      </c>
      <c r="DO124" s="9" t="e">
        <f aca="false">IF(AND($D124="Sample",$L124&lt;&gt;"",Fits!$B$98&lt;&gt;""),Fits!$B$98,NA())</f>
        <v>#N/A</v>
      </c>
      <c r="DP124" s="9" t="e">
        <f aca="false">IF($AS124="",NA(),$AS124)</f>
        <v>#N/A</v>
      </c>
      <c r="DQ124" s="9" t="e">
        <f aca="false">IF(AND($D124="Drift",$AS124="",$X124&lt;&gt;""),$X124,NA())</f>
        <v>#N/A</v>
      </c>
      <c r="DR124" s="9" t="e">
        <f aca="false">IF(AND($D124="Drift",$Z124&lt;&gt;""),$Z124,NA())</f>
        <v>#N/A</v>
      </c>
      <c r="DS124" s="9" t="e">
        <f aca="false">IF(AND(OR($D124="Sample",$D124="Check"),$AA124&lt;&gt;""),$AA124,NA())</f>
        <v>#N/A</v>
      </c>
      <c r="DT124" s="9" t="e">
        <f aca="false">IF(OR($B124="",Fits!$B$138=""),NA(),Fits!$B$138)</f>
        <v>#N/A</v>
      </c>
      <c r="DU124" s="9" t="e">
        <f aca="false">IF(OR($B124="",Fits!$B$139=""),NA(),Fits!$B$139)</f>
        <v>#N/A</v>
      </c>
      <c r="DV124" s="9" t="e">
        <f aca="false">IF($BT124="",NA(),$BT124)</f>
        <v>#N/A</v>
      </c>
      <c r="DW124" s="9" t="e">
        <f aca="false">IF($AP124="",NA(),$AO124)</f>
        <v>#N/A</v>
      </c>
      <c r="DX124" s="9" t="e">
        <f aca="false">IF($AP124="",NA(),$AP124)</f>
        <v>#N/A</v>
      </c>
      <c r="DY124" s="9" t="e">
        <f aca="false">IF(AND($D124="Sample",$P124&lt;&gt;""),$P124,NA())</f>
        <v>#N/A</v>
      </c>
      <c r="DZ124" s="9" t="e">
        <f aca="false">IF(AND($D124="Sample",$P124&lt;&gt;"",Fits!$B$105&lt;&gt;""),Fits!$B$105,NA())</f>
        <v>#N/A</v>
      </c>
      <c r="EA124" s="9" t="e">
        <f aca="false">IF($AT124="",NA(),$AT124)</f>
        <v>#N/A</v>
      </c>
      <c r="EB124" s="9" t="e">
        <f aca="false">IF(AND($D124="Drift",$AT124="",$AC124&lt;&gt;""),$AC124,NA())</f>
        <v>#N/A</v>
      </c>
      <c r="EC124" s="9" t="e">
        <f aca="false">IF(AND($D124="Drift",$AE124&lt;&gt;""),$AE124,NA())</f>
        <v>#N/A</v>
      </c>
      <c r="ED124" s="9" t="e">
        <f aca="false">IF(AND(OR($D124="Sample",$D124="Check"),$AF124&lt;&gt;""),$AF124,NA())</f>
        <v>#N/A</v>
      </c>
      <c r="EE124" s="9" t="e">
        <f aca="false">IF(OR($B124="",Fits!$B$158=""),NA(),Fits!$B$158)</f>
        <v>#N/A</v>
      </c>
      <c r="EF124" s="9" t="e">
        <f aca="false">IF(OR($B124="",Fits!$B$159=""),NA(),Fits!$B$159)</f>
        <v>#N/A</v>
      </c>
      <c r="EG124" s="9" t="e">
        <f aca="false">IF($BW124="",NA(),$BW124)</f>
        <v>#N/A</v>
      </c>
      <c r="EH124" s="9" t="e">
        <f aca="false">IF(AND($EN124=1,ISNUMBER($N124)),$N124,NA())</f>
        <v>#N/A</v>
      </c>
      <c r="EI124" s="9" t="str">
        <f aca="false">IF($B124="","",$A124)</f>
        <v/>
      </c>
      <c r="EJ124" s="9" t="n">
        <f aca="false">IF(OR(AND(ISNUMBER($L124),Fits!$B$97&gt;0,$L124&gt;Fits!$B$97),AND(ISNUMBER($P124),Fits!$B$104&gt;0,$P124&gt;Fits!$B$104)),1,0)</f>
        <v>0</v>
      </c>
      <c r="EK124" s="9" t="n">
        <f aca="false">IF(OR($EJ123=1,$EJ122=1),1,0)</f>
        <v>0</v>
      </c>
      <c r="EL124" s="22" t="n">
        <f aca="false">IF(AND($EK124=0,ISNUMBER($N124)),$N124,$EL123)</f>
        <v>25.7</v>
      </c>
      <c r="EM124" s="9" t="str">
        <f aca="false">IF(AND($EK124=1,ISNUMBER($N124),ISNUMBER($EL124)),$N124-$EL124,"")</f>
        <v/>
      </c>
      <c r="EN124" s="9" t="n">
        <f aca="false">IF(Setup!$B$28="",0,IF(ISNUMBER($EM124),IF($EM124&gt;Setup!$B$28,1,0),0))</f>
        <v>0</v>
      </c>
      <c r="EO124" s="9" t="str">
        <f aca="false">IF($EN124=1,COUNTIF($EN$6:$EN124,1),"")</f>
        <v/>
      </c>
      <c r="EP124" s="9" t="n">
        <f aca="false">IF(AND($EJ123=1,OR($D124="Sample",$D124="Check")),1,0)</f>
        <v>0</v>
      </c>
      <c r="EQ124" s="9" t="str">
        <f aca="false">IF(ISNUMBER($BI124),IF(COUNT($BI$6:$BI124)&lt;=5,$BI124,""),"")</f>
        <v/>
      </c>
      <c r="ER124" s="9" t="n">
        <f aca="false">IF(OR(NOT(ISNUMBER($BJ124)),$EK124=1),$ER123,IF($BJ124&lt;=Setup!$B$26,IF($CP123=0,$A124,$ER123),""))</f>
        <v>27</v>
      </c>
    </row>
    <row r="125" customFormat="false" ht="15" hidden="false" customHeight="false" outlineLevel="0" collapsed="false">
      <c r="A125" s="8" t="n">
        <v>120</v>
      </c>
      <c r="B125" s="8" t="str">
        <f aca="false">IFERROR(INDEX(Raw!$B$2:$B$1001,MATCH($A125,Raw!$A$2:$A$1001,0)),"")</f>
        <v/>
      </c>
      <c r="C125" s="9" t="str">
        <f aca="false">IF($B125="","",MAX($CS125:$DE125))</f>
        <v/>
      </c>
      <c r="D125" s="8" t="str">
        <f aca="false">IF($B125="","",IF($C125=0,"Sample",INDEX(Setup!$B$37:$B$49,$C125-36)))</f>
        <v/>
      </c>
      <c r="E125" s="16" t="str">
        <f aca="false">IF($B125="","",IFERROR(IF(INDEX(Raw!$E$2:$E$1001,MATCH($A125,Raw!$A$2:$A$1001,0))=0,"",INDEX(Raw!$E$2:$E$1001,MATCH($A125,Raw!$A$2:$A$1001,0))),""))</f>
        <v/>
      </c>
      <c r="F125" s="18"/>
      <c r="G125" s="16" t="str">
        <f aca="false">IF($B125="","",IF($F125&lt;&gt;"",$F125,IF($E125="","",$E125)))</f>
        <v/>
      </c>
      <c r="H125" s="9" t="str">
        <f aca="false">IF($B125="","",SUMPRODUCT(MAX((Raw!$A$2:$A$1001=$A125)*(Raw!$R$2:$R$1001="N")*Raw!$D$2:$D$1001)))</f>
        <v/>
      </c>
      <c r="I125" s="9" t="str">
        <f aca="false">IF(OR($H125="",$H125=0),"",$A125&amp;"|N|"&amp;$H125)</f>
        <v/>
      </c>
      <c r="J125" s="9" t="str">
        <f aca="false">IF($B125="","",SUMPRODUCT(MIN((Raw!$A$2:$A$1001=$A125)*(Raw!$R$2:$R$1001="C")*Raw!$D$2:$D$1001+(1-(Raw!$A$2:$A$1001=$A125)*(Raw!$R$2:$R$1001="C"))*9999)))</f>
        <v/>
      </c>
      <c r="K125" s="9" t="str">
        <f aca="false">IF(OR($J125="",$J125=0,$J125=9999),"",$A125&amp;"|C|"&amp;$J125)</f>
        <v/>
      </c>
      <c r="L125" s="16" t="str">
        <f aca="false">IF($I125="","",IF(INDEX(Raw!$I$2:$I$1001,MATCH($I125,Raw!$S$2:$S$1001,0))&lt;&gt;0,"",INDEX(Raw!$H$2:$H$1001,MATCH($I125,Raw!$S$2:$S$1001,0))))</f>
        <v/>
      </c>
      <c r="M125" s="19" t="str">
        <f aca="false">IF($I125="","",IF(INDEX(Raw!$I$2:$I$1001,MATCH($I125,Raw!$S$2:$S$1001,0))&lt;&gt;0,"",INDEX(Raw!$F$2:$F$1001,MATCH($I125,Raw!$S$2:$S$1001,0))))</f>
        <v/>
      </c>
      <c r="N125" s="20" t="str">
        <f aca="false">IF($I125="","",IF(INDEX(Raw!$I$2:$I$1001,MATCH($I125,Raw!$S$2:$S$1001,0))&lt;&gt;0,"",INDEX(Raw!$G$2:$G$1001,MATCH($I125,Raw!$S$2:$S$1001,0))))</f>
        <v/>
      </c>
      <c r="O125" s="16" t="str">
        <f aca="false">IF($I125="","",IF(INDEX(Raw!$I$2:$I$1001,MATCH($I125,Raw!$S$2:$S$1001,0))&lt;&gt;0,"",INDEX(Raw!$N$2:$N$1001,MATCH($I125,Raw!$S$2:$S$1001,0))))</f>
        <v/>
      </c>
      <c r="P125" s="16" t="str">
        <f aca="false">IF($K125="","",IF(INDEX(Raw!$I$2:$I$1001,MATCH($K125,Raw!$S$2:$S$1001,0))&lt;&gt;0,"",INDEX(Raw!$K$2:$K$1001,MATCH($K125,Raw!$S$2:$S$1001,0))))</f>
        <v/>
      </c>
      <c r="Q125" s="19" t="str">
        <f aca="false">IF($K125="","",IF(INDEX(Raw!$I$2:$I$1001,MATCH($K125,Raw!$S$2:$S$1001,0))&lt;&gt;0,"",INDEX(Raw!$J$2:$J$1001,MATCH($K125,Raw!$S$2:$S$1001,0))))</f>
        <v/>
      </c>
      <c r="R125" s="16" t="str">
        <f aca="false">IF($K125="","",IF(INDEX(Raw!$I$2:$I$1001,MATCH($K125,Raw!$S$2:$S$1001,0))&lt;&gt;0,"",INDEX(Raw!$O$2:$O$1001,MATCH($K125,Raw!$S$2:$S$1001,0))))</f>
        <v/>
      </c>
      <c r="S125" s="21" t="str">
        <f aca="false">IF($B125="","",IF($C125=0,"",IF(INDEX(Setup!$D$37:$D$49,$C125-36)="","",INDEX(Setup!$D$37:$D$49,$C125-36))))</f>
        <v/>
      </c>
      <c r="T125" s="21" t="str">
        <f aca="false">IF($B125="","",IF($C125=0,"",IF(INDEX(Setup!$C$37:$C$49,$C125-36)="","",INDEX(Setup!$C$37:$C$49,$C125-36))))</f>
        <v/>
      </c>
      <c r="U125" s="21" t="str">
        <f aca="false">IF($B125="","",IF($C125=0,"",IF(INDEX(Setup!$F$37:$F$49,$C125-36)="","",INDEX(Setup!$F$37:$F$49,$C125-36))))</f>
        <v/>
      </c>
      <c r="V125" s="21" t="str">
        <f aca="false">IF($B125="","",IF($C125=0,"",IF(INDEX(Setup!$E$37:$E$49,$C125-36)="","",INDEX(Setup!$E$37:$E$49,$C125-36))))</f>
        <v/>
      </c>
      <c r="W125" s="16" t="str">
        <f aca="false">IF($O125="","",IF(OR(Fits!$C$5&lt;&gt;"Yes",$D125="Blank",$L125&lt;=Fits!$B$6),$O125,($L125*$O125-Fits!$B$6*Fits!$B$7)/($L125-Fits!$B$6)))</f>
        <v/>
      </c>
      <c r="X125" s="16" t="str">
        <f aca="false">IF($W125="","",$W125-Fits!$B$20*($L125-Fits!$B$16))</f>
        <v/>
      </c>
      <c r="Y125" s="22" t="str">
        <f aca="false">IF($W125="","",IF(OR(Fits!$B$38="Row",$BI125=""),$A125,$BI125))</f>
        <v/>
      </c>
      <c r="Z125" s="16" t="str">
        <f aca="false">IF($X125="","",$X125-Fits!$B$39*($Y125-Fits!$B$40))</f>
        <v/>
      </c>
      <c r="AA125" s="23" t="str">
        <f aca="false">IF(OR($Z125="",Fits!$B$55&lt;2),"",Fits!$B$56*$Z125+Fits!$B$57)</f>
        <v/>
      </c>
      <c r="AB125" s="16" t="str">
        <f aca="false">IF($R125="","",IF(OR(Fits!$C$9&lt;&gt;"Yes",$D125="Blank",$P125&lt;=Fits!$B$10),$R125,($P125*$R125-Fits!$B$10*Fits!$B$11)/($P125-Fits!$B$10)))</f>
        <v/>
      </c>
      <c r="AC125" s="16" t="str">
        <f aca="false">IF($AB125="","",$AB125-Fits!$B$28*($P125-Fits!$B$24))</f>
        <v/>
      </c>
      <c r="AD125" s="22" t="str">
        <f aca="false">IF($AB125="","",IF(OR(Fits!$B$50="Row",$BI125=""),$A125,$BI125))</f>
        <v/>
      </c>
      <c r="AE125" s="16" t="str">
        <f aca="false">IF($AC125="","",$AC125-Fits!$B$51*($AD125-Fits!$B$52))</f>
        <v/>
      </c>
      <c r="AF125" s="23" t="str">
        <f aca="false">IF(OR($AE125="",Fits!$B$62&lt;2),"",Fits!$B$63*$AE125+Fits!$B$64)</f>
        <v/>
      </c>
      <c r="AG125" s="21" t="str">
        <f aca="false">IF(OR($L125="",Fits!$B$69&lt;3),"",($L125-Fits!$B$71)/Fits!$B$70)</f>
        <v/>
      </c>
      <c r="AH125" s="21" t="str">
        <f aca="false">IF(OR($P125="",Fits!$B$75&lt;3),"",($P125-Fits!$B$77)/Fits!$B$76)</f>
        <v/>
      </c>
      <c r="AI125" s="23" t="str">
        <f aca="false">IF(OR($AG125="",$G125="",$G125=0),"",$AG125/($G125*1000)*100)</f>
        <v/>
      </c>
      <c r="AJ125" s="23" t="str">
        <f aca="false">IF(OR($AH125="",$G125="",$G125=0),"",$AH125/($G125*1000)*100)</f>
        <v/>
      </c>
      <c r="AK125" s="23" t="str">
        <f aca="false">IF(OR($AG125="",$AH125="",$AG125&lt;=0),"",($AH125/Setup!$B$52)/($AG125/Setup!$B$53))</f>
        <v/>
      </c>
      <c r="AL125" s="23" t="str">
        <f aca="false">IF(OR($AG125="",$AH125="",$AG125&lt;=0),"",$AH125/$AG125)</f>
        <v/>
      </c>
      <c r="AM125" s="9" t="str">
        <f aca="false">IF($D125="Linearity",IF($L125="","",$L125),"")</f>
        <v/>
      </c>
      <c r="AN125" s="9" t="str">
        <f aca="false">IF($D125="Linearity",IF($W125="","",$W125),"")</f>
        <v/>
      </c>
      <c r="AO125" s="9" t="str">
        <f aca="false">IF($D125="Linearity",IF($P125="","",$P125),"")</f>
        <v/>
      </c>
      <c r="AP125" s="9" t="str">
        <f aca="false">IF($D125="Linearity",IF($AB125="","",$AB125),"")</f>
        <v/>
      </c>
      <c r="AQ125" s="9" t="str">
        <f aca="false">IF($D125="Drift",IF($A125&lt;IF(Setup!$B$14="",0,Setup!$B$14),"",$A125),"")</f>
        <v/>
      </c>
      <c r="AR125" s="9" t="str">
        <f aca="false">IF($D125="Drift",IF($A125&lt;IF(Setup!$B$14="",0,Setup!$B$14),"",IF($BI125="","",$BI125)),"")</f>
        <v/>
      </c>
      <c r="AS125" s="9" t="str">
        <f aca="false">IF($D125="Drift",IF($A125&lt;IF(Setup!$B$14="",0,Setup!$B$14),"",IF(OR($X125="",$BX125=1),"",$X125)),"")</f>
        <v/>
      </c>
      <c r="AT125" s="9" t="str">
        <f aca="false">IF($D125="Drift",IF($A125&lt;IF(Setup!$B$14="",0,Setup!$B$14),"",IF(OR($AC125="",$BY125=1),"",$AC125)),"")</f>
        <v/>
      </c>
      <c r="AU125" s="9" t="str">
        <f aca="false">IF($D125="Anchor",IF(OR($Z125="",$S125=""),"",$Z125),"")</f>
        <v/>
      </c>
      <c r="AV125" s="9" t="str">
        <f aca="false">IF($D125="Anchor",IF(OR($Z125="",$S125=""),"",$S125),"")</f>
        <v/>
      </c>
      <c r="AW125" s="9" t="str">
        <f aca="false">IF($D125="Anchor",IF(OR($AE125="",$T125=""),"",$AE125),"")</f>
        <v/>
      </c>
      <c r="AX125" s="9" t="str">
        <f aca="false">IF($D125="Anchor",IF(OR($AE125="",$T125=""),"",$T125),"")</f>
        <v/>
      </c>
      <c r="AY125" s="9" t="str">
        <f aca="false">IF(OR($D125="Blank",$D125="Exclude",$D125="Sample",$D125="",$G125="",$U125="",$L125=""),"",$G125*1000*$U125/100)</f>
        <v/>
      </c>
      <c r="AZ125" s="9" t="str">
        <f aca="false">IF($AY125="","",$L125)</f>
        <v/>
      </c>
      <c r="BA125" s="9" t="str">
        <f aca="false">IF(OR($D125="Blank",$D125="Exclude",$D125="Sample",$D125="",$G125="",$V125="",$P125=""),"",$G125*1000*$V125/100)</f>
        <v/>
      </c>
      <c r="BB125" s="9" t="str">
        <f aca="false">IF($BA125="","",$P125)</f>
        <v/>
      </c>
      <c r="BC125" s="9" t="str">
        <f aca="false">IF(AND($D125="Blank",$L125&lt;&gt;""),$O125,"")</f>
        <v/>
      </c>
      <c r="BD125" s="9" t="str">
        <f aca="false">IF($BC125="","",$L125)</f>
        <v/>
      </c>
      <c r="BE125" s="9" t="str">
        <f aca="false">IF(AND($D125="Blank",$P125&lt;&gt;""),$R125,"")</f>
        <v/>
      </c>
      <c r="BF125" s="9" t="str">
        <f aca="false">IF($BE125="","",$P125)</f>
        <v/>
      </c>
      <c r="BG125" s="9" t="str">
        <f aca="false">IF(AND($D125="Drift",$BX125&lt;&gt;1),IF($AA125="","",$AA125),"")</f>
        <v/>
      </c>
      <c r="BH125" s="9" t="str">
        <f aca="false">IF(AND($D125="Drift",$BY125&lt;&gt;1),IF($AF125="","",$AF125),"")</f>
        <v/>
      </c>
      <c r="BI125" s="20" t="str">
        <f aca="false">IF($B125="","",IFERROR(INDEX(Raw!$G$2:$G$1001,MATCH($A125&amp;"|N|"&amp;SUMPRODUCT(MAX((Raw!$A$2:$A$1001=$A125)*(Raw!$R$2:$R$1001="N")*(Raw!$I$2:$I$1001=1)*Raw!$D$2:$D$1001)),Raw!$S$2:$S$1001,0)),""))</f>
        <v/>
      </c>
      <c r="BJ125" s="21" t="str">
        <f aca="false">IF(OR($BI125="",Fits!$B$85&lt;=0),"",($BI125-Fits!$B$83)/Fits!$B$85)</f>
        <v/>
      </c>
      <c r="BK125" s="9" t="str">
        <f aca="false">IF($AS125="","",IF($A125&gt;=Fits!$B$86,"",$A125))</f>
        <v/>
      </c>
      <c r="BL125" s="9" t="str">
        <f aca="false">IF($BK125="","",$X125)</f>
        <v/>
      </c>
      <c r="BM125" s="9" t="str">
        <f aca="false">IF($AS125="","",IF($A125&lt;Fits!$B$86,"",$A125))</f>
        <v/>
      </c>
      <c r="BN125" s="9" t="str">
        <f aca="false">IF($BM125="","",$X125)</f>
        <v/>
      </c>
      <c r="BO125" s="9" t="str">
        <f aca="false">IF(AND($D125="Drift",$BX125&lt;&gt;1),IF($O125="","",$O125),"")</f>
        <v/>
      </c>
      <c r="BP125" s="9" t="str">
        <f aca="false">IF(AND($D125="Drift",$BX125&lt;&gt;1),IF($W125="","",$W125),"")</f>
        <v/>
      </c>
      <c r="BQ125" s="9" t="str">
        <f aca="false">IF(AND($D125="Drift",$BX125&lt;&gt;1),IF($X125="","",$X125),"")</f>
        <v/>
      </c>
      <c r="BR125" s="9" t="str">
        <f aca="false">IF(AND($D125="Drift",$BX125&lt;&gt;1),IF($Z125="","",$Z125),"")</f>
        <v/>
      </c>
      <c r="BS125" s="9" t="str">
        <f aca="false">IF(OR($B125="",$H125=""),"",SUMPRODUCT(MIN((Raw!$A$2:$A$1001=$A125)*(Raw!$R$2:$R$1001="N")*(Raw!$I$2:$I$1001=0)*(Raw!$D$2:$D$1001&lt;$H125)*Raw!$D$2:$D$1001+(1-(Raw!$A$2:$A$1001=$A125)*(Raw!$R$2:$R$1001="N")*(Raw!$I$2:$I$1001=0)*(Raw!$D$2:$D$1001&lt;$H125))*9999)))</f>
        <v/>
      </c>
      <c r="BT125" s="16" t="str">
        <f aca="false">IF(OR($BS125="",$BS125=9999,$BS125=0),"",IFERROR(INDEX(Raw!$N$2:$N$1001,MATCH($A125&amp;"|N|"&amp;$BS125,Raw!$S$2:$S$1001,0)),""))</f>
        <v/>
      </c>
      <c r="BU125" s="9" t="str">
        <f aca="false">IF($B125="","",SUMPRODUCT(MIN((Raw!$A$2:$A$1001=$A125)*(Raw!$R$2:$R$1001="C")*(Raw!$I$2:$I$1001=1)*Raw!$D$2:$D$1001+(1-(Raw!$A$2:$A$1001=$A125)*(Raw!$R$2:$R$1001="C")*(Raw!$I$2:$I$1001=1))*9999)))</f>
        <v/>
      </c>
      <c r="BV125" s="9" t="str">
        <f aca="false">IF(OR($BU125="",$BU125=9999),"",SUMPRODUCT(MIN((Raw!$A$2:$A$1001=$A125)*(Raw!$R$2:$R$1001="C")*(Raw!$I$2:$I$1001=0)*(Raw!$D$2:$D$1001&gt;$BU125)*Raw!$D$2:$D$1001+(1-(Raw!$A$2:$A$1001=$A125)*(Raw!$R$2:$R$1001="C")*(Raw!$I$2:$I$1001=0)*(Raw!$D$2:$D$1001&gt;$BU125))*9999)))</f>
        <v/>
      </c>
      <c r="BW125" s="16" t="str">
        <f aca="false">IF(OR($BV125="",$BV125=9999,$BV125=0),"",IFERROR(INDEX(Raw!$O$2:$O$1001,MATCH($A125&amp;"|C|"&amp;$BV125,Raw!$S$2:$S$1001,0)),""))</f>
        <v/>
      </c>
      <c r="BX125" s="9" t="str">
        <f aca="false">IF($B125="","",IF(ISNUMBER(SEARCH(","&amp;$A125&amp;",",","&amp;SUBSTITUTE(Setup!$B$16," ","")&amp;",")),1,0))</f>
        <v/>
      </c>
      <c r="BY125" s="9" t="str">
        <f aca="false">IF($B125="","",IF(ISNUMBER(SEARCH(","&amp;$A125&amp;",",","&amp;SUBSTITUTE(Setup!$B$17," ","")&amp;",")),1,0))</f>
        <v/>
      </c>
      <c r="BZ125" s="22" t="str">
        <f aca="false">IF($AS125="","",IF(Fits!$B$38="Row",$AQ125,IF($AR125="","",$AR125)))</f>
        <v/>
      </c>
      <c r="CA125" s="22" t="str">
        <f aca="false">IF($AT125="","",IF(Fits!$B$50="Row",$AQ125,IF($AR125="","",$AR125)))</f>
        <v/>
      </c>
      <c r="CB125" s="20" t="str">
        <f aca="false">IF(OR($D125&lt;&gt;"Drift",$X125="",$A125&lt;IF(Setup!$B$14="",0,Setup!$B$14),Fits!$B$107&lt;3,Fits!$B$110="",Fits!$B$109=0,IF(Fits!$B$38="Row",$AQ125,$AR125)=""),"",IF($BX125=1,IF(OR(Fits!$B$111="",Fits!$B$111=0),"",($X125-(IF(Fits!$B$38="Row",Fits!$B$32,Fits!$B$35)*IF(Fits!$B$38="Row",$AQ125,$AR125)+Fits!$B$110))/(Fits!$B$111*SQRT(1+(1/Fits!$B$107+(IF(Fits!$B$38="Row",$AQ125,$AR125)-Fits!$B$108)^2/Fits!$B$109)))),IF(OR(Fits!$B$107&lt;4,(1/Fits!$B$107+(IF(Fits!$B$38="Row",$AQ125,$AR125)-Fits!$B$108)^2/Fits!$B$109)&gt;=1),"",IF((Fits!$B$116-($X125-(IF(Fits!$B$38="Row",Fits!$B$32,Fits!$B$35)*IF(Fits!$B$38="Row",$AQ125,$AR125)+Fits!$B$110))^2/(1-(1/Fits!$B$107+(IF(Fits!$B$38="Row",$AQ125,$AR125)-Fits!$B$108)^2/Fits!$B$109)))&lt;=0,"",($X125-(IF(Fits!$B$38="Row",Fits!$B$32,Fits!$B$35)*IF(Fits!$B$38="Row",$AQ125,$AR125)+Fits!$B$110))/(SQRT((Fits!$B$116-($X125-(IF(Fits!$B$38="Row",Fits!$B$32,Fits!$B$35)*IF(Fits!$B$38="Row",$AQ125,$AR125)+Fits!$B$110))^2/(1-(1/Fits!$B$107+(IF(Fits!$B$38="Row",$AQ125,$AR125)-Fits!$B$108)^2/Fits!$B$109)))/(Fits!$B$107-3))*SQRT(1-(1/Fits!$B$107+(IF(Fits!$B$38="Row",$AQ125,$AR125)-Fits!$B$108)^2/Fits!$B$109)))))))</f>
        <v/>
      </c>
      <c r="CC125" s="20" t="str">
        <f aca="false">IF(OR($D125&lt;&gt;"Drift",$AC125="",$A125&lt;IF(Setup!$B$14="",0,Setup!$B$14),Fits!$B$120&lt;3,Fits!$B$123="",Fits!$B$122=0,IF(Fits!$B$50="Row",$AQ125,$AR125)=""),"",IF($BY125=1,IF(OR(Fits!$B$124="",Fits!$B$124=0),"",($AC125-(IF(Fits!$B$50="Row",Fits!$B$44,Fits!$B$47)*IF(Fits!$B$50="Row",$AQ125,$AR125)+Fits!$B$123))/(Fits!$B$124*SQRT(1+(1/Fits!$B$120+(IF(Fits!$B$50="Row",$AQ125,$AR125)-Fits!$B$121)^2/Fits!$B$122)))),IF(OR(Fits!$B$120&lt;4,(1/Fits!$B$120+(IF(Fits!$B$50="Row",$AQ125,$AR125)-Fits!$B$121)^2/Fits!$B$122)&gt;=1),"",IF((Fits!$B$129-($AC125-(IF(Fits!$B$50="Row",Fits!$B$44,Fits!$B$47)*IF(Fits!$B$50="Row",$AQ125,$AR125)+Fits!$B$123))^2/(1-(1/Fits!$B$120+(IF(Fits!$B$50="Row",$AQ125,$AR125)-Fits!$B$121)^2/Fits!$B$122)))&lt;=0,"",($AC125-(IF(Fits!$B$50="Row",Fits!$B$44,Fits!$B$47)*IF(Fits!$B$50="Row",$AQ125,$AR125)+Fits!$B$123))/(SQRT((Fits!$B$129-($AC125-(IF(Fits!$B$50="Row",Fits!$B$44,Fits!$B$47)*IF(Fits!$B$50="Row",$AQ125,$AR125)+Fits!$B$123))^2/(1-(1/Fits!$B$120+(IF(Fits!$B$50="Row",$AQ125,$AR125)-Fits!$B$121)^2/Fits!$B$122)))/(Fits!$B$120-3))*SQRT(1-(1/Fits!$B$120+(IF(Fits!$B$50="Row",$AQ125,$AR125)-Fits!$B$121)^2/Fits!$B$122)))))))</f>
        <v/>
      </c>
      <c r="CD125" s="9" t="str">
        <f aca="false">IF($AU125="","",1)</f>
        <v/>
      </c>
      <c r="CE125" s="24" t="str">
        <f aca="false">IF($AU125="","",$AU125-Fits!$B$133)</f>
        <v/>
      </c>
      <c r="CF125" s="24" t="str">
        <f aca="false">IF($AU125="","",($AV125-(Fits!$B$56*$AU125+Fits!$B$57))-Fits!$B$56*($AU125-Fits!$B$133))</f>
        <v/>
      </c>
      <c r="CG125" s="25" t="str">
        <f aca="false">IF($AU125="","",$AU125^2)</f>
        <v/>
      </c>
      <c r="CH125" s="9" t="str">
        <f aca="false">IF($AW125="","",1)</f>
        <v/>
      </c>
      <c r="CI125" s="24" t="str">
        <f aca="false">IF($AW125="","",$AW125-Fits!$B$153)</f>
        <v/>
      </c>
      <c r="CJ125" s="24" t="str">
        <f aca="false">IF($AW125="","",($AX125-(Fits!$B$63*$AW125+Fits!$B$64))-Fits!$B$63*($AW125-Fits!$B$153))</f>
        <v/>
      </c>
      <c r="CK125" s="25" t="str">
        <f aca="false">IF($AW125="","",$AW125^2)</f>
        <v/>
      </c>
      <c r="CL125" s="26" t="str">
        <f aca="false">IF(OR($Z125="",Fits!$B$55&lt;3,Fits!$B$133="",Fits!$B$134="",Fits!$B$134=0,Fits!$B$136=""),"",SQRT((Fits!$B$136*Fits!$B$56)^2+SUMPRODUCT((Fits!$J$163:$J$175*(Fits!$B$163:$B$175/Fits!$B$55+Fits!$H$163:$H$175*($Z125-Fits!$B$133)/Fits!$B$134))^2)+SUMPRODUCT((Fits!$G$163:$G$175*(($Z125-Fits!$B$133)*Fits!$I$163:$I$175/Fits!$B$134-Fits!$B$163:$B$175*Fits!$B$56/Fits!$B$55))^2)))</f>
        <v/>
      </c>
      <c r="CM125" s="26" t="str">
        <f aca="false">IF($CL125="","",Setup!$B$32*$CL125)</f>
        <v/>
      </c>
      <c r="CN125" s="26" t="str">
        <f aca="false">IF(OR($AE125="",Fits!$B$62&lt;3,Fits!$B$153="",Fits!$B$154="",Fits!$B$154=0,Fits!$B$156=""),"",SQRT((Fits!$B$156*Fits!$B$63)^2+SUMPRODUCT((Fits!$J$183:$J$195*(Fits!$B$183:$B$195/Fits!$B$62+Fits!$H$183:$H$195*($AE125-Fits!$B$153)/Fits!$B$154))^2)+SUMPRODUCT((Fits!$G$183:$G$195*(($AE125-Fits!$B$153)*Fits!$I$183:$I$195/Fits!$B$154-Fits!$B$183:$B$195*Fits!$B$63/Fits!$B$62))^2)))</f>
        <v/>
      </c>
      <c r="CO125" s="26" t="str">
        <f aca="false">IF($CN125="","",Setup!$B$32*$CN125)</f>
        <v/>
      </c>
      <c r="CP125" s="9" t="n">
        <f aca="false">IF(OR(NOT(ISNUMBER($BJ125)),$EK125=1),$CP124,IF($BJ125&lt;=Setup!$B$26,$CP124+1,0))</f>
        <v>26</v>
      </c>
      <c r="CQ125" s="9" t="str">
        <f aca="false">IF($BT125="","",$A125)</f>
        <v/>
      </c>
      <c r="CR125" s="9" t="str">
        <f aca="false">IF($BW125="","",$A125)</f>
        <v/>
      </c>
      <c r="CS125" s="9" t="str">
        <f aca="false">IF($B125="","",IF(Setup!$A$37="",0,IF(ISNUMBER(SEARCH(Setup!$A$37,$B125)),37,0)))</f>
        <v/>
      </c>
      <c r="CT125" s="9" t="str">
        <f aca="false">IF($B125="","",IF(Setup!$A$38="",0,IF(ISNUMBER(SEARCH(Setup!$A$38,$B125)),38,0)))</f>
        <v/>
      </c>
      <c r="CU125" s="9" t="str">
        <f aca="false">IF($B125="","",IF(Setup!$A$39="",0,IF(ISNUMBER(SEARCH(Setup!$A$39,$B125)),39,0)))</f>
        <v/>
      </c>
      <c r="CV125" s="9" t="str">
        <f aca="false">IF($B125="","",IF(Setup!$A$40="",0,IF(ISNUMBER(SEARCH(Setup!$A$40,$B125)),40,0)))</f>
        <v/>
      </c>
      <c r="CW125" s="9" t="str">
        <f aca="false">IF($B125="","",IF(Setup!$A$41="",0,IF(ISNUMBER(SEARCH(Setup!$A$41,$B125)),41,0)))</f>
        <v/>
      </c>
      <c r="CX125" s="9" t="str">
        <f aca="false">IF($B125="","",IF(Setup!$A$42="",0,IF(ISNUMBER(SEARCH(Setup!$A$42,$B125)),42,0)))</f>
        <v/>
      </c>
      <c r="CY125" s="9" t="str">
        <f aca="false">IF($B125="","",IF(Setup!$A$43="",0,IF(ISNUMBER(SEARCH(Setup!$A$43,$B125)),43,0)))</f>
        <v/>
      </c>
      <c r="CZ125" s="9" t="str">
        <f aca="false">IF($B125="","",IF(Setup!$A$44="",0,IF(ISNUMBER(SEARCH(Setup!$A$44,$B125)),44,0)))</f>
        <v/>
      </c>
      <c r="DA125" s="9" t="str">
        <f aca="false">IF($B125="","",IF(Setup!$A$45="",0,IF(ISNUMBER(SEARCH(Setup!$A$45,$B125)),45,0)))</f>
        <v/>
      </c>
      <c r="DB125" s="9" t="str">
        <f aca="false">IF($B125="","",IF(Setup!$A$46="",0,IF(ISNUMBER(SEARCH(Setup!$A$46,$B125)),46,0)))</f>
        <v/>
      </c>
      <c r="DC125" s="9" t="str">
        <f aca="false">IF($B125="","",IF(Setup!$A$47="",0,IF(ISNUMBER(SEARCH(Setup!$A$47,$B125)),47,0)))</f>
        <v/>
      </c>
      <c r="DD125" s="9" t="str">
        <f aca="false">IF($B125="","",IF(Setup!$A$48="",0,IF(ISNUMBER(SEARCH(Setup!$A$48,$B125)),48,0)))</f>
        <v/>
      </c>
      <c r="DE125" s="9" t="str">
        <f aca="false">IF($B125="","",IF(Setup!$A$49="",0,IF(ISNUMBER(SEARCH(Setup!$A$49,$B125)),49,0)))</f>
        <v/>
      </c>
      <c r="DF125" s="9" t="e">
        <f aca="false">IF($B125="",NA(),$A125)</f>
        <v>#N/A</v>
      </c>
      <c r="DG125" s="9" t="e">
        <f aca="false">IF($BI125="",NA(),$BI125)</f>
        <v>#N/A</v>
      </c>
      <c r="DH125" s="9" t="e">
        <f aca="false">IF($N125="",NA(),$N125)</f>
        <v>#N/A</v>
      </c>
      <c r="DI125" s="9" t="e">
        <f aca="false">IF(AND($D125="Drift",$N125&lt;&gt;""),$N125,NA())</f>
        <v>#N/A</v>
      </c>
      <c r="DJ125" s="9" t="str">
        <f aca="false">IF(AND($D125="Drift",$N125&lt;&gt;""),$N125,"")</f>
        <v/>
      </c>
      <c r="DK125" s="9" t="str">
        <f aca="false">IF($DJ125="","",$A125)</f>
        <v/>
      </c>
      <c r="DL125" s="9" t="e">
        <f aca="false">IF($AN125="",NA(),$AM125)</f>
        <v>#N/A</v>
      </c>
      <c r="DM125" s="9" t="e">
        <f aca="false">IF($AN125="",NA(),$AN125)</f>
        <v>#N/A</v>
      </c>
      <c r="DN125" s="9" t="e">
        <f aca="false">IF(AND($D125="Sample",$L125&lt;&gt;""),$L125,NA())</f>
        <v>#N/A</v>
      </c>
      <c r="DO125" s="9" t="e">
        <f aca="false">IF(AND($D125="Sample",$L125&lt;&gt;"",Fits!$B$98&lt;&gt;""),Fits!$B$98,NA())</f>
        <v>#N/A</v>
      </c>
      <c r="DP125" s="9" t="e">
        <f aca="false">IF($AS125="",NA(),$AS125)</f>
        <v>#N/A</v>
      </c>
      <c r="DQ125" s="9" t="e">
        <f aca="false">IF(AND($D125="Drift",$AS125="",$X125&lt;&gt;""),$X125,NA())</f>
        <v>#N/A</v>
      </c>
      <c r="DR125" s="9" t="e">
        <f aca="false">IF(AND($D125="Drift",$Z125&lt;&gt;""),$Z125,NA())</f>
        <v>#N/A</v>
      </c>
      <c r="DS125" s="9" t="e">
        <f aca="false">IF(AND(OR($D125="Sample",$D125="Check"),$AA125&lt;&gt;""),$AA125,NA())</f>
        <v>#N/A</v>
      </c>
      <c r="DT125" s="9" t="e">
        <f aca="false">IF(OR($B125="",Fits!$B$138=""),NA(),Fits!$B$138)</f>
        <v>#N/A</v>
      </c>
      <c r="DU125" s="9" t="e">
        <f aca="false">IF(OR($B125="",Fits!$B$139=""),NA(),Fits!$B$139)</f>
        <v>#N/A</v>
      </c>
      <c r="DV125" s="9" t="e">
        <f aca="false">IF($BT125="",NA(),$BT125)</f>
        <v>#N/A</v>
      </c>
      <c r="DW125" s="9" t="e">
        <f aca="false">IF($AP125="",NA(),$AO125)</f>
        <v>#N/A</v>
      </c>
      <c r="DX125" s="9" t="e">
        <f aca="false">IF($AP125="",NA(),$AP125)</f>
        <v>#N/A</v>
      </c>
      <c r="DY125" s="9" t="e">
        <f aca="false">IF(AND($D125="Sample",$P125&lt;&gt;""),$P125,NA())</f>
        <v>#N/A</v>
      </c>
      <c r="DZ125" s="9" t="e">
        <f aca="false">IF(AND($D125="Sample",$P125&lt;&gt;"",Fits!$B$105&lt;&gt;""),Fits!$B$105,NA())</f>
        <v>#N/A</v>
      </c>
      <c r="EA125" s="9" t="e">
        <f aca="false">IF($AT125="",NA(),$AT125)</f>
        <v>#N/A</v>
      </c>
      <c r="EB125" s="9" t="e">
        <f aca="false">IF(AND($D125="Drift",$AT125="",$AC125&lt;&gt;""),$AC125,NA())</f>
        <v>#N/A</v>
      </c>
      <c r="EC125" s="9" t="e">
        <f aca="false">IF(AND($D125="Drift",$AE125&lt;&gt;""),$AE125,NA())</f>
        <v>#N/A</v>
      </c>
      <c r="ED125" s="9" t="e">
        <f aca="false">IF(AND(OR($D125="Sample",$D125="Check"),$AF125&lt;&gt;""),$AF125,NA())</f>
        <v>#N/A</v>
      </c>
      <c r="EE125" s="9" t="e">
        <f aca="false">IF(OR($B125="",Fits!$B$158=""),NA(),Fits!$B$158)</f>
        <v>#N/A</v>
      </c>
      <c r="EF125" s="9" t="e">
        <f aca="false">IF(OR($B125="",Fits!$B$159=""),NA(),Fits!$B$159)</f>
        <v>#N/A</v>
      </c>
      <c r="EG125" s="9" t="e">
        <f aca="false">IF($BW125="",NA(),$BW125)</f>
        <v>#N/A</v>
      </c>
      <c r="EH125" s="9" t="e">
        <f aca="false">IF(AND($EN125=1,ISNUMBER($N125)),$N125,NA())</f>
        <v>#N/A</v>
      </c>
      <c r="EI125" s="9" t="str">
        <f aca="false">IF($B125="","",$A125)</f>
        <v/>
      </c>
      <c r="EJ125" s="9" t="n">
        <f aca="false">IF(OR(AND(ISNUMBER($L125),Fits!$B$97&gt;0,$L125&gt;Fits!$B$97),AND(ISNUMBER($P125),Fits!$B$104&gt;0,$P125&gt;Fits!$B$104)),1,0)</f>
        <v>0</v>
      </c>
      <c r="EK125" s="9" t="n">
        <f aca="false">IF(OR($EJ124=1,$EJ123=1),1,0)</f>
        <v>0</v>
      </c>
      <c r="EL125" s="22" t="n">
        <f aca="false">IF(AND($EK125=0,ISNUMBER($N125)),$N125,$EL124)</f>
        <v>25.7</v>
      </c>
      <c r="EM125" s="9" t="str">
        <f aca="false">IF(AND($EK125=1,ISNUMBER($N125),ISNUMBER($EL125)),$N125-$EL125,"")</f>
        <v/>
      </c>
      <c r="EN125" s="9" t="n">
        <f aca="false">IF(Setup!$B$28="",0,IF(ISNUMBER($EM125),IF($EM125&gt;Setup!$B$28,1,0),0))</f>
        <v>0</v>
      </c>
      <c r="EO125" s="9" t="str">
        <f aca="false">IF($EN125=1,COUNTIF($EN$6:$EN125,1),"")</f>
        <v/>
      </c>
      <c r="EP125" s="9" t="n">
        <f aca="false">IF(AND($EJ124=1,OR($D125="Sample",$D125="Check")),1,0)</f>
        <v>0</v>
      </c>
      <c r="EQ125" s="9" t="str">
        <f aca="false">IF(ISNUMBER($BI125),IF(COUNT($BI$6:$BI125)&lt;=5,$BI125,""),"")</f>
        <v/>
      </c>
      <c r="ER125" s="9" t="n">
        <f aca="false">IF(OR(NOT(ISNUMBER($BJ125)),$EK125=1),$ER124,IF($BJ125&lt;=Setup!$B$26,IF($CP124=0,$A125,$ER124),""))</f>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8"/>
    <col collapsed="false" customWidth="true" hidden="false" outlineLevel="0" max="4" min="4" style="0" width="62"/>
  </cols>
  <sheetData>
    <row r="1" customFormat="false" ht="17.35" hidden="false" customHeight="false" outlineLevel="0" collapsed="false">
      <c r="A1" s="1" t="s">
        <v>494</v>
      </c>
    </row>
    <row r="2" customFormat="false" ht="15" hidden="false" customHeight="false" outlineLevel="0" collapsed="false">
      <c r="A2" s="5" t="s">
        <v>495</v>
      </c>
    </row>
    <row r="4" customFormat="false" ht="15" hidden="false" customHeight="false" outlineLevel="0" collapsed="false">
      <c r="A4" s="27" t="s">
        <v>496</v>
      </c>
      <c r="B4" s="28"/>
      <c r="C4" s="28"/>
      <c r="D4" s="28"/>
    </row>
    <row r="5" customFormat="false" ht="15" hidden="false" customHeight="false" outlineLevel="0" collapsed="false">
      <c r="A5" s="8" t="s">
        <v>497</v>
      </c>
      <c r="B5" s="29" t="n">
        <f aca="false">COUNT(Work!$BC$6:$BC$125)</f>
        <v>2</v>
      </c>
      <c r="C5" s="30" t="str">
        <f aca="false">IF(Setup!$B$10="Off","No",IF($B$5&lt;1,"No",IF(Setup!$B$10="On","Yes",IF(AND($B$5&gt;=3,ISNUMBER($B$8),$B$8&lt;=2),"Yes","No"))))</f>
        <v>No</v>
      </c>
      <c r="D5" s="5" t="s">
        <v>498</v>
      </c>
    </row>
    <row r="6" customFormat="false" ht="15" hidden="false" customHeight="false" outlineLevel="0" collapsed="false">
      <c r="A6" s="8" t="s">
        <v>499</v>
      </c>
      <c r="B6" s="31" t="n">
        <f aca="false">IFERROR(AVERAGE(Work!$BD$6:$BD$125),0)</f>
        <v>1.867</v>
      </c>
    </row>
    <row r="7" customFormat="false" ht="15" hidden="false" customHeight="false" outlineLevel="0" collapsed="false">
      <c r="A7" s="8" t="s">
        <v>500</v>
      </c>
      <c r="B7" s="31" t="n">
        <f aca="false">IFERROR(AVERAGE(Work!$BC$6:$BC$125),0)</f>
        <v>4.502</v>
      </c>
    </row>
    <row r="8" customFormat="false" ht="15" hidden="false" customHeight="false" outlineLevel="0" collapsed="false">
      <c r="A8" s="8" t="s">
        <v>501</v>
      </c>
      <c r="B8" s="31" t="n">
        <f aca="false">IFERROR(STDEV(Work!$BC$6:$BC$125),"")</f>
        <v>15.9509147700061</v>
      </c>
      <c r="D8" s="5" t="s">
        <v>502</v>
      </c>
    </row>
    <row r="9" customFormat="false" ht="15" hidden="false" customHeight="false" outlineLevel="0" collapsed="false">
      <c r="A9" s="8" t="s">
        <v>503</v>
      </c>
      <c r="B9" s="29" t="n">
        <f aca="false">COUNT(Work!$BE$6:$BE$125)</f>
        <v>0</v>
      </c>
      <c r="C9" s="30" t="str">
        <f aca="false">IF(Setup!$B$10="Off","No",IF($B$9&lt;1,"No",IF(Setup!$B$10="On","Yes",IF(AND($B$9&gt;=3,ISNUMBER($B$12),$B$12&lt;=2),"Yes","No"))))</f>
        <v>No</v>
      </c>
      <c r="D9" s="5" t="s">
        <v>504</v>
      </c>
    </row>
    <row r="10" customFormat="false" ht="15" hidden="false" customHeight="false" outlineLevel="0" collapsed="false">
      <c r="A10" s="8" t="s">
        <v>505</v>
      </c>
      <c r="B10" s="31" t="n">
        <f aca="false">IFERROR(AVERAGE(Work!$BF$6:$BF$125),0)</f>
        <v>0</v>
      </c>
    </row>
    <row r="11" customFormat="false" ht="15" hidden="false" customHeight="false" outlineLevel="0" collapsed="false">
      <c r="A11" s="8" t="s">
        <v>506</v>
      </c>
      <c r="B11" s="31" t="n">
        <f aca="false">IFERROR(AVERAGE(Work!$BE$6:$BE$125),0)</f>
        <v>0</v>
      </c>
    </row>
    <row r="12" customFormat="false" ht="15" hidden="false" customHeight="false" outlineLevel="0" collapsed="false">
      <c r="A12" s="8" t="s">
        <v>507</v>
      </c>
      <c r="B12" s="31" t="str">
        <f aca="false">IFERROR(STDEV(Work!$BE$6:$BE$125),"")</f>
        <v/>
      </c>
    </row>
    <row r="14" customFormat="false" ht="15" hidden="false" customHeight="false" outlineLevel="0" collapsed="false">
      <c r="A14" s="27" t="s">
        <v>508</v>
      </c>
      <c r="B14" s="28"/>
      <c r="C14" s="28"/>
      <c r="D14" s="28"/>
    </row>
    <row r="15" customFormat="false" ht="15" hidden="false" customHeight="false" outlineLevel="0" collapsed="false">
      <c r="A15" s="8" t="s">
        <v>509</v>
      </c>
      <c r="B15" s="29" t="n">
        <f aca="false">COUNT(Work!$AM$6:$AM$125)</f>
        <v>4</v>
      </c>
    </row>
    <row r="16" customFormat="false" ht="15" hidden="false" customHeight="false" outlineLevel="0" collapsed="false">
      <c r="A16" s="8" t="s">
        <v>510</v>
      </c>
      <c r="B16" s="31" t="n">
        <f aca="false">IFERROR(AVERAGE(Work!$AM$6:$AM$125),0)</f>
        <v>27.54125</v>
      </c>
      <c r="D16" s="5" t="s">
        <v>511</v>
      </c>
    </row>
    <row r="17" customFormat="false" ht="15" hidden="false" customHeight="false" outlineLevel="0" collapsed="false">
      <c r="A17" s="8" t="s">
        <v>512</v>
      </c>
      <c r="B17" s="32" t="n">
        <f aca="false">IFERROR(SLOPE(Work!$AN$6:$AN$125,Work!$AM$6:$AM$125),0)</f>
        <v>-0.0569644475759588</v>
      </c>
    </row>
    <row r="18" customFormat="false" ht="15" hidden="false" customHeight="false" outlineLevel="0" collapsed="false">
      <c r="A18" s="8" t="s">
        <v>513</v>
      </c>
      <c r="B18" s="31" t="n">
        <f aca="false">IFERROR(RSQ(Work!$AN$6:$AN$125,Work!$AM$6:$AM$125),"")</f>
        <v>0.87908049934709</v>
      </c>
    </row>
    <row r="19" customFormat="false" ht="15" hidden="false" customHeight="false" outlineLevel="0" collapsed="false">
      <c r="A19" s="8" t="s">
        <v>514</v>
      </c>
      <c r="B19" s="31" t="n">
        <f aca="false">IFERROR(STEYX(Work!$AN$6:$AN$125,Work!$AM$6:$AM$125),"")</f>
        <v>0.528959561039494</v>
      </c>
    </row>
    <row r="20" customFormat="false" ht="15" hidden="false" customHeight="false" outlineLevel="0" collapsed="false">
      <c r="A20" s="8" t="s">
        <v>515</v>
      </c>
      <c r="B20" s="32" t="n">
        <f aca="false">IF($B$96="Yes",$B$17,0)</f>
        <v>0</v>
      </c>
      <c r="D20" s="5" t="s">
        <v>516</v>
      </c>
    </row>
    <row r="22" customFormat="false" ht="15" hidden="false" customHeight="false" outlineLevel="0" collapsed="false">
      <c r="A22" s="27" t="s">
        <v>517</v>
      </c>
      <c r="B22" s="28"/>
      <c r="C22" s="28"/>
      <c r="D22" s="28"/>
    </row>
    <row r="23" customFormat="false" ht="15" hidden="false" customHeight="false" outlineLevel="0" collapsed="false">
      <c r="A23" s="8" t="s">
        <v>509</v>
      </c>
      <c r="B23" s="29" t="n">
        <f aca="false">COUNT(Work!$AO$6:$AO$125)</f>
        <v>4</v>
      </c>
    </row>
    <row r="24" customFormat="false" ht="15" hidden="false" customHeight="false" outlineLevel="0" collapsed="false">
      <c r="A24" s="8" t="s">
        <v>518</v>
      </c>
      <c r="B24" s="31" t="n">
        <f aca="false">IFERROR(AVERAGE(Work!$AO$6:$AO$125),0)</f>
        <v>127.5635</v>
      </c>
    </row>
    <row r="25" customFormat="false" ht="15" hidden="false" customHeight="false" outlineLevel="0" collapsed="false">
      <c r="A25" s="8" t="s">
        <v>519</v>
      </c>
      <c r="B25" s="32" t="n">
        <f aca="false">IFERROR(SLOPE(Work!$AP$6:$AP$125,Work!$AO$6:$AO$125),0)</f>
        <v>0.00173275090869947</v>
      </c>
    </row>
    <row r="26" customFormat="false" ht="15" hidden="false" customHeight="false" outlineLevel="0" collapsed="false">
      <c r="A26" s="8" t="s">
        <v>513</v>
      </c>
      <c r="B26" s="31" t="n">
        <f aca="false">IFERROR(RSQ(Work!$AP$6:$AP$125,Work!$AO$6:$AO$125),"")</f>
        <v>0.960746467614442</v>
      </c>
    </row>
    <row r="27" customFormat="false" ht="15" hidden="false" customHeight="false" outlineLevel="0" collapsed="false">
      <c r="A27" s="8" t="s">
        <v>514</v>
      </c>
      <c r="B27" s="31" t="n">
        <f aca="false">IFERROR(STEYX(Work!$AP$6:$AP$125,Work!$AO$6:$AO$125),"")</f>
        <v>0.0419386187859629</v>
      </c>
    </row>
    <row r="28" customFormat="false" ht="15" hidden="false" customHeight="false" outlineLevel="0" collapsed="false">
      <c r="A28" s="8" t="s">
        <v>515</v>
      </c>
      <c r="B28" s="32" t="n">
        <f aca="false">IF($B$103="Yes",$B$25,0)</f>
        <v>0.00173275090869947</v>
      </c>
    </row>
    <row r="30" customFormat="false" ht="15" hidden="false" customHeight="false" outlineLevel="0" collapsed="false">
      <c r="A30" s="27" t="s">
        <v>520</v>
      </c>
      <c r="B30" s="28"/>
      <c r="C30" s="28"/>
      <c r="D30" s="28"/>
    </row>
    <row r="31" customFormat="false" ht="15" hidden="false" customHeight="false" outlineLevel="0" collapsed="false">
      <c r="A31" s="8" t="s">
        <v>521</v>
      </c>
      <c r="B31" s="29" t="n">
        <f aca="false">COUNT(Work!$AS$6:$AS$125)</f>
        <v>13</v>
      </c>
    </row>
    <row r="32" customFormat="false" ht="15" hidden="false" customHeight="false" outlineLevel="0" collapsed="false">
      <c r="A32" s="8" t="s">
        <v>522</v>
      </c>
      <c r="B32" s="32" t="n">
        <f aca="false">IFERROR(SLOPE(Work!$AS$6:$AS$125,Work!$AQ$6:$AQ$125),0)</f>
        <v>-0.0147543499944586</v>
      </c>
    </row>
    <row r="33" customFormat="false" ht="15" hidden="false" customHeight="false" outlineLevel="0" collapsed="false">
      <c r="A33" s="8" t="s">
        <v>523</v>
      </c>
      <c r="B33" s="31" t="n">
        <f aca="false">IFERROR(RSQ(Work!$AS$6:$AS$125,Work!$AQ$6:$AQ$125),"")</f>
        <v>0.729765661367348</v>
      </c>
    </row>
    <row r="34" customFormat="false" ht="15" hidden="false" customHeight="false" outlineLevel="0" collapsed="false">
      <c r="A34" s="8" t="s">
        <v>524</v>
      </c>
      <c r="B34" s="31" t="n">
        <f aca="false">IFERROR(STEYX(Work!$AS$6:$AS$125,Work!$AQ$6:$AQ$125),"")</f>
        <v>0.142638279541523</v>
      </c>
    </row>
    <row r="35" customFormat="false" ht="15" hidden="false" customHeight="false" outlineLevel="0" collapsed="false">
      <c r="A35" s="8" t="s">
        <v>525</v>
      </c>
      <c r="B35" s="32" t="n">
        <f aca="false">IFERROR(SLOPE(Work!$AS$6:$AS$125,Work!$AR$6:$AR$125),0)</f>
        <v>0.156443628981886</v>
      </c>
    </row>
    <row r="36" customFormat="false" ht="15" hidden="false" customHeight="false" outlineLevel="0" collapsed="false">
      <c r="A36" s="8" t="s">
        <v>526</v>
      </c>
      <c r="B36" s="31" t="n">
        <f aca="false">IFERROR(RSQ(Work!$AS$6:$AS$125,Work!$AR$6:$AR$125),"")</f>
        <v>0.873475342200755</v>
      </c>
    </row>
    <row r="37" customFormat="false" ht="15" hidden="false" customHeight="false" outlineLevel="0" collapsed="false">
      <c r="A37" s="8" t="s">
        <v>527</v>
      </c>
      <c r="B37" s="31" t="n">
        <f aca="false">IFERROR(STEYX(Work!$AS$6:$AS$125,Work!$AR$6:$AR$125),"")</f>
        <v>0.0976008074526581</v>
      </c>
    </row>
    <row r="38" customFormat="false" ht="15" hidden="false" customHeight="false" outlineLevel="0" collapsed="false">
      <c r="A38" s="8" t="s">
        <v>528</v>
      </c>
      <c r="B38" s="33" t="str">
        <f aca="false">IF(Setup!$B$13="Row","Row",IF(Setup!$B$13="Background","Background",IF(AND(ISNUMBER($B$37),ISNUMBER($B$34)),IF($B$37&lt;$B$34,"Background","Row"),"Row")))</f>
        <v>Row</v>
      </c>
      <c r="D38" s="5" t="s">
        <v>529</v>
      </c>
    </row>
    <row r="39" customFormat="false" ht="15" hidden="false" customHeight="false" outlineLevel="0" collapsed="false">
      <c r="A39" s="8" t="s">
        <v>515</v>
      </c>
      <c r="B39" s="32" t="n">
        <f aca="false">IF($B$115="Yes",IF($B$38="Row",$B$32,$B$35),0)</f>
        <v>-0.0147543499944586</v>
      </c>
    </row>
    <row r="40" customFormat="false" ht="15" hidden="false" customHeight="false" outlineLevel="0" collapsed="false">
      <c r="A40" s="8" t="s">
        <v>530</v>
      </c>
      <c r="B40" s="31" t="n">
        <f aca="false">$B$108</f>
        <v>33.7692307692308</v>
      </c>
      <c r="D40" s="5" t="s">
        <v>531</v>
      </c>
    </row>
    <row r="42" customFormat="false" ht="15" hidden="false" customHeight="false" outlineLevel="0" collapsed="false">
      <c r="A42" s="27" t="s">
        <v>532</v>
      </c>
      <c r="B42" s="28"/>
      <c r="C42" s="28"/>
      <c r="D42" s="28"/>
    </row>
    <row r="43" customFormat="false" ht="15" hidden="false" customHeight="false" outlineLevel="0" collapsed="false">
      <c r="A43" s="8" t="s">
        <v>521</v>
      </c>
      <c r="B43" s="29" t="n">
        <f aca="false">COUNT(Work!$AT$6:$AT$125)</f>
        <v>13</v>
      </c>
    </row>
    <row r="44" customFormat="false" ht="15" hidden="false" customHeight="false" outlineLevel="0" collapsed="false">
      <c r="A44" s="8" t="s">
        <v>522</v>
      </c>
      <c r="B44" s="32" t="n">
        <f aca="false">IFERROR(SLOPE(Work!$AT$6:$AT$125,Work!$AQ$6:$AQ$125),0)</f>
        <v>0.00259766717756809</v>
      </c>
    </row>
    <row r="45" customFormat="false" ht="15" hidden="false" customHeight="false" outlineLevel="0" collapsed="false">
      <c r="A45" s="8" t="s">
        <v>523</v>
      </c>
      <c r="B45" s="31" t="n">
        <f aca="false">IFERROR(RSQ(Work!$AT$6:$AT$125,Work!$AQ$6:$AQ$125),"")</f>
        <v>0.457425384641404</v>
      </c>
    </row>
    <row r="46" customFormat="false" ht="15" hidden="false" customHeight="false" outlineLevel="0" collapsed="false">
      <c r="A46" s="8" t="s">
        <v>524</v>
      </c>
      <c r="B46" s="31" t="n">
        <f aca="false">IFERROR(STEYX(Work!$AT$6:$AT$125,Work!$AQ$6:$AQ$125),"")</f>
        <v>0.0449459502956305</v>
      </c>
    </row>
    <row r="47" customFormat="false" ht="15" hidden="false" customHeight="false" outlineLevel="0" collapsed="false">
      <c r="A47" s="8" t="s">
        <v>525</v>
      </c>
      <c r="B47" s="32" t="n">
        <f aca="false">IFERROR(SLOPE(Work!$AT$6:$AT$125,Work!$AR$6:$AR$125),0)</f>
        <v>-0.026323253974512</v>
      </c>
      <c r="D47" s="5" t="s">
        <v>533</v>
      </c>
    </row>
    <row r="48" customFormat="false" ht="15" hidden="false" customHeight="false" outlineLevel="0" collapsed="false">
      <c r="A48" s="8" t="s">
        <v>526</v>
      </c>
      <c r="B48" s="31" t="n">
        <f aca="false">IFERROR(RSQ(Work!$AT$6:$AT$125,Work!$AR$6:$AR$125),"")</f>
        <v>0.500062192840316</v>
      </c>
    </row>
    <row r="49" customFormat="false" ht="15" hidden="false" customHeight="false" outlineLevel="0" collapsed="false">
      <c r="A49" s="8" t="s">
        <v>527</v>
      </c>
      <c r="B49" s="31" t="n">
        <f aca="false">IFERROR(STEYX(Work!$AT$6:$AT$125,Work!$AR$6:$AR$125),"")</f>
        <v>0.0431438425202863</v>
      </c>
    </row>
    <row r="50" customFormat="false" ht="15" hidden="false" customHeight="false" outlineLevel="0" collapsed="false">
      <c r="A50" s="8" t="s">
        <v>528</v>
      </c>
      <c r="B50" s="33" t="str">
        <f aca="false">IF(Setup!$B$13="Row","Row",IF(Setup!$B$13="Background","Background",IF(AND(ISNUMBER($B$49),ISNUMBER($B$46)),IF($B$49&lt;$B$46,"Background","Row"),"Row")))</f>
        <v>Row</v>
      </c>
    </row>
    <row r="51" customFormat="false" ht="15" hidden="false" customHeight="false" outlineLevel="0" collapsed="false">
      <c r="A51" s="8" t="s">
        <v>515</v>
      </c>
      <c r="B51" s="32" t="n">
        <f aca="false">IF($B$128="Yes",IF($B$50="Row",$B$44,$B$47),0)</f>
        <v>0.00259766717756809</v>
      </c>
    </row>
    <row r="52" customFormat="false" ht="15" hidden="false" customHeight="false" outlineLevel="0" collapsed="false">
      <c r="A52" s="8" t="s">
        <v>530</v>
      </c>
      <c r="B52" s="31" t="n">
        <f aca="false">$B$121</f>
        <v>33.7692307692308</v>
      </c>
    </row>
    <row r="54" customFormat="false" ht="15" hidden="false" customHeight="false" outlineLevel="0" collapsed="false">
      <c r="A54" s="27" t="s">
        <v>534</v>
      </c>
      <c r="B54" s="28"/>
      <c r="C54" s="28"/>
      <c r="D54" s="28"/>
    </row>
    <row r="55" customFormat="false" ht="15" hidden="false" customHeight="false" outlineLevel="0" collapsed="false">
      <c r="A55" s="8" t="s">
        <v>535</v>
      </c>
      <c r="B55" s="29" t="n">
        <f aca="false">COUNT(Work!$AU$6:$AU$125)</f>
        <v>6</v>
      </c>
    </row>
    <row r="56" customFormat="false" ht="15" hidden="false" customHeight="false" outlineLevel="0" collapsed="false">
      <c r="A56" s="8" t="s">
        <v>536</v>
      </c>
      <c r="B56" s="32" t="n">
        <f aca="false">IFERROR(SLOPE(Work!$AV$6:$AV$125,Work!$AU$6:$AU$125),"")</f>
        <v>1.02659774304508</v>
      </c>
    </row>
    <row r="57" customFormat="false" ht="15" hidden="false" customHeight="false" outlineLevel="0" collapsed="false">
      <c r="A57" s="8" t="s">
        <v>537</v>
      </c>
      <c r="B57" s="32" t="n">
        <f aca="false">IFERROR(INTERCEPT(Work!$AV$6:$AV$125,Work!$AU$6:$AU$125),"")</f>
        <v>1.02726910359567</v>
      </c>
    </row>
    <row r="58" customFormat="false" ht="15" hidden="false" customHeight="false" outlineLevel="0" collapsed="false">
      <c r="A58" s="8" t="s">
        <v>513</v>
      </c>
      <c r="B58" s="34" t="n">
        <f aca="false">IFERROR(RSQ(Work!$AV$6:$AV$125,Work!$AU$6:$AU$125),"")</f>
        <v>0.999776198566541</v>
      </c>
    </row>
    <row r="59" customFormat="false" ht="15" hidden="false" customHeight="false" outlineLevel="0" collapsed="false">
      <c r="A59" s="8" t="s">
        <v>514</v>
      </c>
      <c r="B59" s="31" t="n">
        <f aca="false">IFERROR(STEYX(Work!$AV$6:$AV$125,Work!$AU$6:$AU$125),"")</f>
        <v>0.173327789300787</v>
      </c>
      <c r="D59" s="5" t="s">
        <v>538</v>
      </c>
    </row>
    <row r="61" customFormat="false" ht="15" hidden="false" customHeight="false" outlineLevel="0" collapsed="false">
      <c r="A61" s="27" t="s">
        <v>539</v>
      </c>
      <c r="B61" s="28"/>
      <c r="C61" s="28"/>
      <c r="D61" s="28"/>
    </row>
    <row r="62" customFormat="false" ht="15" hidden="false" customHeight="false" outlineLevel="0" collapsed="false">
      <c r="A62" s="8" t="s">
        <v>535</v>
      </c>
      <c r="B62" s="29" t="n">
        <f aca="false">COUNT(Work!$AW$6:$AW$125)</f>
        <v>6</v>
      </c>
    </row>
    <row r="63" customFormat="false" ht="15" hidden="false" customHeight="false" outlineLevel="0" collapsed="false">
      <c r="A63" s="8" t="s">
        <v>536</v>
      </c>
      <c r="B63" s="32" t="n">
        <f aca="false">IFERROR(SLOPE(Work!$AX$6:$AX$125,Work!$AW$6:$AW$125),"")</f>
        <v>1.01415059070389</v>
      </c>
    </row>
    <row r="64" customFormat="false" ht="15" hidden="false" customHeight="false" outlineLevel="0" collapsed="false">
      <c r="A64" s="8" t="s">
        <v>537</v>
      </c>
      <c r="B64" s="32" t="n">
        <f aca="false">IFERROR(INTERCEPT(Work!$AX$6:$AX$125,Work!$AW$6:$AW$125),"")</f>
        <v>-16.9922409060072</v>
      </c>
    </row>
    <row r="65" customFormat="false" ht="15" hidden="false" customHeight="false" outlineLevel="0" collapsed="false">
      <c r="A65" s="8" t="s">
        <v>513</v>
      </c>
      <c r="B65" s="34" t="n">
        <f aca="false">IFERROR(RSQ(Work!$AX$6:$AX$125,Work!$AW$6:$AW$125),"")</f>
        <v>0.999997249597534</v>
      </c>
    </row>
    <row r="66" customFormat="false" ht="15" hidden="false" customHeight="false" outlineLevel="0" collapsed="false">
      <c r="A66" s="8" t="s">
        <v>514</v>
      </c>
      <c r="B66" s="31" t="n">
        <f aca="false">IFERROR(STEYX(Work!$AX$6:$AX$125,Work!$AW$6:$AW$125),"")</f>
        <v>0.0208396832974357</v>
      </c>
    </row>
    <row r="68" customFormat="false" ht="15" hidden="false" customHeight="false" outlineLevel="0" collapsed="false">
      <c r="A68" s="27" t="s">
        <v>540</v>
      </c>
      <c r="B68" s="28"/>
      <c r="C68" s="28"/>
      <c r="D68" s="28"/>
    </row>
    <row r="69" customFormat="false" ht="15" hidden="false" customHeight="false" outlineLevel="0" collapsed="false">
      <c r="A69" s="8" t="s">
        <v>541</v>
      </c>
      <c r="B69" s="29" t="n">
        <f aca="false">COUNT(Work!$AY$6:$AY$125)</f>
        <v>23</v>
      </c>
    </row>
    <row r="70" customFormat="false" ht="15" hidden="false" customHeight="false" outlineLevel="0" collapsed="false">
      <c r="A70" s="8" t="s">
        <v>542</v>
      </c>
      <c r="B70" s="34" t="n">
        <f aca="false">IFERROR(SLOPE(Work!$AZ$6:$AZ$125,Work!$AY$6:$AY$125),"")</f>
        <v>0.605360450295853</v>
      </c>
    </row>
    <row r="71" customFormat="false" ht="15" hidden="false" customHeight="false" outlineLevel="0" collapsed="false">
      <c r="A71" s="8" t="s">
        <v>543</v>
      </c>
      <c r="B71" s="31" t="n">
        <f aca="false">IFERROR(INTERCEPT(Work!$AZ$6:$AZ$125,Work!$AY$6:$AY$125),"")</f>
        <v>1.98486552775629</v>
      </c>
      <c r="D71" s="5" t="s">
        <v>544</v>
      </c>
    </row>
    <row r="72" customFormat="false" ht="15" hidden="false" customHeight="false" outlineLevel="0" collapsed="false">
      <c r="A72" s="8" t="s">
        <v>513</v>
      </c>
      <c r="B72" s="32" t="n">
        <f aca="false">IFERROR(RSQ(Work!$AZ$6:$AZ$125,Work!$AY$6:$AY$125),"")</f>
        <v>0.997024163107538</v>
      </c>
    </row>
    <row r="74" customFormat="false" ht="15" hidden="false" customHeight="false" outlineLevel="0" collapsed="false">
      <c r="A74" s="27" t="s">
        <v>545</v>
      </c>
      <c r="B74" s="28"/>
      <c r="C74" s="28"/>
      <c r="D74" s="28"/>
    </row>
    <row r="75" customFormat="false" ht="15" hidden="false" customHeight="false" outlineLevel="0" collapsed="false">
      <c r="A75" s="8" t="s">
        <v>541</v>
      </c>
      <c r="B75" s="29" t="n">
        <f aca="false">COUNT(Work!$BA$6:$BA$125)</f>
        <v>23</v>
      </c>
    </row>
    <row r="76" customFormat="false" ht="15" hidden="false" customHeight="false" outlineLevel="0" collapsed="false">
      <c r="A76" s="8" t="s">
        <v>546</v>
      </c>
      <c r="B76" s="34" t="n">
        <f aca="false">IFERROR(SLOPE(Work!$BB$6:$BB$125,Work!$BA$6:$BA$125),"")</f>
        <v>0.439048300008392</v>
      </c>
    </row>
    <row r="77" customFormat="false" ht="15" hidden="false" customHeight="false" outlineLevel="0" collapsed="false">
      <c r="A77" s="8" t="s">
        <v>543</v>
      </c>
      <c r="B77" s="31" t="n">
        <f aca="false">IFERROR(INTERCEPT(Work!$BB$6:$BB$125,Work!$BA$6:$BA$125),"")</f>
        <v>1.74790225287887</v>
      </c>
    </row>
    <row r="78" customFormat="false" ht="15" hidden="false" customHeight="false" outlineLevel="0" collapsed="false">
      <c r="A78" s="8" t="s">
        <v>513</v>
      </c>
      <c r="B78" s="32" t="n">
        <f aca="false">IFERROR(RSQ(Work!$BB$6:$BB$125,Work!$BA$6:$BA$125),"")</f>
        <v>0.996827874504323</v>
      </c>
    </row>
    <row r="80" customFormat="false" ht="15" hidden="false" customHeight="false" outlineLevel="0" collapsed="false">
      <c r="A80" s="27" t="s">
        <v>547</v>
      </c>
      <c r="B80" s="28"/>
      <c r="C80" s="28"/>
      <c r="D80" s="28"/>
    </row>
    <row r="81" customFormat="false" ht="15" hidden="false" customHeight="false" outlineLevel="0" collapsed="false">
      <c r="A81" s="8" t="s">
        <v>548</v>
      </c>
      <c r="B81" s="31" t="n">
        <f aca="false">IF(Setup!$B$21&lt;&gt;"",Setup!$B$21,IFERROR(MIN(Work!$AM$6:$AM$125),0))</f>
        <v>8.889</v>
      </c>
      <c r="D81" s="5" t="s">
        <v>549</v>
      </c>
    </row>
    <row r="82" customFormat="false" ht="15" hidden="false" customHeight="false" outlineLevel="0" collapsed="false">
      <c r="A82" s="8" t="s">
        <v>550</v>
      </c>
      <c r="B82" s="31" t="n">
        <f aca="false">IF(Setup!$B$22&lt;&gt;"",Setup!$B$22,IFERROR(MIN(Work!$AO$6:$AO$125),0))</f>
        <v>37.895</v>
      </c>
    </row>
    <row r="83" customFormat="false" ht="15" hidden="false" customHeight="false" outlineLevel="0" collapsed="false">
      <c r="A83" s="8" t="s">
        <v>551</v>
      </c>
      <c r="B83" s="35" t="n">
        <f aca="false">IFERROR(AVERAGE(SMALL(Work!$BI$6:$BI$125,1),SMALL(Work!$BI$6:$BI$125,2),SMALL(Work!$BI$6:$BI$125,3),SMALL(Work!$BI$6:$BI$125,4),SMALL(Work!$BI$6:$BI$125,5)),0)</f>
        <v>23.1</v>
      </c>
      <c r="D83" s="5" t="s">
        <v>552</v>
      </c>
    </row>
    <row r="84" customFormat="false" ht="15" hidden="false" customHeight="false" outlineLevel="0" collapsed="false">
      <c r="A84" s="27" t="s">
        <v>553</v>
      </c>
      <c r="B84" s="28"/>
      <c r="C84" s="28"/>
      <c r="D84" s="28"/>
    </row>
    <row r="85" customFormat="false" ht="15" hidden="false" customHeight="false" outlineLevel="0" collapsed="false">
      <c r="A85" s="8" t="s">
        <v>554</v>
      </c>
      <c r="B85" s="35" t="n">
        <f aca="false">IFERROR(MAX(Work!$EQ$6:$EQ$125),0)-$B$83</f>
        <v>11.1</v>
      </c>
      <c r="D85" s="5" t="s">
        <v>555</v>
      </c>
    </row>
    <row r="86" customFormat="false" ht="15" hidden="false" customHeight="false" outlineLevel="0" collapsed="false">
      <c r="A86" s="8" t="s">
        <v>556</v>
      </c>
      <c r="B86" s="29" t="n">
        <f aca="false">IF(OR(Setup!$B$26="",Setup!$B$26=0,$B$85&lt;1),1,IFERROR(INDEX(Work!$ER$6:$ER$125,MATCH(3,Work!$CP$6:$CP$125,0)),MAX(Work!$EI$6:$EI$125)+1))</f>
        <v>27</v>
      </c>
      <c r="D86" s="5" t="s">
        <v>557</v>
      </c>
    </row>
    <row r="87" customFormat="false" ht="15" hidden="false" customHeight="false" outlineLevel="0" collapsed="false">
      <c r="A87" s="8" t="s">
        <v>558</v>
      </c>
      <c r="B87" s="32" t="n">
        <f aca="false">IFERROR(SLOPE(Work!$BL$6:$BL$125,Work!$BK$6:$BK$125),"")</f>
        <v>-0.0318</v>
      </c>
    </row>
    <row r="88" customFormat="false" ht="15" hidden="false" customHeight="false" outlineLevel="0" collapsed="false">
      <c r="A88" s="8" t="s">
        <v>559</v>
      </c>
      <c r="B88" s="29" t="n">
        <f aca="false">COUNT(Work!$BK$6:$BK$125)</f>
        <v>5</v>
      </c>
    </row>
    <row r="89" customFormat="false" ht="15" hidden="false" customHeight="false" outlineLevel="0" collapsed="false">
      <c r="A89" s="8" t="s">
        <v>560</v>
      </c>
      <c r="B89" s="32" t="n">
        <f aca="false">IFERROR(SLOPE(Work!$BN$6:$BN$125,Work!$BM$6:$BM$125),"")</f>
        <v>-0.00289385357667293</v>
      </c>
    </row>
    <row r="90" customFormat="false" ht="15" hidden="false" customHeight="false" outlineLevel="0" collapsed="false">
      <c r="A90" s="8" t="s">
        <v>561</v>
      </c>
      <c r="B90" s="29" t="n">
        <f aca="false">COUNT(Work!$BM$6:$BM$125)</f>
        <v>8</v>
      </c>
      <c r="D90" s="5" t="s">
        <v>562</v>
      </c>
    </row>
    <row r="92" customFormat="false" ht="15" hidden="false" customHeight="false" outlineLevel="0" collapsed="false">
      <c r="A92" s="27" t="s">
        <v>563</v>
      </c>
      <c r="B92" s="28"/>
      <c r="C92" s="28"/>
      <c r="D92" s="28"/>
    </row>
    <row r="93" customFormat="false" ht="15" hidden="false" customHeight="false" outlineLevel="0" collapsed="false">
      <c r="A93" s="8" t="s">
        <v>564</v>
      </c>
      <c r="B93" s="34" t="n">
        <f aca="false">IFERROR(STEYX(Work!$AN$6:$AN$125,Work!$AM$6:$AM$125)/SQRT(DEVSQ(Work!$AM$6:$AM$125)),"")</f>
        <v>0.0149390417737016</v>
      </c>
    </row>
    <row r="94" customFormat="false" ht="15" hidden="false" customHeight="false" outlineLevel="0" collapsed="false">
      <c r="A94" s="8" t="s">
        <v>565</v>
      </c>
      <c r="B94" s="35" t="n">
        <f aca="false">IFERROR($B$17/$B$93,"")</f>
        <v>-3.81312593129218</v>
      </c>
    </row>
    <row r="95" customFormat="false" ht="15" hidden="false" customHeight="false" outlineLevel="0" collapsed="false">
      <c r="A95" s="8" t="s">
        <v>566</v>
      </c>
      <c r="B95" s="31" t="n">
        <f aca="false">IFERROR(TDIST(ABS($B$94),$B$15-2,2),"")</f>
        <v>0.062407071620583</v>
      </c>
      <c r="D95" s="5" t="s">
        <v>567</v>
      </c>
    </row>
    <row r="96" customFormat="false" ht="15" hidden="false" customHeight="false" outlineLevel="0" collapsed="false">
      <c r="A96" s="8" t="s">
        <v>568</v>
      </c>
      <c r="B96" s="33" t="str">
        <f aca="false">IF(Setup!$B$11="Off","No",IF($B$15&lt;3,"No",IF(Setup!$B$11="On","Yes",IF(AND(ISNUMBER($B$95),$B$95&lt;Setup!$B$15),"Yes","No"))))</f>
        <v>No</v>
      </c>
    </row>
    <row r="97" customFormat="false" ht="15" hidden="false" customHeight="false" outlineLevel="0" collapsed="false">
      <c r="A97" s="8" t="s">
        <v>569</v>
      </c>
      <c r="B97" s="31" t="n">
        <f aca="false">IF(Setup!$B$23&lt;&gt;"",Setup!$B$23,IFERROR(MAX(Work!$AM$6:$AM$125),0))</f>
        <v>51.069</v>
      </c>
      <c r="D97" s="5" t="s">
        <v>570</v>
      </c>
    </row>
    <row r="98" customFormat="false" ht="15" hidden="false" customHeight="false" outlineLevel="0" collapsed="false">
      <c r="A98" s="8" t="s">
        <v>571</v>
      </c>
      <c r="B98" s="31" t="n">
        <f aca="false">IFERROR(MIN(Work!$AN$6:$AN$125)-MAX(0.05,0.15*(MAX(Work!$AN$6:$AN$125)-MIN(Work!$AN$6:$AN$125))),"")</f>
        <v>-6.0577</v>
      </c>
      <c r="D98" s="5" t="s">
        <v>572</v>
      </c>
    </row>
    <row r="99" customFormat="false" ht="15" hidden="false" customHeight="false" outlineLevel="0" collapsed="false">
      <c r="A99" s="27" t="s">
        <v>573</v>
      </c>
      <c r="B99" s="28"/>
      <c r="C99" s="28"/>
      <c r="D99" s="28"/>
    </row>
    <row r="100" customFormat="false" ht="15" hidden="false" customHeight="false" outlineLevel="0" collapsed="false">
      <c r="A100" s="8" t="s">
        <v>564</v>
      </c>
      <c r="B100" s="34" t="n">
        <f aca="false">IFERROR(STEYX(Work!$AP$6:$AP$125,Work!$AO$6:$AO$125)/SQRT(DEVSQ(Work!$AO$6:$AO$125)),"")</f>
        <v>0.000247660138545415</v>
      </c>
    </row>
    <row r="101" customFormat="false" ht="15" hidden="false" customHeight="false" outlineLevel="0" collapsed="false">
      <c r="A101" s="8" t="s">
        <v>565</v>
      </c>
      <c r="B101" s="35" t="n">
        <f aca="false">IFERROR($B$25/$B$100,"")</f>
        <v>6.99648687461963</v>
      </c>
    </row>
    <row r="102" customFormat="false" ht="15" hidden="false" customHeight="false" outlineLevel="0" collapsed="false">
      <c r="A102" s="8" t="s">
        <v>566</v>
      </c>
      <c r="B102" s="31" t="n">
        <f aca="false">IFERROR(TDIST(ABS($B$101),$B$23-2,2),"")</f>
        <v>0.0198232467486069</v>
      </c>
    </row>
    <row r="103" customFormat="false" ht="15" hidden="false" customHeight="false" outlineLevel="0" collapsed="false">
      <c r="A103" s="8" t="s">
        <v>568</v>
      </c>
      <c r="B103" s="33" t="str">
        <f aca="false">IF(Setup!$B$11="Off","No",IF($B$23&lt;3,"No",IF(Setup!$B$11="On","Yes",IF(AND(ISNUMBER($B$102),$B$102&lt;Setup!$B$15),"Yes","No"))))</f>
        <v>Yes</v>
      </c>
    </row>
    <row r="104" customFormat="false" ht="15" hidden="false" customHeight="false" outlineLevel="0" collapsed="false">
      <c r="A104" s="8" t="s">
        <v>574</v>
      </c>
      <c r="B104" s="31" t="n">
        <f aca="false">IF(Setup!$B$24&lt;&gt;"",Setup!$B$24,IFERROR(MAX(Work!$AO$6:$AO$125),0))</f>
        <v>240.154</v>
      </c>
    </row>
    <row r="105" customFormat="false" ht="15" hidden="false" customHeight="false" outlineLevel="0" collapsed="false">
      <c r="A105" s="8" t="s">
        <v>571</v>
      </c>
      <c r="B105" s="31" t="n">
        <f aca="false">IFERROR(MIN(Work!$AP$6:$AP$125)-MAX(0.05,0.15*(MAX(Work!$AP$6:$AP$125)-MIN(Work!$AP$6:$AP$125))),"")</f>
        <v>-9.717</v>
      </c>
    </row>
    <row r="106" customFormat="false" ht="15" hidden="false" customHeight="false" outlineLevel="0" collapsed="false">
      <c r="A106" s="27" t="s">
        <v>575</v>
      </c>
      <c r="B106" s="28"/>
      <c r="C106" s="28"/>
      <c r="D106" s="28"/>
    </row>
    <row r="107" customFormat="false" ht="15" hidden="false" customHeight="false" outlineLevel="0" collapsed="false">
      <c r="A107" s="8" t="s">
        <v>576</v>
      </c>
      <c r="B107" s="29" t="n">
        <f aca="false">COUNT(Work!$BZ$6:$BZ$125)</f>
        <v>13</v>
      </c>
      <c r="D107" s="5" t="s">
        <v>577</v>
      </c>
    </row>
    <row r="108" customFormat="false" ht="15" hidden="false" customHeight="false" outlineLevel="0" collapsed="false">
      <c r="A108" s="8" t="s">
        <v>578</v>
      </c>
      <c r="B108" s="31" t="n">
        <f aca="false">IFERROR(AVERAGE(Work!$BZ$6:$BZ$125),0)</f>
        <v>33.7692307692308</v>
      </c>
    </row>
    <row r="109" customFormat="false" ht="15" hidden="false" customHeight="false" outlineLevel="0" collapsed="false">
      <c r="A109" s="8" t="s">
        <v>579</v>
      </c>
      <c r="B109" s="31" t="n">
        <f aca="false">IFERROR(DEVSQ(Work!$BZ$6:$BZ$125),0)</f>
        <v>2776.30769230769</v>
      </c>
    </row>
    <row r="110" customFormat="false" ht="15" hidden="false" customHeight="false" outlineLevel="0" collapsed="false">
      <c r="A110" s="8" t="s">
        <v>580</v>
      </c>
      <c r="B110" s="32" t="n">
        <f aca="false">IFERROR(INTERCEPT(Work!$AS$6:$AS$125,Work!$BZ$6:$BZ$125),"")</f>
        <v>-5.60429541172559</v>
      </c>
    </row>
    <row r="111" customFormat="false" ht="15" hidden="false" customHeight="false" outlineLevel="0" collapsed="false">
      <c r="A111" s="8" t="s">
        <v>581</v>
      </c>
      <c r="B111" s="31" t="n">
        <f aca="false">IFERROR(STEYX(Work!$AS$6:$AS$125,Work!$BZ$6:$BZ$125),"")</f>
        <v>0.142638279541523</v>
      </c>
    </row>
    <row r="112" customFormat="false" ht="15" hidden="false" customHeight="false" outlineLevel="0" collapsed="false">
      <c r="A112" s="8" t="s">
        <v>564</v>
      </c>
      <c r="B112" s="34" t="n">
        <f aca="false">IFERROR($B$111/SQRT($B$109),"")</f>
        <v>0.00270708750107633</v>
      </c>
    </row>
    <row r="113" customFormat="false" ht="15" hidden="false" customHeight="false" outlineLevel="0" collapsed="false">
      <c r="A113" s="8" t="s">
        <v>565</v>
      </c>
      <c r="B113" s="35" t="n">
        <f aca="false">IFERROR(IF($B$38="Row",$B$32,$B$35)/$B$112,"")</f>
        <v>-5.45026711866252</v>
      </c>
    </row>
    <row r="114" customFormat="false" ht="15" hidden="false" customHeight="false" outlineLevel="0" collapsed="false">
      <c r="A114" s="8" t="s">
        <v>566</v>
      </c>
      <c r="B114" s="31" t="n">
        <f aca="false">IFERROR(TDIST(ABS($B$113),$B$107-2,2),"")</f>
        <v>0.000200756347911026</v>
      </c>
    </row>
    <row r="115" customFormat="false" ht="15" hidden="false" customHeight="false" outlineLevel="0" collapsed="false">
      <c r="A115" s="8" t="s">
        <v>568</v>
      </c>
      <c r="B115" s="33" t="str">
        <f aca="false">IF(Setup!$B$12="Off","No",IF($B$107&lt;3,"No",IF(Setup!$B$12="On","Yes",IF(AND(ISNUMBER($B$114),$B$114&lt;Setup!$B$15),"Yes","No"))))</f>
        <v>Yes</v>
      </c>
    </row>
    <row r="116" customFormat="false" ht="15" hidden="false" customHeight="false" outlineLevel="0" collapsed="false">
      <c r="A116" s="8" t="s">
        <v>582</v>
      </c>
      <c r="B116" s="32" t="n">
        <f aca="false">IFERROR($B$111^2*($B$107-2),"")</f>
        <v>0.223802466696221</v>
      </c>
    </row>
    <row r="117" customFormat="false" ht="15" hidden="false" customHeight="false" outlineLevel="0" collapsed="false">
      <c r="A117" s="8" t="s">
        <v>583</v>
      </c>
      <c r="B117" s="29" t="n">
        <f aca="false">COUNTIFS(Work!$CB$6:$CB$125,"&gt;"&amp;Setup!$B$27,Work!$BX$6:$BX$125,0)+COUNTIFS(Work!$CB$6:$CB$125,"&lt;"&amp;-Setup!$B$27,Work!$BX$6:$BX$125,0)</f>
        <v>0</v>
      </c>
      <c r="D117" s="5" t="s">
        <v>584</v>
      </c>
    </row>
    <row r="119" customFormat="false" ht="15" hidden="false" customHeight="false" outlineLevel="0" collapsed="false">
      <c r="A119" s="27" t="s">
        <v>585</v>
      </c>
      <c r="B119" s="28"/>
      <c r="C119" s="28"/>
      <c r="D119" s="28"/>
    </row>
    <row r="120" customFormat="false" ht="15" hidden="false" customHeight="false" outlineLevel="0" collapsed="false">
      <c r="A120" s="8" t="s">
        <v>576</v>
      </c>
      <c r="B120" s="29" t="n">
        <f aca="false">COUNT(Work!$CA$6:$CA$125)</f>
        <v>13</v>
      </c>
    </row>
    <row r="121" customFormat="false" ht="15" hidden="false" customHeight="false" outlineLevel="0" collapsed="false">
      <c r="A121" s="8" t="s">
        <v>578</v>
      </c>
      <c r="B121" s="31" t="n">
        <f aca="false">IFERROR(AVERAGE(Work!$CA$6:$CA$125),0)</f>
        <v>33.7692307692308</v>
      </c>
    </row>
    <row r="122" customFormat="false" ht="15" hidden="false" customHeight="false" outlineLevel="0" collapsed="false">
      <c r="A122" s="8" t="s">
        <v>579</v>
      </c>
      <c r="B122" s="31" t="n">
        <f aca="false">IFERROR(DEVSQ(Work!$CA$6:$CA$125),0)</f>
        <v>2776.30769230769</v>
      </c>
    </row>
    <row r="123" customFormat="false" ht="15" hidden="false" customHeight="false" outlineLevel="0" collapsed="false">
      <c r="A123" s="8" t="s">
        <v>580</v>
      </c>
      <c r="B123" s="32" t="n">
        <f aca="false">IFERROR(INTERCEPT(Work!$AT$6:$AT$125,Work!$CA$6:$CA$125),"")</f>
        <v>-9.56669091925708</v>
      </c>
    </row>
    <row r="124" customFormat="false" ht="15" hidden="false" customHeight="false" outlineLevel="0" collapsed="false">
      <c r="A124" s="8" t="s">
        <v>581</v>
      </c>
      <c r="B124" s="31" t="n">
        <f aca="false">IFERROR(STEYX(Work!$AT$6:$AT$125,Work!$CA$6:$CA$125),"")</f>
        <v>0.0449459502956305</v>
      </c>
    </row>
    <row r="125" customFormat="false" ht="15" hidden="false" customHeight="false" outlineLevel="0" collapsed="false">
      <c r="A125" s="8" t="s">
        <v>564</v>
      </c>
      <c r="B125" s="34" t="n">
        <f aca="false">IFERROR($B$124/SQRT($B$122),"")</f>
        <v>0.000853015198026695</v>
      </c>
    </row>
    <row r="126" customFormat="false" ht="15" hidden="false" customHeight="false" outlineLevel="0" collapsed="false">
      <c r="A126" s="8" t="s">
        <v>565</v>
      </c>
      <c r="B126" s="35" t="n">
        <f aca="false">IFERROR(IF($B$50="Row",$B$44,$B$47)/$B$125,"")</f>
        <v>3.04527654791772</v>
      </c>
    </row>
    <row r="127" customFormat="false" ht="15" hidden="false" customHeight="false" outlineLevel="0" collapsed="false">
      <c r="A127" s="8" t="s">
        <v>566</v>
      </c>
      <c r="B127" s="31" t="n">
        <f aca="false">IFERROR(TDIST(ABS($B$126),$B$120-2,2),"")</f>
        <v>0.0111410949137151</v>
      </c>
    </row>
    <row r="128" customFormat="false" ht="15" hidden="false" customHeight="false" outlineLevel="0" collapsed="false">
      <c r="A128" s="8" t="s">
        <v>568</v>
      </c>
      <c r="B128" s="33" t="str">
        <f aca="false">IF(Setup!$B$12="Off","No",IF($B$120&lt;3,"No",IF(Setup!$B$12="On","Yes",IF(AND(ISNUMBER($B$127),$B$127&lt;Setup!$B$15),"Yes","No"))))</f>
        <v>Yes</v>
      </c>
    </row>
    <row r="129" customFormat="false" ht="15" hidden="false" customHeight="false" outlineLevel="0" collapsed="false">
      <c r="A129" s="8" t="s">
        <v>582</v>
      </c>
      <c r="B129" s="32" t="n">
        <f aca="false">IFERROR($B$124^2*($B$120-2),"")</f>
        <v>0.0222215229277502</v>
      </c>
    </row>
    <row r="130" customFormat="false" ht="15" hidden="false" customHeight="false" outlineLevel="0" collapsed="false">
      <c r="A130" s="8" t="s">
        <v>583</v>
      </c>
      <c r="B130" s="29" t="n">
        <f aca="false">COUNTIFS(Work!$CC$6:$CC$125,"&gt;"&amp;Setup!$B$27,Work!$BY$6:$BY$125,0)+COUNTIFS(Work!$CC$6:$CC$125,"&lt;"&amp;-Setup!$B$27,Work!$BY$6:$BY$125,0)</f>
        <v>0</v>
      </c>
    </row>
    <row r="132" customFormat="false" ht="15" hidden="false" customHeight="false" outlineLevel="0" collapsed="false">
      <c r="A132" s="27" t="s">
        <v>586</v>
      </c>
      <c r="B132" s="28"/>
      <c r="C132" s="28"/>
      <c r="D132" s="28"/>
    </row>
    <row r="133" customFormat="false" ht="15" hidden="false" customHeight="false" outlineLevel="0" collapsed="false">
      <c r="A133" s="8" t="s">
        <v>587</v>
      </c>
      <c r="B133" s="32" t="n">
        <f aca="false">IFERROR(AVERAGE(Work!$AU$6:$AU$125),"")</f>
        <v>9.92865118344288</v>
      </c>
    </row>
    <row r="134" customFormat="false" ht="15" hidden="false" customHeight="false" outlineLevel="0" collapsed="false">
      <c r="A134" s="8" t="s">
        <v>579</v>
      </c>
      <c r="B134" s="32" t="n">
        <f aca="false">IFERROR(DEVSQ(Work!$AU$6:$AU$125),"")</f>
        <v>509.372748336939</v>
      </c>
    </row>
    <row r="135" customFormat="false" ht="15" hidden="false" customHeight="false" outlineLevel="0" collapsed="false">
      <c r="A135" s="8" t="s">
        <v>588</v>
      </c>
      <c r="B135" s="31" t="n">
        <f aca="false">IFERROR(SQRT(SUMPRODUCT(($B$163:$B$175-1)*($B$163:$B$175&gt;1)*$F$163:$F$175^2)/SUMPRODUCT(($B$163:$B$175-1)*($B$163:$B$175&gt;1))),"")</f>
        <v>0.16881820935784</v>
      </c>
      <c r="D135" s="5" t="s">
        <v>589</v>
      </c>
    </row>
    <row r="136" customFormat="false" ht="15" hidden="false" customHeight="false" outlineLevel="0" collapsed="false">
      <c r="A136" s="8" t="s">
        <v>590</v>
      </c>
      <c r="B136" s="31" t="n">
        <f aca="false">IF(Setup!$B$30&lt;&gt;"",Setup!$B$30,$B$135)</f>
        <v>0.16881820935784</v>
      </c>
    </row>
    <row r="137" customFormat="false" ht="15" hidden="false" customHeight="false" outlineLevel="0" collapsed="false">
      <c r="A137" s="8" t="s">
        <v>591</v>
      </c>
      <c r="B137" s="33" t="str">
        <f aca="false">IF(Setup!$B$30&lt;&gt;"","Setup","pooled anchor replicates")</f>
        <v>pooled anchor replicates</v>
      </c>
    </row>
    <row r="138" customFormat="false" ht="15" hidden="false" customHeight="false" outlineLevel="0" collapsed="false">
      <c r="A138" s="8" t="s">
        <v>592</v>
      </c>
      <c r="B138" s="35" t="n">
        <f aca="false">IFERROR(MIN(Work!$AV$6:$AV$125),"")</f>
        <v>1.76</v>
      </c>
    </row>
    <row r="139" customFormat="false" ht="15" hidden="false" customHeight="false" outlineLevel="0" collapsed="false">
      <c r="A139" s="8" t="s">
        <v>593</v>
      </c>
      <c r="B139" s="35" t="n">
        <f aca="false">IFERROR(MAX(Work!$AV$6:$AV$125),"")</f>
        <v>20.68</v>
      </c>
      <c r="D139" s="5" t="s">
        <v>594</v>
      </c>
    </row>
    <row r="152" customFormat="false" ht="15" hidden="false" customHeight="false" outlineLevel="0" collapsed="false">
      <c r="A152" s="27" t="s">
        <v>595</v>
      </c>
      <c r="B152" s="28"/>
      <c r="C152" s="28"/>
      <c r="D152" s="28"/>
    </row>
    <row r="153" customFormat="false" ht="15" hidden="false" customHeight="false" outlineLevel="0" collapsed="false">
      <c r="A153" s="8" t="s">
        <v>587</v>
      </c>
      <c r="B153" s="32" t="n">
        <f aca="false">IFERROR(AVERAGE(Work!$AW$6:$AW$125),"")</f>
        <v>-13.3685857093302</v>
      </c>
    </row>
    <row r="154" customFormat="false" ht="15" hidden="false" customHeight="false" outlineLevel="0" collapsed="false">
      <c r="A154" s="8" t="s">
        <v>579</v>
      </c>
      <c r="B154" s="32" t="n">
        <f aca="false">IFERROR(DEVSQ(Work!$AW$6:$AW$125),"")</f>
        <v>614.101108821566</v>
      </c>
    </row>
    <row r="155" customFormat="false" ht="15" hidden="false" customHeight="false" outlineLevel="0" collapsed="false">
      <c r="A155" s="8" t="s">
        <v>588</v>
      </c>
      <c r="B155" s="31" t="n">
        <f aca="false">IFERROR(SQRT(SUMPRODUCT(($B$183:$B$195-1)*($B$183:$B$195&gt;1)*$F$183:$F$195^2)/SUMPRODUCT(($B$183:$B$195-1)*($B$183:$B$195&gt;1))),"")</f>
        <v>0.0205488759059822</v>
      </c>
    </row>
    <row r="156" customFormat="false" ht="15" hidden="false" customHeight="false" outlineLevel="0" collapsed="false">
      <c r="A156" s="8" t="s">
        <v>590</v>
      </c>
      <c r="B156" s="31" t="n">
        <f aca="false">IF(Setup!$B$31&lt;&gt;"",Setup!$B$31,$B$155)</f>
        <v>0.0205488759059822</v>
      </c>
    </row>
    <row r="157" customFormat="false" ht="15" hidden="false" customHeight="false" outlineLevel="0" collapsed="false">
      <c r="A157" s="8" t="s">
        <v>591</v>
      </c>
      <c r="B157" s="33" t="str">
        <f aca="false">IF(Setup!$B$31&lt;&gt;"","Setup","pooled anchor replicates")</f>
        <v>pooled anchor replicates</v>
      </c>
    </row>
    <row r="158" customFormat="false" ht="15" hidden="false" customHeight="false" outlineLevel="0" collapsed="false">
      <c r="A158" s="8" t="s">
        <v>596</v>
      </c>
      <c r="B158" s="35" t="n">
        <f aca="false">IFERROR(MIN(Work!$AX$6:$AX$125),"")</f>
        <v>-40.81</v>
      </c>
    </row>
    <row r="159" customFormat="false" ht="15" hidden="false" customHeight="false" outlineLevel="0" collapsed="false">
      <c r="A159" s="8" t="s">
        <v>597</v>
      </c>
      <c r="B159" s="35" t="n">
        <f aca="false">IFERROR(MAX(Work!$AX$6:$AX$125),"")</f>
        <v>-20.29</v>
      </c>
    </row>
    <row r="161" customFormat="false" ht="15" hidden="false" customHeight="false" outlineLevel="0" collapsed="false">
      <c r="A161" s="27" t="s">
        <v>598</v>
      </c>
      <c r="B161" s="28"/>
      <c r="C161" s="28"/>
      <c r="D161" s="28"/>
    </row>
    <row r="162" customFormat="false" ht="22.35" hidden="false" customHeight="false" outlineLevel="0" collapsed="false">
      <c r="A162" s="6" t="s">
        <v>313</v>
      </c>
      <c r="B162" s="6" t="s">
        <v>599</v>
      </c>
      <c r="C162" s="6" t="s">
        <v>600</v>
      </c>
      <c r="D162" s="6" t="s">
        <v>601</v>
      </c>
      <c r="E162" s="6" t="s">
        <v>602</v>
      </c>
      <c r="F162" s="6" t="s">
        <v>603</v>
      </c>
      <c r="G162" s="6" t="s">
        <v>604</v>
      </c>
      <c r="H162" s="6" t="s">
        <v>605</v>
      </c>
      <c r="I162" s="6" t="s">
        <v>606</v>
      </c>
      <c r="J162" s="6" t="s">
        <v>607</v>
      </c>
    </row>
    <row r="163" customFormat="false" ht="15" hidden="false" customHeight="false" outlineLevel="0" collapsed="false">
      <c r="A163" s="36" t="str">
        <f aca="false">IF(Setup!$A$37="","",Setup!$A$37)</f>
        <v>USGS 64</v>
      </c>
      <c r="B163" s="19" t="n">
        <f aca="false">SUMIF(Work!$C$6:$C$125,37,Work!$CD$6:$CD$125)</f>
        <v>3</v>
      </c>
      <c r="C163" s="36" t="n">
        <f aca="false">SUMIF(Work!$C$6:$C$125,37,Work!$AU$6:$AU$125)</f>
        <v>2.1474274503619</v>
      </c>
      <c r="D163" s="36" t="n">
        <f aca="false">SUMIF(Work!$C$6:$C$125,37,Work!$CG$6:$CG$125)</f>
        <v>1.62054655177748</v>
      </c>
      <c r="E163" s="36" t="n">
        <f aca="false">IF($B163&gt;0,$C163/$B163,"")</f>
        <v>0.715809150120632</v>
      </c>
      <c r="F163" s="36" t="n">
        <f aca="false">IF($B163&gt;1,SQRT(MAX(0,($D163-$C163^2/$B163)/($B163-1))),0)</f>
        <v>0.204203738443027</v>
      </c>
      <c r="G163" s="36" t="n">
        <f aca="false">IF($B163&gt;1,$F163/SQRT($B163),0)</f>
        <v>0.11789708335961</v>
      </c>
      <c r="H163" s="36" t="n">
        <f aca="false">SUMIF(Work!$C$6:$C$125,37,Work!$CE$6:$CE$125)</f>
        <v>-27.6385260999668</v>
      </c>
      <c r="I163" s="36" t="n">
        <f aca="false">SUMIF(Work!$C$6:$C$125,37,Work!$CF$6:$CF$125)</f>
        <v>28.3672970306368</v>
      </c>
      <c r="J163" s="36" t="n">
        <f aca="false">IF(ISNUMBER(Setup!$I$37),Setup!$I$37,0)</f>
        <v>0.06</v>
      </c>
    </row>
    <row r="164" customFormat="false" ht="15" hidden="false" customHeight="false" outlineLevel="0" collapsed="false">
      <c r="A164" s="36" t="str">
        <f aca="false">IF(Setup!$A$38="","",Setup!$A$38)</f>
        <v>USGS 65</v>
      </c>
      <c r="B164" s="19" t="n">
        <f aca="false">SUMIF(Work!$C$6:$C$125,38,Work!$CD$6:$CD$125)</f>
        <v>3</v>
      </c>
      <c r="C164" s="36" t="n">
        <f aca="false">SUMIF(Work!$C$6:$C$125,38,Work!$AU$6:$AU$125)</f>
        <v>57.4244796502954</v>
      </c>
      <c r="D164" s="36" t="n">
        <f aca="false">SUMIF(Work!$C$6:$C$125,38,Work!$CG$6:$CG$125)</f>
        <v>1099.22088772005</v>
      </c>
      <c r="E164" s="36" t="n">
        <f aca="false">IF($B164&gt;0,$C164/$B164,"")</f>
        <v>19.1414932167651</v>
      </c>
      <c r="F164" s="36" t="n">
        <f aca="false">IF($B164&gt;1,SQRT(MAX(0,($D164-$C164^2/$B164)/($B164-1))),0)</f>
        <v>0.123693204451444</v>
      </c>
      <c r="G164" s="36" t="n">
        <f aca="false">IF($B164&gt;1,$F164/SQRT($B164),0)</f>
        <v>0.0714143048869684</v>
      </c>
      <c r="H164" s="36" t="n">
        <f aca="false">SUMIF(Work!$C$6:$C$125,38,Work!$CE$6:$CE$125)</f>
        <v>27.6385260999668</v>
      </c>
      <c r="I164" s="36" t="n">
        <f aca="false">SUMIF(Work!$C$6:$C$125,38,Work!$CF$6:$CF$125)</f>
        <v>-28.3672970306368</v>
      </c>
      <c r="J164" s="36" t="n">
        <f aca="false">IF(ISNUMBER(Setup!$I$38),Setup!$I$38,0)</f>
        <v>0.06</v>
      </c>
    </row>
    <row r="165" customFormat="false" ht="15" hidden="false" customHeight="false" outlineLevel="0" collapsed="false">
      <c r="A165" s="36" t="str">
        <f aca="false">IF(Setup!$A$39="","",Setup!$A$39)</f>
        <v>USGS 66</v>
      </c>
      <c r="B165" s="19" t="n">
        <f aca="false">SUMIF(Work!$C$6:$C$125,39,Work!$CD$6:$CD$125)</f>
        <v>0</v>
      </c>
      <c r="C165" s="36" t="n">
        <f aca="false">SUMIF(Work!$C$6:$C$125,39,Work!$AU$6:$AU$125)</f>
        <v>0</v>
      </c>
      <c r="D165" s="36" t="n">
        <f aca="false">SUMIF(Work!$C$6:$C$125,39,Work!$CG$6:$CG$125)</f>
        <v>0</v>
      </c>
      <c r="E165" s="36" t="str">
        <f aca="false">IF($B165&gt;0,$C165/$B165,"")</f>
        <v/>
      </c>
      <c r="F165" s="36" t="n">
        <f aca="false">IF($B165&gt;1,SQRT(MAX(0,($D165-$C165^2/$B165)/($B165-1))),0)</f>
        <v>0</v>
      </c>
      <c r="G165" s="36" t="n">
        <f aca="false">IF($B165&gt;1,$F165/SQRT($B165),0)</f>
        <v>0</v>
      </c>
      <c r="H165" s="36" t="n">
        <f aca="false">SUMIF(Work!$C$6:$C$125,39,Work!$CE$6:$CE$125)</f>
        <v>0</v>
      </c>
      <c r="I165" s="36" t="n">
        <f aca="false">SUMIF(Work!$C$6:$C$125,39,Work!$CF$6:$CF$125)</f>
        <v>0</v>
      </c>
      <c r="J165" s="36" t="n">
        <f aca="false">IF(ISNUMBER(Setup!$I$39),Setup!$I$39,0)</f>
        <v>0.06</v>
      </c>
    </row>
    <row r="166" customFormat="false" ht="15" hidden="false" customHeight="false" outlineLevel="0" collapsed="false">
      <c r="A166" s="36" t="str">
        <f aca="false">IF(Setup!$A$40="","",Setup!$A$40)</f>
        <v>USGS 40</v>
      </c>
      <c r="B166" s="19" t="n">
        <f aca="false">SUMIF(Work!$C$6:$C$125,40,Work!$CD$6:$CD$125)</f>
        <v>0</v>
      </c>
      <c r="C166" s="36" t="n">
        <f aca="false">SUMIF(Work!$C$6:$C$125,40,Work!$AU$6:$AU$125)</f>
        <v>0</v>
      </c>
      <c r="D166" s="36" t="n">
        <f aca="false">SUMIF(Work!$C$6:$C$125,40,Work!$CG$6:$CG$125)</f>
        <v>0</v>
      </c>
      <c r="E166" s="36" t="str">
        <f aca="false">IF($B166&gt;0,$C166/$B166,"")</f>
        <v/>
      </c>
      <c r="F166" s="36" t="n">
        <f aca="false">IF($B166&gt;1,SQRT(MAX(0,($D166-$C166^2/$B166)/($B166-1))),0)</f>
        <v>0</v>
      </c>
      <c r="G166" s="36" t="n">
        <f aca="false">IF($B166&gt;1,$F166/SQRT($B166),0)</f>
        <v>0</v>
      </c>
      <c r="H166" s="36" t="n">
        <f aca="false">SUMIF(Work!$C$6:$C$125,40,Work!$CE$6:$CE$125)</f>
        <v>0</v>
      </c>
      <c r="I166" s="36" t="n">
        <f aca="false">SUMIF(Work!$C$6:$C$125,40,Work!$CF$6:$CF$125)</f>
        <v>0</v>
      </c>
      <c r="J166" s="36" t="n">
        <f aca="false">IF(ISNUMBER(Setup!$I$40),Setup!$I$40,0)</f>
        <v>0</v>
      </c>
    </row>
    <row r="167" customFormat="false" ht="15" hidden="false" customHeight="false" outlineLevel="0" collapsed="false">
      <c r="A167" s="36" t="str">
        <f aca="false">IF(Setup!$A$41="","",Setup!$A$41)</f>
        <v>USGS 41a</v>
      </c>
      <c r="B167" s="19" t="n">
        <f aca="false">SUMIF(Work!$C$6:$C$125,41,Work!$CD$6:$CD$125)</f>
        <v>0</v>
      </c>
      <c r="C167" s="36" t="n">
        <f aca="false">SUMIF(Work!$C$6:$C$125,41,Work!$AU$6:$AU$125)</f>
        <v>0</v>
      </c>
      <c r="D167" s="36" t="n">
        <f aca="false">SUMIF(Work!$C$6:$C$125,41,Work!$CG$6:$CG$125)</f>
        <v>0</v>
      </c>
      <c r="E167" s="36" t="str">
        <f aca="false">IF($B167&gt;0,$C167/$B167,"")</f>
        <v/>
      </c>
      <c r="F167" s="36" t="n">
        <f aca="false">IF($B167&gt;1,SQRT(MAX(0,($D167-$C167^2/$B167)/($B167-1))),0)</f>
        <v>0</v>
      </c>
      <c r="G167" s="36" t="n">
        <f aca="false">IF($B167&gt;1,$F167/SQRT($B167),0)</f>
        <v>0</v>
      </c>
      <c r="H167" s="36" t="n">
        <f aca="false">SUMIF(Work!$C$6:$C$125,41,Work!$CE$6:$CE$125)</f>
        <v>0</v>
      </c>
      <c r="I167" s="36" t="n">
        <f aca="false">SUMIF(Work!$C$6:$C$125,41,Work!$CF$6:$CF$125)</f>
        <v>0</v>
      </c>
      <c r="J167" s="36" t="n">
        <f aca="false">IF(ISNUMBER(Setup!$I$41),Setup!$I$41,0)</f>
        <v>0</v>
      </c>
    </row>
    <row r="168" customFormat="false" ht="15" hidden="false" customHeight="false" outlineLevel="0" collapsed="false">
      <c r="A168" s="36" t="str">
        <f aca="false">IF(Setup!$A$42="","",Setup!$A$42)</f>
        <v>Ace Lin</v>
      </c>
      <c r="B168" s="19" t="n">
        <f aca="false">SUMIF(Work!$C$6:$C$125,42,Work!$CD$6:$CD$125)</f>
        <v>0</v>
      </c>
      <c r="C168" s="36" t="n">
        <f aca="false">SUMIF(Work!$C$6:$C$125,42,Work!$AU$6:$AU$125)</f>
        <v>0</v>
      </c>
      <c r="D168" s="36" t="n">
        <f aca="false">SUMIF(Work!$C$6:$C$125,42,Work!$CG$6:$CG$125)</f>
        <v>0</v>
      </c>
      <c r="E168" s="36" t="str">
        <f aca="false">IF($B168&gt;0,$C168/$B168,"")</f>
        <v/>
      </c>
      <c r="F168" s="36" t="n">
        <f aca="false">IF($B168&gt;1,SQRT(MAX(0,($D168-$C168^2/$B168)/($B168-1))),0)</f>
        <v>0</v>
      </c>
      <c r="G168" s="36" t="n">
        <f aca="false">IF($B168&gt;1,$F168/SQRT($B168),0)</f>
        <v>0</v>
      </c>
      <c r="H168" s="36" t="n">
        <f aca="false">SUMIF(Work!$C$6:$C$125,42,Work!$CE$6:$CE$125)</f>
        <v>0</v>
      </c>
      <c r="I168" s="36" t="n">
        <f aca="false">SUMIF(Work!$C$6:$C$125,42,Work!$CF$6:$CF$125)</f>
        <v>0</v>
      </c>
      <c r="J168" s="36" t="n">
        <f aca="false">IF(ISNUMBER(Setup!$I$42),Setup!$I$42,0)</f>
        <v>0</v>
      </c>
    </row>
    <row r="169" customFormat="false" ht="15" hidden="false" customHeight="false" outlineLevel="0" collapsed="false">
      <c r="A169" s="36" t="str">
        <f aca="false">IF(Setup!$A$43="","",Setup!$A$43)</f>
        <v>Ace Drift</v>
      </c>
      <c r="B169" s="19" t="n">
        <f aca="false">SUMIF(Work!$C$6:$C$125,43,Work!$CD$6:$CD$125)</f>
        <v>0</v>
      </c>
      <c r="C169" s="36" t="n">
        <f aca="false">SUMIF(Work!$C$6:$C$125,43,Work!$AU$6:$AU$125)</f>
        <v>0</v>
      </c>
      <c r="D169" s="36" t="n">
        <f aca="false">SUMIF(Work!$C$6:$C$125,43,Work!$CG$6:$CG$125)</f>
        <v>0</v>
      </c>
      <c r="E169" s="36" t="str">
        <f aca="false">IF($B169&gt;0,$C169/$B169,"")</f>
        <v/>
      </c>
      <c r="F169" s="36" t="n">
        <f aca="false">IF($B169&gt;1,SQRT(MAX(0,($D169-$C169^2/$B169)/($B169-1))),0)</f>
        <v>0</v>
      </c>
      <c r="G169" s="36" t="n">
        <f aca="false">IF($B169&gt;1,$F169/SQRT($B169),0)</f>
        <v>0</v>
      </c>
      <c r="H169" s="36" t="n">
        <f aca="false">SUMIF(Work!$C$6:$C$125,43,Work!$CE$6:$CE$125)</f>
        <v>0</v>
      </c>
      <c r="I169" s="36" t="n">
        <f aca="false">SUMIF(Work!$C$6:$C$125,43,Work!$CF$6:$CF$125)</f>
        <v>0</v>
      </c>
      <c r="J169" s="36" t="n">
        <f aca="false">IF(ISNUMBER(Setup!$I$43),Setup!$I$43,0)</f>
        <v>0</v>
      </c>
    </row>
    <row r="170" customFormat="false" ht="15" hidden="false" customHeight="false" outlineLevel="0" collapsed="false">
      <c r="A170" s="36" t="str">
        <f aca="false">IF(Setup!$A$44="","",Setup!$A$44)</f>
        <v>Ace Bypass</v>
      </c>
      <c r="B170" s="19" t="n">
        <f aca="false">SUMIF(Work!$C$6:$C$125,44,Work!$CD$6:$CD$125)</f>
        <v>0</v>
      </c>
      <c r="C170" s="36" t="n">
        <f aca="false">SUMIF(Work!$C$6:$C$125,44,Work!$AU$6:$AU$125)</f>
        <v>0</v>
      </c>
      <c r="D170" s="36" t="n">
        <f aca="false">SUMIF(Work!$C$6:$C$125,44,Work!$CG$6:$CG$125)</f>
        <v>0</v>
      </c>
      <c r="E170" s="36" t="str">
        <f aca="false">IF($B170&gt;0,$C170/$B170,"")</f>
        <v/>
      </c>
      <c r="F170" s="36" t="n">
        <f aca="false">IF($B170&gt;1,SQRT(MAX(0,($D170-$C170^2/$B170)/($B170-1))),0)</f>
        <v>0</v>
      </c>
      <c r="G170" s="36" t="n">
        <f aca="false">IF($B170&gt;1,$F170/SQRT($B170),0)</f>
        <v>0</v>
      </c>
      <c r="H170" s="36" t="n">
        <f aca="false">SUMIF(Work!$C$6:$C$125,44,Work!$CE$6:$CE$125)</f>
        <v>0</v>
      </c>
      <c r="I170" s="36" t="n">
        <f aca="false">SUMIF(Work!$C$6:$C$125,44,Work!$CF$6:$CF$125)</f>
        <v>0</v>
      </c>
      <c r="J170" s="36" t="n">
        <f aca="false">IF(ISNUMBER(Setup!$I$44),Setup!$I$44,0)</f>
        <v>0</v>
      </c>
    </row>
    <row r="171" customFormat="false" ht="15" hidden="false" customHeight="false" outlineLevel="0" collapsed="false">
      <c r="A171" s="36" t="str">
        <f aca="false">IF(Setup!$A$45="","",Setup!$A$45)</f>
        <v>Blank Capsule</v>
      </c>
      <c r="B171" s="19" t="n">
        <f aca="false">SUMIF(Work!$C$6:$C$125,45,Work!$CD$6:$CD$125)</f>
        <v>0</v>
      </c>
      <c r="C171" s="36" t="n">
        <f aca="false">SUMIF(Work!$C$6:$C$125,45,Work!$AU$6:$AU$125)</f>
        <v>0</v>
      </c>
      <c r="D171" s="36" t="n">
        <f aca="false">SUMIF(Work!$C$6:$C$125,45,Work!$CG$6:$CG$125)</f>
        <v>0</v>
      </c>
      <c r="E171" s="36" t="str">
        <f aca="false">IF($B171&gt;0,$C171/$B171,"")</f>
        <v/>
      </c>
      <c r="F171" s="36" t="n">
        <f aca="false">IF($B171&gt;1,SQRT(MAX(0,($D171-$C171^2/$B171)/($B171-1))),0)</f>
        <v>0</v>
      </c>
      <c r="G171" s="36" t="n">
        <f aca="false">IF($B171&gt;1,$F171/SQRT($B171),0)</f>
        <v>0</v>
      </c>
      <c r="H171" s="36" t="n">
        <f aca="false">SUMIF(Work!$C$6:$C$125,45,Work!$CE$6:$CE$125)</f>
        <v>0</v>
      </c>
      <c r="I171" s="36" t="n">
        <f aca="false">SUMIF(Work!$C$6:$C$125,45,Work!$CF$6:$CF$125)</f>
        <v>0</v>
      </c>
      <c r="J171" s="36" t="n">
        <f aca="false">IF(ISNUMBER(Setup!$I$45),Setup!$I$45,0)</f>
        <v>0</v>
      </c>
    </row>
    <row r="172" customFormat="false" ht="15" hidden="false" customHeight="false" outlineLevel="0" collapsed="false">
      <c r="A172" s="36" t="str">
        <f aca="false">IF(Setup!$A$46="","",Setup!$A$46)</f>
        <v>Blank Hole</v>
      </c>
      <c r="B172" s="19" t="n">
        <f aca="false">SUMIF(Work!$C$6:$C$125,46,Work!$CD$6:$CD$125)</f>
        <v>0</v>
      </c>
      <c r="C172" s="36" t="n">
        <f aca="false">SUMIF(Work!$C$6:$C$125,46,Work!$AU$6:$AU$125)</f>
        <v>0</v>
      </c>
      <c r="D172" s="36" t="n">
        <f aca="false">SUMIF(Work!$C$6:$C$125,46,Work!$CG$6:$CG$125)</f>
        <v>0</v>
      </c>
      <c r="E172" s="36" t="str">
        <f aca="false">IF($B172&gt;0,$C172/$B172,"")</f>
        <v/>
      </c>
      <c r="F172" s="36" t="n">
        <f aca="false">IF($B172&gt;1,SQRT(MAX(0,($D172-$C172^2/$B172)/($B172-1))),0)</f>
        <v>0</v>
      </c>
      <c r="G172" s="36" t="n">
        <f aca="false">IF($B172&gt;1,$F172/SQRT($B172),0)</f>
        <v>0</v>
      </c>
      <c r="H172" s="36" t="n">
        <f aca="false">SUMIF(Work!$C$6:$C$125,46,Work!$CE$6:$CE$125)</f>
        <v>0</v>
      </c>
      <c r="I172" s="36" t="n">
        <f aca="false">SUMIF(Work!$C$6:$C$125,46,Work!$CF$6:$CF$125)</f>
        <v>0</v>
      </c>
      <c r="J172" s="36" t="n">
        <f aca="false">IF(ISNUMBER(Setup!$I$46),Setup!$I$46,0)</f>
        <v>0</v>
      </c>
    </row>
    <row r="173" customFormat="false" ht="15" hidden="false" customHeight="false" outlineLevel="0" collapsed="false">
      <c r="A173" s="36" t="str">
        <f aca="false">IF(Setup!$A$47="","",Setup!$A$47)</f>
        <v/>
      </c>
      <c r="B173" s="19" t="n">
        <f aca="false">SUMIF(Work!$C$6:$C$125,47,Work!$CD$6:$CD$125)</f>
        <v>0</v>
      </c>
      <c r="C173" s="36" t="n">
        <f aca="false">SUMIF(Work!$C$6:$C$125,47,Work!$AU$6:$AU$125)</f>
        <v>0</v>
      </c>
      <c r="D173" s="36" t="n">
        <f aca="false">SUMIF(Work!$C$6:$C$125,47,Work!$CG$6:$CG$125)</f>
        <v>0</v>
      </c>
      <c r="E173" s="36" t="str">
        <f aca="false">IF($B173&gt;0,$C173/$B173,"")</f>
        <v/>
      </c>
      <c r="F173" s="36" t="n">
        <f aca="false">IF($B173&gt;1,SQRT(MAX(0,($D173-$C173^2/$B173)/($B173-1))),0)</f>
        <v>0</v>
      </c>
      <c r="G173" s="36" t="n">
        <f aca="false">IF($B173&gt;1,$F173/SQRT($B173),0)</f>
        <v>0</v>
      </c>
      <c r="H173" s="36" t="n">
        <f aca="false">SUMIF(Work!$C$6:$C$125,47,Work!$CE$6:$CE$125)</f>
        <v>0</v>
      </c>
      <c r="I173" s="36" t="n">
        <f aca="false">SUMIF(Work!$C$6:$C$125,47,Work!$CF$6:$CF$125)</f>
        <v>0</v>
      </c>
      <c r="J173" s="36" t="n">
        <f aca="false">IF(ISNUMBER(Setup!$I$47),Setup!$I$47,0)</f>
        <v>0</v>
      </c>
    </row>
    <row r="174" customFormat="false" ht="15" hidden="false" customHeight="false" outlineLevel="0" collapsed="false">
      <c r="A174" s="36" t="str">
        <f aca="false">IF(Setup!$A$48="","",Setup!$A$48)</f>
        <v/>
      </c>
      <c r="B174" s="19" t="n">
        <f aca="false">SUMIF(Work!$C$6:$C$125,48,Work!$CD$6:$CD$125)</f>
        <v>0</v>
      </c>
      <c r="C174" s="36" t="n">
        <f aca="false">SUMIF(Work!$C$6:$C$125,48,Work!$AU$6:$AU$125)</f>
        <v>0</v>
      </c>
      <c r="D174" s="36" t="n">
        <f aca="false">SUMIF(Work!$C$6:$C$125,48,Work!$CG$6:$CG$125)</f>
        <v>0</v>
      </c>
      <c r="E174" s="36" t="str">
        <f aca="false">IF($B174&gt;0,$C174/$B174,"")</f>
        <v/>
      </c>
      <c r="F174" s="36" t="n">
        <f aca="false">IF($B174&gt;1,SQRT(MAX(0,($D174-$C174^2/$B174)/($B174-1))),0)</f>
        <v>0</v>
      </c>
      <c r="G174" s="36" t="n">
        <f aca="false">IF($B174&gt;1,$F174/SQRT($B174),0)</f>
        <v>0</v>
      </c>
      <c r="H174" s="36" t="n">
        <f aca="false">SUMIF(Work!$C$6:$C$125,48,Work!$CE$6:$CE$125)</f>
        <v>0</v>
      </c>
      <c r="I174" s="36" t="n">
        <f aca="false">SUMIF(Work!$C$6:$C$125,48,Work!$CF$6:$CF$125)</f>
        <v>0</v>
      </c>
      <c r="J174" s="36" t="n">
        <f aca="false">IF(ISNUMBER(Setup!$I$48),Setup!$I$48,0)</f>
        <v>0</v>
      </c>
    </row>
    <row r="175" customFormat="false" ht="15" hidden="false" customHeight="false" outlineLevel="0" collapsed="false">
      <c r="A175" s="36" t="str">
        <f aca="false">IF(Setup!$A$49="","",Setup!$A$49)</f>
        <v/>
      </c>
      <c r="B175" s="19" t="n">
        <f aca="false">SUMIF(Work!$C$6:$C$125,49,Work!$CD$6:$CD$125)</f>
        <v>0</v>
      </c>
      <c r="C175" s="36" t="n">
        <f aca="false">SUMIF(Work!$C$6:$C$125,49,Work!$AU$6:$AU$125)</f>
        <v>0</v>
      </c>
      <c r="D175" s="36" t="n">
        <f aca="false">SUMIF(Work!$C$6:$C$125,49,Work!$CG$6:$CG$125)</f>
        <v>0</v>
      </c>
      <c r="E175" s="36" t="str">
        <f aca="false">IF($B175&gt;0,$C175/$B175,"")</f>
        <v/>
      </c>
      <c r="F175" s="36" t="n">
        <f aca="false">IF($B175&gt;1,SQRT(MAX(0,($D175-$C175^2/$B175)/($B175-1))),0)</f>
        <v>0</v>
      </c>
      <c r="G175" s="36" t="n">
        <f aca="false">IF($B175&gt;1,$F175/SQRT($B175),0)</f>
        <v>0</v>
      </c>
      <c r="H175" s="36" t="n">
        <f aca="false">SUMIF(Work!$C$6:$C$125,49,Work!$CE$6:$CE$125)</f>
        <v>0</v>
      </c>
      <c r="I175" s="36" t="n">
        <f aca="false">SUMIF(Work!$C$6:$C$125,49,Work!$CF$6:$CF$125)</f>
        <v>0</v>
      </c>
      <c r="J175" s="36" t="n">
        <f aca="false">IF(ISNUMBER(Setup!$I$49),Setup!$I$49,0)</f>
        <v>0</v>
      </c>
    </row>
    <row r="176" customFormat="false" ht="15" hidden="false" customHeight="false" outlineLevel="0" collapsed="false">
      <c r="A176" s="5" t="s">
        <v>608</v>
      </c>
    </row>
    <row r="181" customFormat="false" ht="15" hidden="false" customHeight="false" outlineLevel="0" collapsed="false">
      <c r="A181" s="27" t="s">
        <v>609</v>
      </c>
      <c r="B181" s="28"/>
      <c r="C181" s="28"/>
      <c r="D181" s="28"/>
    </row>
    <row r="182" customFormat="false" ht="22.35" hidden="false" customHeight="false" outlineLevel="0" collapsed="false">
      <c r="A182" s="6" t="s">
        <v>313</v>
      </c>
      <c r="B182" s="6" t="s">
        <v>599</v>
      </c>
      <c r="C182" s="6" t="s">
        <v>600</v>
      </c>
      <c r="D182" s="6" t="s">
        <v>601</v>
      </c>
      <c r="E182" s="6" t="s">
        <v>602</v>
      </c>
      <c r="F182" s="6" t="s">
        <v>603</v>
      </c>
      <c r="G182" s="6" t="s">
        <v>604</v>
      </c>
      <c r="H182" s="6" t="s">
        <v>605</v>
      </c>
      <c r="I182" s="6" t="s">
        <v>606</v>
      </c>
      <c r="J182" s="6" t="s">
        <v>607</v>
      </c>
    </row>
    <row r="183" customFormat="false" ht="15" hidden="false" customHeight="false" outlineLevel="0" collapsed="false">
      <c r="A183" s="36" t="str">
        <f aca="false">IF(Setup!$A$37="","",Setup!$A$37)</f>
        <v>USGS 64</v>
      </c>
      <c r="B183" s="19" t="n">
        <f aca="false">SUMIF(Work!$C$6:$C$125,37,Work!$CH$6:$CH$125)</f>
        <v>3</v>
      </c>
      <c r="C183" s="36" t="n">
        <f aca="false">SUMIF(Work!$C$6:$C$125,37,Work!$AW$6:$AW$125)</f>
        <v>-70.4561958347794</v>
      </c>
      <c r="D183" s="36" t="n">
        <f aca="false">SUMIF(Work!$C$6:$C$125,37,Work!$CK$6:$CK$125)</f>
        <v>1654.69268937559</v>
      </c>
      <c r="E183" s="36" t="n">
        <f aca="false">IF($B183&gt;0,$C183/$B183,"")</f>
        <v>-23.4853986115931</v>
      </c>
      <c r="F183" s="36" t="n">
        <f aca="false">IF($B183&gt;1,SQRT(MAX(0,($D183-$C183^2/$B183)/($B183-1))),0)</f>
        <v>0.0205613633443309</v>
      </c>
      <c r="G183" s="36" t="n">
        <f aca="false">IF($B183&gt;1,$F183/SQRT($B183),0)</f>
        <v>0.0118711086617551</v>
      </c>
      <c r="H183" s="36" t="n">
        <f aca="false">SUMIF(Work!$C$6:$C$125,37,Work!$CI$6:$CI$125)</f>
        <v>-30.3504387067888</v>
      </c>
      <c r="I183" s="36" t="n">
        <f aca="false">SUMIF(Work!$C$6:$C$125,37,Work!$CJ$6:$CJ$125)</f>
        <v>30.7798306852242</v>
      </c>
      <c r="J183" s="36" t="n">
        <f aca="false">IF(ISNUMBER(Setup!$H$37),Setup!$H$37,0)</f>
        <v>0.04</v>
      </c>
    </row>
    <row r="184" customFormat="false" ht="15" hidden="false" customHeight="false" outlineLevel="0" collapsed="false">
      <c r="A184" s="36" t="str">
        <f aca="false">IF(Setup!$A$38="","",Setup!$A$38)</f>
        <v>USGS 65</v>
      </c>
      <c r="B184" s="19" t="n">
        <f aca="false">SUMIF(Work!$C$6:$C$125,38,Work!$CH$6:$CH$125)</f>
        <v>3</v>
      </c>
      <c r="C184" s="36" t="n">
        <f aca="false">SUMIF(Work!$C$6:$C$125,38,Work!$AW$6:$AW$125)</f>
        <v>-9.75531842120179</v>
      </c>
      <c r="D184" s="36" t="n">
        <f aca="false">SUMIF(Work!$C$6:$C$125,38,Work!$CK$6:$CK$125)</f>
        <v>31.7229226522251</v>
      </c>
      <c r="E184" s="36" t="n">
        <f aca="false">IF($B184&gt;0,$C184/$B184,"")</f>
        <v>-3.25177280706726</v>
      </c>
      <c r="F184" s="36" t="n">
        <f aca="false">IF($B184&gt;1,SQRT(MAX(0,($D184-$C184^2/$B184)/($B184-1))),0)</f>
        <v>0.0205363808744706</v>
      </c>
      <c r="G184" s="36" t="n">
        <f aca="false">IF($B184&gt;1,$F184/SQRT($B184),0)</f>
        <v>0.0118566850260563</v>
      </c>
      <c r="H184" s="36" t="n">
        <f aca="false">SUMIF(Work!$C$6:$C$125,38,Work!$CI$6:$CI$125)</f>
        <v>30.3504387067888</v>
      </c>
      <c r="I184" s="36" t="n">
        <f aca="false">SUMIF(Work!$C$6:$C$125,38,Work!$CJ$6:$CJ$125)</f>
        <v>-30.7798306852242</v>
      </c>
      <c r="J184" s="36" t="n">
        <f aca="false">IF(ISNUMBER(Setup!$H$38),Setup!$H$38,0)</f>
        <v>0.04</v>
      </c>
    </row>
    <row r="185" customFormat="false" ht="15" hidden="false" customHeight="false" outlineLevel="0" collapsed="false">
      <c r="A185" s="36" t="str">
        <f aca="false">IF(Setup!$A$39="","",Setup!$A$39)</f>
        <v>USGS 66</v>
      </c>
      <c r="B185" s="19" t="n">
        <f aca="false">SUMIF(Work!$C$6:$C$125,39,Work!$CH$6:$CH$125)</f>
        <v>0</v>
      </c>
      <c r="C185" s="36" t="n">
        <f aca="false">SUMIF(Work!$C$6:$C$125,39,Work!$AW$6:$AW$125)</f>
        <v>0</v>
      </c>
      <c r="D185" s="36" t="n">
        <f aca="false">SUMIF(Work!$C$6:$C$125,39,Work!$CK$6:$CK$125)</f>
        <v>0</v>
      </c>
      <c r="E185" s="36" t="str">
        <f aca="false">IF($B185&gt;0,$C185/$B185,"")</f>
        <v/>
      </c>
      <c r="F185" s="36" t="n">
        <f aca="false">IF($B185&gt;1,SQRT(MAX(0,($D185-$C185^2/$B185)/($B185-1))),0)</f>
        <v>0</v>
      </c>
      <c r="G185" s="36" t="n">
        <f aca="false">IF($B185&gt;1,$F185/SQRT($B185),0)</f>
        <v>0</v>
      </c>
      <c r="H185" s="36" t="n">
        <f aca="false">SUMIF(Work!$C$6:$C$125,39,Work!$CI$6:$CI$125)</f>
        <v>0</v>
      </c>
      <c r="I185" s="36" t="n">
        <f aca="false">SUMIF(Work!$C$6:$C$125,39,Work!$CJ$6:$CJ$125)</f>
        <v>0</v>
      </c>
      <c r="J185" s="36" t="n">
        <f aca="false">IF(ISNUMBER(Setup!$H$39),Setup!$H$39,0)</f>
        <v>0.04</v>
      </c>
    </row>
    <row r="186" customFormat="false" ht="15" hidden="false" customHeight="false" outlineLevel="0" collapsed="false">
      <c r="A186" s="36" t="str">
        <f aca="false">IF(Setup!$A$40="","",Setup!$A$40)</f>
        <v>USGS 40</v>
      </c>
      <c r="B186" s="19" t="n">
        <f aca="false">SUMIF(Work!$C$6:$C$125,40,Work!$CH$6:$CH$125)</f>
        <v>0</v>
      </c>
      <c r="C186" s="36" t="n">
        <f aca="false">SUMIF(Work!$C$6:$C$125,40,Work!$AW$6:$AW$125)</f>
        <v>0</v>
      </c>
      <c r="D186" s="36" t="n">
        <f aca="false">SUMIF(Work!$C$6:$C$125,40,Work!$CK$6:$CK$125)</f>
        <v>0</v>
      </c>
      <c r="E186" s="36" t="str">
        <f aca="false">IF($B186&gt;0,$C186/$B186,"")</f>
        <v/>
      </c>
      <c r="F186" s="36" t="n">
        <f aca="false">IF($B186&gt;1,SQRT(MAX(0,($D186-$C186^2/$B186)/($B186-1))),0)</f>
        <v>0</v>
      </c>
      <c r="G186" s="36" t="n">
        <f aca="false">IF($B186&gt;1,$F186/SQRT($B186),0)</f>
        <v>0</v>
      </c>
      <c r="H186" s="36" t="n">
        <f aca="false">SUMIF(Work!$C$6:$C$125,40,Work!$CI$6:$CI$125)</f>
        <v>0</v>
      </c>
      <c r="I186" s="36" t="n">
        <f aca="false">SUMIF(Work!$C$6:$C$125,40,Work!$CJ$6:$CJ$125)</f>
        <v>0</v>
      </c>
      <c r="J186" s="36" t="n">
        <f aca="false">IF(ISNUMBER(Setup!$H$40),Setup!$H$40,0)</f>
        <v>0</v>
      </c>
    </row>
    <row r="187" customFormat="false" ht="15" hidden="false" customHeight="false" outlineLevel="0" collapsed="false">
      <c r="A187" s="36" t="str">
        <f aca="false">IF(Setup!$A$41="","",Setup!$A$41)</f>
        <v>USGS 41a</v>
      </c>
      <c r="B187" s="19" t="n">
        <f aca="false">SUMIF(Work!$C$6:$C$125,41,Work!$CH$6:$CH$125)</f>
        <v>0</v>
      </c>
      <c r="C187" s="36" t="n">
        <f aca="false">SUMIF(Work!$C$6:$C$125,41,Work!$AW$6:$AW$125)</f>
        <v>0</v>
      </c>
      <c r="D187" s="36" t="n">
        <f aca="false">SUMIF(Work!$C$6:$C$125,41,Work!$CK$6:$CK$125)</f>
        <v>0</v>
      </c>
      <c r="E187" s="36" t="str">
        <f aca="false">IF($B187&gt;0,$C187/$B187,"")</f>
        <v/>
      </c>
      <c r="F187" s="36" t="n">
        <f aca="false">IF($B187&gt;1,SQRT(MAX(0,($D187-$C187^2/$B187)/($B187-1))),0)</f>
        <v>0</v>
      </c>
      <c r="G187" s="36" t="n">
        <f aca="false">IF($B187&gt;1,$F187/SQRT($B187),0)</f>
        <v>0</v>
      </c>
      <c r="H187" s="36" t="n">
        <f aca="false">SUMIF(Work!$C$6:$C$125,41,Work!$CI$6:$CI$125)</f>
        <v>0</v>
      </c>
      <c r="I187" s="36" t="n">
        <f aca="false">SUMIF(Work!$C$6:$C$125,41,Work!$CJ$6:$CJ$125)</f>
        <v>0</v>
      </c>
      <c r="J187" s="36" t="n">
        <f aca="false">IF(ISNUMBER(Setup!$H$41),Setup!$H$41,0)</f>
        <v>0</v>
      </c>
    </row>
    <row r="188" customFormat="false" ht="15" hidden="false" customHeight="false" outlineLevel="0" collapsed="false">
      <c r="A188" s="36" t="str">
        <f aca="false">IF(Setup!$A$42="","",Setup!$A$42)</f>
        <v>Ace Lin</v>
      </c>
      <c r="B188" s="19" t="n">
        <f aca="false">SUMIF(Work!$C$6:$C$125,42,Work!$CH$6:$CH$125)</f>
        <v>0</v>
      </c>
      <c r="C188" s="36" t="n">
        <f aca="false">SUMIF(Work!$C$6:$C$125,42,Work!$AW$6:$AW$125)</f>
        <v>0</v>
      </c>
      <c r="D188" s="36" t="n">
        <f aca="false">SUMIF(Work!$C$6:$C$125,42,Work!$CK$6:$CK$125)</f>
        <v>0</v>
      </c>
      <c r="E188" s="36" t="str">
        <f aca="false">IF($B188&gt;0,$C188/$B188,"")</f>
        <v/>
      </c>
      <c r="F188" s="36" t="n">
        <f aca="false">IF($B188&gt;1,SQRT(MAX(0,($D188-$C188^2/$B188)/($B188-1))),0)</f>
        <v>0</v>
      </c>
      <c r="G188" s="36" t="n">
        <f aca="false">IF($B188&gt;1,$F188/SQRT($B188),0)</f>
        <v>0</v>
      </c>
      <c r="H188" s="36" t="n">
        <f aca="false">SUMIF(Work!$C$6:$C$125,42,Work!$CI$6:$CI$125)</f>
        <v>0</v>
      </c>
      <c r="I188" s="36" t="n">
        <f aca="false">SUMIF(Work!$C$6:$C$125,42,Work!$CJ$6:$CJ$125)</f>
        <v>0</v>
      </c>
      <c r="J188" s="36" t="n">
        <f aca="false">IF(ISNUMBER(Setup!$H$42),Setup!$H$42,0)</f>
        <v>0</v>
      </c>
    </row>
    <row r="189" customFormat="false" ht="15" hidden="false" customHeight="false" outlineLevel="0" collapsed="false">
      <c r="A189" s="36" t="str">
        <f aca="false">IF(Setup!$A$43="","",Setup!$A$43)</f>
        <v>Ace Drift</v>
      </c>
      <c r="B189" s="19" t="n">
        <f aca="false">SUMIF(Work!$C$6:$C$125,43,Work!$CH$6:$CH$125)</f>
        <v>0</v>
      </c>
      <c r="C189" s="36" t="n">
        <f aca="false">SUMIF(Work!$C$6:$C$125,43,Work!$AW$6:$AW$125)</f>
        <v>0</v>
      </c>
      <c r="D189" s="36" t="n">
        <f aca="false">SUMIF(Work!$C$6:$C$125,43,Work!$CK$6:$CK$125)</f>
        <v>0</v>
      </c>
      <c r="E189" s="36" t="str">
        <f aca="false">IF($B189&gt;0,$C189/$B189,"")</f>
        <v/>
      </c>
      <c r="F189" s="36" t="n">
        <f aca="false">IF($B189&gt;1,SQRT(MAX(0,($D189-$C189^2/$B189)/($B189-1))),0)</f>
        <v>0</v>
      </c>
      <c r="G189" s="36" t="n">
        <f aca="false">IF($B189&gt;1,$F189/SQRT($B189),0)</f>
        <v>0</v>
      </c>
      <c r="H189" s="36" t="n">
        <f aca="false">SUMIF(Work!$C$6:$C$125,43,Work!$CI$6:$CI$125)</f>
        <v>0</v>
      </c>
      <c r="I189" s="36" t="n">
        <f aca="false">SUMIF(Work!$C$6:$C$125,43,Work!$CJ$6:$CJ$125)</f>
        <v>0</v>
      </c>
      <c r="J189" s="36" t="n">
        <f aca="false">IF(ISNUMBER(Setup!$H$43),Setup!$H$43,0)</f>
        <v>0</v>
      </c>
    </row>
    <row r="190" customFormat="false" ht="15" hidden="false" customHeight="false" outlineLevel="0" collapsed="false">
      <c r="A190" s="36" t="str">
        <f aca="false">IF(Setup!$A$44="","",Setup!$A$44)</f>
        <v>Ace Bypass</v>
      </c>
      <c r="B190" s="19" t="n">
        <f aca="false">SUMIF(Work!$C$6:$C$125,44,Work!$CH$6:$CH$125)</f>
        <v>0</v>
      </c>
      <c r="C190" s="36" t="n">
        <f aca="false">SUMIF(Work!$C$6:$C$125,44,Work!$AW$6:$AW$125)</f>
        <v>0</v>
      </c>
      <c r="D190" s="36" t="n">
        <f aca="false">SUMIF(Work!$C$6:$C$125,44,Work!$CK$6:$CK$125)</f>
        <v>0</v>
      </c>
      <c r="E190" s="36" t="str">
        <f aca="false">IF($B190&gt;0,$C190/$B190,"")</f>
        <v/>
      </c>
      <c r="F190" s="36" t="n">
        <f aca="false">IF($B190&gt;1,SQRT(MAX(0,($D190-$C190^2/$B190)/($B190-1))),0)</f>
        <v>0</v>
      </c>
      <c r="G190" s="36" t="n">
        <f aca="false">IF($B190&gt;1,$F190/SQRT($B190),0)</f>
        <v>0</v>
      </c>
      <c r="H190" s="36" t="n">
        <f aca="false">SUMIF(Work!$C$6:$C$125,44,Work!$CI$6:$CI$125)</f>
        <v>0</v>
      </c>
      <c r="I190" s="36" t="n">
        <f aca="false">SUMIF(Work!$C$6:$C$125,44,Work!$CJ$6:$CJ$125)</f>
        <v>0</v>
      </c>
      <c r="J190" s="36" t="n">
        <f aca="false">IF(ISNUMBER(Setup!$H$44),Setup!$H$44,0)</f>
        <v>0</v>
      </c>
    </row>
    <row r="191" customFormat="false" ht="15" hidden="false" customHeight="false" outlineLevel="0" collapsed="false">
      <c r="A191" s="36" t="str">
        <f aca="false">IF(Setup!$A$45="","",Setup!$A$45)</f>
        <v>Blank Capsule</v>
      </c>
      <c r="B191" s="19" t="n">
        <f aca="false">SUMIF(Work!$C$6:$C$125,45,Work!$CH$6:$CH$125)</f>
        <v>0</v>
      </c>
      <c r="C191" s="36" t="n">
        <f aca="false">SUMIF(Work!$C$6:$C$125,45,Work!$AW$6:$AW$125)</f>
        <v>0</v>
      </c>
      <c r="D191" s="36" t="n">
        <f aca="false">SUMIF(Work!$C$6:$C$125,45,Work!$CK$6:$CK$125)</f>
        <v>0</v>
      </c>
      <c r="E191" s="36" t="str">
        <f aca="false">IF($B191&gt;0,$C191/$B191,"")</f>
        <v/>
      </c>
      <c r="F191" s="36" t="n">
        <f aca="false">IF($B191&gt;1,SQRT(MAX(0,($D191-$C191^2/$B191)/($B191-1))),0)</f>
        <v>0</v>
      </c>
      <c r="G191" s="36" t="n">
        <f aca="false">IF($B191&gt;1,$F191/SQRT($B191),0)</f>
        <v>0</v>
      </c>
      <c r="H191" s="36" t="n">
        <f aca="false">SUMIF(Work!$C$6:$C$125,45,Work!$CI$6:$CI$125)</f>
        <v>0</v>
      </c>
      <c r="I191" s="36" t="n">
        <f aca="false">SUMIF(Work!$C$6:$C$125,45,Work!$CJ$6:$CJ$125)</f>
        <v>0</v>
      </c>
      <c r="J191" s="36" t="n">
        <f aca="false">IF(ISNUMBER(Setup!$H$45),Setup!$H$45,0)</f>
        <v>0</v>
      </c>
    </row>
    <row r="192" customFormat="false" ht="15" hidden="false" customHeight="false" outlineLevel="0" collapsed="false">
      <c r="A192" s="36" t="str">
        <f aca="false">IF(Setup!$A$46="","",Setup!$A$46)</f>
        <v>Blank Hole</v>
      </c>
      <c r="B192" s="19" t="n">
        <f aca="false">SUMIF(Work!$C$6:$C$125,46,Work!$CH$6:$CH$125)</f>
        <v>0</v>
      </c>
      <c r="C192" s="36" t="n">
        <f aca="false">SUMIF(Work!$C$6:$C$125,46,Work!$AW$6:$AW$125)</f>
        <v>0</v>
      </c>
      <c r="D192" s="36" t="n">
        <f aca="false">SUMIF(Work!$C$6:$C$125,46,Work!$CK$6:$CK$125)</f>
        <v>0</v>
      </c>
      <c r="E192" s="36" t="str">
        <f aca="false">IF($B192&gt;0,$C192/$B192,"")</f>
        <v/>
      </c>
      <c r="F192" s="36" t="n">
        <f aca="false">IF($B192&gt;1,SQRT(MAX(0,($D192-$C192^2/$B192)/($B192-1))),0)</f>
        <v>0</v>
      </c>
      <c r="G192" s="36" t="n">
        <f aca="false">IF($B192&gt;1,$F192/SQRT($B192),0)</f>
        <v>0</v>
      </c>
      <c r="H192" s="36" t="n">
        <f aca="false">SUMIF(Work!$C$6:$C$125,46,Work!$CI$6:$CI$125)</f>
        <v>0</v>
      </c>
      <c r="I192" s="36" t="n">
        <f aca="false">SUMIF(Work!$C$6:$C$125,46,Work!$CJ$6:$CJ$125)</f>
        <v>0</v>
      </c>
      <c r="J192" s="36" t="n">
        <f aca="false">IF(ISNUMBER(Setup!$H$46),Setup!$H$46,0)</f>
        <v>0</v>
      </c>
    </row>
    <row r="193" customFormat="false" ht="15" hidden="false" customHeight="false" outlineLevel="0" collapsed="false">
      <c r="A193" s="36" t="str">
        <f aca="false">IF(Setup!$A$47="","",Setup!$A$47)</f>
        <v/>
      </c>
      <c r="B193" s="19" t="n">
        <f aca="false">SUMIF(Work!$C$6:$C$125,47,Work!$CH$6:$CH$125)</f>
        <v>0</v>
      </c>
      <c r="C193" s="36" t="n">
        <f aca="false">SUMIF(Work!$C$6:$C$125,47,Work!$AW$6:$AW$125)</f>
        <v>0</v>
      </c>
      <c r="D193" s="36" t="n">
        <f aca="false">SUMIF(Work!$C$6:$C$125,47,Work!$CK$6:$CK$125)</f>
        <v>0</v>
      </c>
      <c r="E193" s="36" t="str">
        <f aca="false">IF($B193&gt;0,$C193/$B193,"")</f>
        <v/>
      </c>
      <c r="F193" s="36" t="n">
        <f aca="false">IF($B193&gt;1,SQRT(MAX(0,($D193-$C193^2/$B193)/($B193-1))),0)</f>
        <v>0</v>
      </c>
      <c r="G193" s="36" t="n">
        <f aca="false">IF($B193&gt;1,$F193/SQRT($B193),0)</f>
        <v>0</v>
      </c>
      <c r="H193" s="36" t="n">
        <f aca="false">SUMIF(Work!$C$6:$C$125,47,Work!$CI$6:$CI$125)</f>
        <v>0</v>
      </c>
      <c r="I193" s="36" t="n">
        <f aca="false">SUMIF(Work!$C$6:$C$125,47,Work!$CJ$6:$CJ$125)</f>
        <v>0</v>
      </c>
      <c r="J193" s="36" t="n">
        <f aca="false">IF(ISNUMBER(Setup!$H$47),Setup!$H$47,0)</f>
        <v>0</v>
      </c>
    </row>
    <row r="194" customFormat="false" ht="15" hidden="false" customHeight="false" outlineLevel="0" collapsed="false">
      <c r="A194" s="36" t="str">
        <f aca="false">IF(Setup!$A$48="","",Setup!$A$48)</f>
        <v/>
      </c>
      <c r="B194" s="19" t="n">
        <f aca="false">SUMIF(Work!$C$6:$C$125,48,Work!$CH$6:$CH$125)</f>
        <v>0</v>
      </c>
      <c r="C194" s="36" t="n">
        <f aca="false">SUMIF(Work!$C$6:$C$125,48,Work!$AW$6:$AW$125)</f>
        <v>0</v>
      </c>
      <c r="D194" s="36" t="n">
        <f aca="false">SUMIF(Work!$C$6:$C$125,48,Work!$CK$6:$CK$125)</f>
        <v>0</v>
      </c>
      <c r="E194" s="36" t="str">
        <f aca="false">IF($B194&gt;0,$C194/$B194,"")</f>
        <v/>
      </c>
      <c r="F194" s="36" t="n">
        <f aca="false">IF($B194&gt;1,SQRT(MAX(0,($D194-$C194^2/$B194)/($B194-1))),0)</f>
        <v>0</v>
      </c>
      <c r="G194" s="36" t="n">
        <f aca="false">IF($B194&gt;1,$F194/SQRT($B194),0)</f>
        <v>0</v>
      </c>
      <c r="H194" s="36" t="n">
        <f aca="false">SUMIF(Work!$C$6:$C$125,48,Work!$CI$6:$CI$125)</f>
        <v>0</v>
      </c>
      <c r="I194" s="36" t="n">
        <f aca="false">SUMIF(Work!$C$6:$C$125,48,Work!$CJ$6:$CJ$125)</f>
        <v>0</v>
      </c>
      <c r="J194" s="36" t="n">
        <f aca="false">IF(ISNUMBER(Setup!$H$48),Setup!$H$48,0)</f>
        <v>0</v>
      </c>
    </row>
    <row r="195" customFormat="false" ht="15" hidden="false" customHeight="false" outlineLevel="0" collapsed="false">
      <c r="A195" s="36" t="str">
        <f aca="false">IF(Setup!$A$49="","",Setup!$A$49)</f>
        <v/>
      </c>
      <c r="B195" s="19" t="n">
        <f aca="false">SUMIF(Work!$C$6:$C$125,49,Work!$CH$6:$CH$125)</f>
        <v>0</v>
      </c>
      <c r="C195" s="36" t="n">
        <f aca="false">SUMIF(Work!$C$6:$C$125,49,Work!$AW$6:$AW$125)</f>
        <v>0</v>
      </c>
      <c r="D195" s="36" t="n">
        <f aca="false">SUMIF(Work!$C$6:$C$125,49,Work!$CK$6:$CK$125)</f>
        <v>0</v>
      </c>
      <c r="E195" s="36" t="str">
        <f aca="false">IF($B195&gt;0,$C195/$B195,"")</f>
        <v/>
      </c>
      <c r="F195" s="36" t="n">
        <f aca="false">IF($B195&gt;1,SQRT(MAX(0,($D195-$C195^2/$B195)/($B195-1))),0)</f>
        <v>0</v>
      </c>
      <c r="G195" s="36" t="n">
        <f aca="false">IF($B195&gt;1,$F195/SQRT($B195),0)</f>
        <v>0</v>
      </c>
      <c r="H195" s="36" t="n">
        <f aca="false">SUMIF(Work!$C$6:$C$125,49,Work!$CI$6:$CI$125)</f>
        <v>0</v>
      </c>
      <c r="I195" s="36" t="n">
        <f aca="false">SUMIF(Work!$C$6:$C$125,49,Work!$CJ$6:$CJ$125)</f>
        <v>0</v>
      </c>
      <c r="J195" s="36" t="n">
        <f aca="false">IF(ISNUMBER(Setup!$H$49),Setup!$H$49,0)</f>
        <v>0</v>
      </c>
    </row>
    <row r="196" customFormat="false" ht="15" hidden="false" customHeight="false" outlineLevel="0" collapsed="false">
      <c r="A196" s="5" t="s">
        <v>608</v>
      </c>
    </row>
    <row r="199" customFormat="false" ht="15" hidden="false" customHeight="false" outlineLevel="0" collapsed="false">
      <c r="A199" s="27" t="s">
        <v>610</v>
      </c>
      <c r="B199" s="28"/>
      <c r="C199" s="28"/>
      <c r="D199" s="28"/>
    </row>
    <row r="200" customFormat="false" ht="15" hidden="false" customHeight="false" outlineLevel="0" collapsed="false">
      <c r="D200" s="5" t="s">
        <v>611</v>
      </c>
    </row>
    <row r="201" customFormat="false" ht="15" hidden="false" customHeight="false" outlineLevel="0" collapsed="false">
      <c r="A201" s="8" t="s">
        <v>612</v>
      </c>
      <c r="B201" s="29" t="n">
        <f aca="false">COUNT(Work!$BT$6:$BT$125)</f>
        <v>56</v>
      </c>
    </row>
    <row r="202" customFormat="false" ht="15" hidden="false" customHeight="false" outlineLevel="0" collapsed="false">
      <c r="A202" s="8" t="s">
        <v>613</v>
      </c>
      <c r="B202" s="31" t="n">
        <f aca="false">IFERROR(AVERAGE(Work!$BT$6:$BT$125),"")</f>
        <v>-1.21908928571429</v>
      </c>
    </row>
    <row r="203" customFormat="false" ht="15" hidden="false" customHeight="false" outlineLevel="0" collapsed="false">
      <c r="A203" s="8" t="s">
        <v>614</v>
      </c>
      <c r="B203" s="31" t="n">
        <f aca="false">IFERROR(STDEV(Work!$BT$6:$BT$125),"")</f>
        <v>0.0663410682583748</v>
      </c>
    </row>
    <row r="204" customFormat="false" ht="15" hidden="false" customHeight="false" outlineLevel="0" collapsed="false">
      <c r="A204" s="8" t="s">
        <v>615</v>
      </c>
      <c r="B204" s="31" t="n">
        <f aca="false">IF($B$201&lt;2,"",MAX(Work!$BT$6:$BT$125)-MIN(Work!$BT$6:$BT$125))</f>
        <v>0.285</v>
      </c>
    </row>
    <row r="205" customFormat="false" ht="15" hidden="false" customHeight="false" outlineLevel="0" collapsed="false">
      <c r="A205" s="8" t="s">
        <v>616</v>
      </c>
      <c r="B205" s="34" t="n">
        <f aca="false">IFERROR(SLOPE(Work!$BT$6:$BT$125,Work!$A$6:$A$125),"")</f>
        <v>-0.000846992481203007</v>
      </c>
    </row>
    <row r="206" customFormat="false" ht="15" hidden="false" customHeight="false" outlineLevel="0" collapsed="false">
      <c r="A206" s="8" t="s">
        <v>617</v>
      </c>
      <c r="B206" s="31" t="n">
        <f aca="false">IFERROR(TDIST(ABS($B$205/(STEYX(Work!$BT$6:$BT$125,Work!$A$6:$A$125)/SQRT(DEVSQ(Work!$CQ$6:$CQ$125)))),$B$201-2,2),"")</f>
        <v>0.123555171800926</v>
      </c>
    </row>
    <row r="208" customFormat="false" ht="15" hidden="false" customHeight="false" outlineLevel="0" collapsed="false">
      <c r="A208" s="8" t="s">
        <v>618</v>
      </c>
      <c r="B208" s="29" t="n">
        <f aca="false">COUNT(Work!$BW$6:$BW$125)</f>
        <v>56</v>
      </c>
    </row>
    <row r="209" customFormat="false" ht="15" hidden="false" customHeight="false" outlineLevel="0" collapsed="false">
      <c r="A209" s="8" t="s">
        <v>613</v>
      </c>
      <c r="B209" s="31" t="n">
        <f aca="false">IFERROR(AVERAGE(Work!$BW$6:$BW$125),"")</f>
        <v>-25.3936785714286</v>
      </c>
    </row>
    <row r="210" customFormat="false" ht="15" hidden="false" customHeight="false" outlineLevel="0" collapsed="false">
      <c r="A210" s="8" t="s">
        <v>614</v>
      </c>
      <c r="B210" s="31" t="n">
        <f aca="false">IFERROR(STDEV(Work!$BW$6:$BW$125),"")</f>
        <v>0.0654781315729589</v>
      </c>
    </row>
    <row r="211" customFormat="false" ht="15" hidden="false" customHeight="false" outlineLevel="0" collapsed="false">
      <c r="A211" s="8" t="s">
        <v>615</v>
      </c>
      <c r="B211" s="31" t="n">
        <f aca="false">IF($B$208&lt;2,"",MAX(Work!$BW$6:$BW$125)-MIN(Work!$BW$6:$BW$125))</f>
        <v>0.422000000000001</v>
      </c>
    </row>
    <row r="212" customFormat="false" ht="15" hidden="false" customHeight="false" outlineLevel="0" collapsed="false">
      <c r="A212" s="8" t="s">
        <v>616</v>
      </c>
      <c r="B212" s="34" t="n">
        <f aca="false">IFERROR(SLOPE(Work!$BW$6:$BW$125,Work!$A$6:$A$125),"")</f>
        <v>0.000881613123718396</v>
      </c>
    </row>
    <row r="213" customFormat="false" ht="15" hidden="false" customHeight="false" outlineLevel="0" collapsed="false">
      <c r="A213" s="8" t="s">
        <v>617</v>
      </c>
      <c r="B213" s="31" t="n">
        <f aca="false">IFERROR(TDIST(ABS($B$212/(STEYX(Work!$BW$6:$BW$125,Work!$A$6:$A$125)/SQRT(DEVSQ(Work!$CR$6:$CR$125)))),$B$208-2,2),"")</f>
        <v>0.103917196471206</v>
      </c>
    </row>
    <row r="216" customFormat="false" ht="15" hidden="false" customHeight="false" outlineLevel="0" collapsed="false">
      <c r="A216" s="27" t="s">
        <v>619</v>
      </c>
      <c r="B216" s="28"/>
      <c r="C216" s="28"/>
      <c r="D216" s="28"/>
    </row>
    <row r="217" customFormat="false" ht="15" hidden="false" customHeight="false" outlineLevel="0" collapsed="false">
      <c r="A217" s="8" t="s">
        <v>620</v>
      </c>
      <c r="B217" s="29" t="n">
        <f aca="false">COUNTIFS(Work!$D$6:$D$125,"Check",Work!$AA$6:$AA$125,"&gt;-1E+30")+COUNTIFS(Work!$D$6:$D$125,"Check",Work!$AF$6:$AF$125,"&gt;-1E+30")-COUNTIFS(Work!$D$6:$D$125,"Check",Work!$AA$6:$AA$125,"&gt;-1E+30",Work!$AF$6:$AF$125,"&gt;-1E+30")</f>
        <v>0</v>
      </c>
      <c r="D217" s="5" t="s">
        <v>621</v>
      </c>
    </row>
    <row r="219" customFormat="false" ht="15" hidden="false" customHeight="false" outlineLevel="0" collapsed="false">
      <c r="A219" s="27" t="s">
        <v>622</v>
      </c>
      <c r="B219" s="28"/>
      <c r="C219" s="28"/>
      <c r="D219" s="28"/>
    </row>
    <row r="220" customFormat="false" ht="15" hidden="false" customHeight="false" outlineLevel="0" collapsed="false">
      <c r="D220" s="5" t="s">
        <v>623</v>
      </c>
    </row>
    <row r="221" customFormat="false" ht="15" hidden="false" customHeight="false" outlineLevel="0" collapsed="false">
      <c r="A221" s="8" t="s">
        <v>624</v>
      </c>
      <c r="B221" s="29" t="n">
        <f aca="false">COUNT(Work!$DJ$6:$DJ$125)</f>
        <v>13</v>
      </c>
    </row>
    <row r="222" customFormat="false" ht="15" hidden="false" customHeight="false" outlineLevel="0" collapsed="false">
      <c r="A222" s="8" t="s">
        <v>625</v>
      </c>
      <c r="B222" s="37" t="n">
        <f aca="false">IFERROR(MIN(Work!$DJ$6:$DJ$125),"")</f>
        <v>23.8</v>
      </c>
    </row>
    <row r="223" customFormat="false" ht="15" hidden="false" customHeight="false" outlineLevel="0" collapsed="false">
      <c r="A223" s="8" t="s">
        <v>626</v>
      </c>
      <c r="B223" s="37" t="n">
        <f aca="false">IFERROR(MAX(Work!$DJ$6:$DJ$125),"")</f>
        <v>30.3</v>
      </c>
    </row>
    <row r="224" customFormat="false" ht="15" hidden="false" customHeight="false" outlineLevel="0" collapsed="false">
      <c r="A224" s="8" t="s">
        <v>627</v>
      </c>
      <c r="B224" s="31" t="n">
        <f aca="false">IFERROR(SLOPE(Work!$DJ$6:$DJ$125,Work!$DK$6:$DK$125),"")</f>
        <v>-0.119633159702981</v>
      </c>
    </row>
    <row r="225" customFormat="false" ht="15" hidden="false" customHeight="false" outlineLevel="0" collapsed="false">
      <c r="A225" s="8" t="s">
        <v>617</v>
      </c>
      <c r="B225" s="31" t="n">
        <f aca="false">IFERROR(TDIST(ABS($B$224/(STEYX(Work!$DJ$6:$DJ$125,Work!$DK$6:$DK$125)/SQRT(DEVSQ(Work!$DK$6:$DK$125)))),$B$221-2,2),"")</f>
        <v>2.98935196300574E-005</v>
      </c>
    </row>
    <row r="227" customFormat="false" ht="15" hidden="false" customHeight="false" outlineLevel="0" collapsed="false">
      <c r="A227" s="27" t="s">
        <v>628</v>
      </c>
      <c r="B227" s="28"/>
      <c r="C227" s="28"/>
      <c r="D227" s="28"/>
    </row>
    <row r="228" customFormat="false" ht="15" hidden="false" customHeight="false" outlineLevel="0" collapsed="false">
      <c r="A228" s="8" t="s">
        <v>629</v>
      </c>
      <c r="B228" s="37" t="n">
        <f aca="false">IF(Setup!$B$28="","",Setup!$B$28)</f>
        <v>2</v>
      </c>
      <c r="D228" s="5" t="s">
        <v>630</v>
      </c>
    </row>
    <row r="229" customFormat="false" ht="15" hidden="false" customHeight="false" outlineLevel="0" collapsed="false">
      <c r="A229" s="8" t="s">
        <v>631</v>
      </c>
      <c r="B229" s="29" t="n">
        <f aca="false">SUM(Work!$EJ$6:$EJ$125)</f>
        <v>4</v>
      </c>
    </row>
    <row r="230" customFormat="false" ht="15" hidden="false" customHeight="false" outlineLevel="0" collapsed="false">
      <c r="A230" s="8" t="s">
        <v>632</v>
      </c>
      <c r="B230" s="29" t="n">
        <f aca="false">SUM(Work!$EP$6:$EP$125)</f>
        <v>1</v>
      </c>
    </row>
    <row r="231" customFormat="false" ht="15" hidden="false" customHeight="false" outlineLevel="0" collapsed="false">
      <c r="A231" s="8" t="s">
        <v>633</v>
      </c>
      <c r="B231" s="29" t="n">
        <f aca="false">COUNTIF(Work!$EN$6:$EN$125,1)</f>
        <v>0</v>
      </c>
    </row>
    <row r="232" customFormat="false" ht="15" hidden="false" customHeight="false" outlineLevel="0" collapsed="false">
      <c r="A232" s="8" t="s">
        <v>634</v>
      </c>
      <c r="B232" s="37" t="n">
        <f aca="false">IF(COUNT(Work!$EM$6:$EM$125)=0,"",MAX(Work!$EM$6:$EM$125))</f>
        <v>0.100000000000001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O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4" min="3" style="0" width="10"/>
    <col collapsed="false" customWidth="true" hidden="false" outlineLevel="0" max="6" min="5" style="0" width="8"/>
    <col collapsed="false" customWidth="true" hidden="false" outlineLevel="0" max="8" min="7" style="0" width="10"/>
    <col collapsed="false" customWidth="true" hidden="false" outlineLevel="0" max="10" min="9" style="0" width="12"/>
    <col collapsed="false" customWidth="true" hidden="false" outlineLevel="0" max="11" min="11" style="0" width="54"/>
    <col collapsed="false" customWidth="true" hidden="false" outlineLevel="0" max="15" min="12" style="0" width="9"/>
  </cols>
  <sheetData>
    <row r="1" customFormat="false" ht="17.35" hidden="false" customHeight="false" outlineLevel="0" collapsed="false">
      <c r="A1" s="1" t="s">
        <v>635</v>
      </c>
    </row>
    <row r="2" customFormat="false" ht="15" hidden="false" customHeight="false" outlineLevel="0" collapsed="false">
      <c r="A2" s="5" t="s">
        <v>636</v>
      </c>
    </row>
    <row r="4" customFormat="false" ht="22.35" hidden="false" customHeight="false" outlineLevel="0" collapsed="false">
      <c r="A4" s="6" t="s">
        <v>33</v>
      </c>
      <c r="B4" s="6" t="s">
        <v>354</v>
      </c>
      <c r="C4" s="6" t="s">
        <v>356</v>
      </c>
      <c r="D4" s="6" t="s">
        <v>637</v>
      </c>
      <c r="E4" s="6" t="s">
        <v>311</v>
      </c>
      <c r="F4" s="6" t="s">
        <v>312</v>
      </c>
      <c r="G4" s="6" t="s">
        <v>382</v>
      </c>
      <c r="H4" s="6" t="s">
        <v>383</v>
      </c>
      <c r="I4" s="6" t="s">
        <v>638</v>
      </c>
      <c r="J4" s="6" t="s">
        <v>639</v>
      </c>
      <c r="K4" s="6" t="s">
        <v>640</v>
      </c>
      <c r="L4" s="6" t="s">
        <v>314</v>
      </c>
      <c r="M4" s="6" t="str">
        <f aca="false">"U(d13C), k="&amp;TEXT(Setup!$B$32,"0.0")</f>
        <v>U(d13C), k=2.0</v>
      </c>
      <c r="N4" s="6" t="s">
        <v>315</v>
      </c>
      <c r="O4" s="6" t="str">
        <f aca="false">"U(d15N), k="&amp;TEXT(Setup!$B$32,"0.0")</f>
        <v>U(d15N), k=2.0</v>
      </c>
    </row>
    <row r="5" customFormat="false" ht="15" hidden="false" customHeight="false" outlineLevel="0" collapsed="false">
      <c r="A5" s="8" t="n">
        <f aca="false">IF(Work!$B6="","",Work!$A6)</f>
        <v>1</v>
      </c>
      <c r="B5" s="8" t="str">
        <f aca="false">IF(Work!$B6="","",Work!$B6)</f>
        <v>Blank Hole</v>
      </c>
      <c r="C5" s="8" t="str">
        <f aca="false">IF(Work!$B6="","",Work!$D6)</f>
        <v>Exclude</v>
      </c>
      <c r="D5" s="16" t="str">
        <f aca="false">IF(Work!$G6="","",Work!$G6)</f>
        <v/>
      </c>
      <c r="E5" s="23" t="str">
        <f aca="false">IF(Work!$AJ6="","",Work!$AJ6)</f>
        <v/>
      </c>
      <c r="F5" s="23" t="str">
        <f aca="false">IF(Work!$AI6="","",Work!$AI6)</f>
        <v/>
      </c>
      <c r="G5" s="23" t="str">
        <f aca="false">IF(Work!$AK6="","",Work!$AK6)</f>
        <v/>
      </c>
      <c r="H5" s="23" t="str">
        <f aca="false">IF(Work!$AL6="","",Work!$AL6)</f>
        <v/>
      </c>
      <c r="I5" s="23" t="str">
        <f aca="false">IF(Work!$AF6="","",Work!$AF6)</f>
        <v/>
      </c>
      <c r="J5" s="23" t="n">
        <f aca="false">IF(Work!$AA6="","",Work!$AA6)</f>
        <v>4.35807708164635</v>
      </c>
      <c r="K5" s="8" t="str">
        <f aca="false">IF(Work!$B6="","",IF(Work!$L6="","no N peak; ","")&amp;IF(Work!$P6="","no C peak; ","")&amp;IF(Work!$L6="","",IF(Fits!$B$81&lt;=0,"",IF(Work!$L6&lt;Fits!$B$81,"N below linearity range; ",IF(Fits!$B$97&lt;=0,"",IF(Work!$L6&gt;Fits!$B$97,"N above linearity range; ","")))))&amp;IF(Work!$P6="","",IF(Fits!$B$82&lt;=0,"",IF(Work!$P6&lt;Fits!$B$82,"C below linearity range; ",IF(Fits!$B$104&lt;=0,"",IF(Work!$P6&gt;Fits!$B$104,"C above linearity range; ","")))))&amp;IF(OR(Work!$D6="Sample",Work!$D6="Check"),IF(Work!$AA6="","",IF(Fits!$B$138="","",IF(AND(Work!$AA6&gt;=Fits!$B$138,Work!$AA6&lt;=Fits!$B$139),"","d15N outside anchor range; "))),"")&amp;IF(OR(Work!$D6="Sample",Work!$D6="Check"),IF(Work!$AF6="","",IF(Fits!$B$158="","",IF(AND(Work!$AF6&gt;=Fits!$B$158,Work!$AF6&lt;=Fits!$B$159),"","d13C outside anchor range; "))),"")&amp;IF(Work!$D6&lt;&gt;"Check","",IF(Work!$AA6="","",IF(Work!$S6="","",IF(ABS(Work!$AA6-Work!$S6)&lt;=Setup!$B$20,"","check d15N off by "&amp;TEXT(Work!$AA6-Work!$S6,"+0.00;-0.00")&amp;"; "))))&amp;IF(Work!$D6&lt;&gt;"Check","",IF(Work!$AF6="","",IF(Work!$T6="","",IF(ABS(Work!$AF6-Work!$T6)&lt;=Setup!$B$20,"","check d13C off by "&amp;TEXT(Work!$AF6-Work!$T6,"+0.00;-0.00")&amp;"; "))))&amp;IF(Work!$D6&lt;&gt;"Drift","",IF(Work!$BX6=1,"excluded from N drift fit; ",IF(Work!$CB6="","",IF(ABS(Work!$CB6)&gt;Setup!$B$27,"N drift monitor outlier; ",""))))&amp;IF(Work!$D6&lt;&gt;"Drift","",IF(Work!$BY6=1,"excluded from C drift fit; ",IF(Work!$CC6="","",IF(ABS(Work!$CC6)&gt;Setup!$B$27,"C drift monitor outlier; ",""))))&amp;IF(Work!$D6="Blank","",IF(Work!$L6="","",IF(Setup!$B$25="","",IF(Fits!$B$6&lt;=0,"",IF(Work!$L6&gt;=Fits!$B$6*Setup!$B$25,"","N peak only "&amp;TEXT(Work!$L6/Fits!$B$6,"0.0")&amp;"x the blank; ")))))&amp;IF(Work!$D6="Blank","",IF(Work!$P6="","",IF(Setup!$B$25="","",IF(Fits!$B$10&lt;=0,"",IF(Work!$P6&gt;=Fits!$B$10*Setup!$B$25,"","C peak only "&amp;TEXT(Work!$P6/Fits!$B$10,"0.0")&amp;"x the blank; ")))))&amp;IF(Work!$A6&gt;=Fits!$B$86,"","ran before the background settled; ")&amp;IF(Work!$EN6=1,"possible carryover from an oversized sample; ",""))</f>
        <v>no C peak; N below linearity range; ran before the background settled; </v>
      </c>
      <c r="L5" s="26" t="str">
        <f aca="false">IF(Work!$CN6="","",Work!$CN6)</f>
        <v/>
      </c>
      <c r="M5" s="26" t="str">
        <f aca="false">IF(Work!$CO6="","",Work!$CO6)</f>
        <v/>
      </c>
      <c r="N5" s="26" t="n">
        <f aca="false">IF(Work!$CL6="","",Work!$CL6)</f>
        <v>0.209247012448561</v>
      </c>
      <c r="O5" s="26" t="n">
        <f aca="false">IF(Work!$CM6="","",Work!$CM6)</f>
        <v>0.418494024897121</v>
      </c>
    </row>
    <row r="6" customFormat="false" ht="15" hidden="false" customHeight="false" outlineLevel="0" collapsed="false">
      <c r="A6" s="8" t="n">
        <f aca="false">IF(Work!$B7="","",Work!$A7)</f>
        <v>2</v>
      </c>
      <c r="B6" s="8" t="str">
        <f aca="false">IF(Work!$B7="","",Work!$B7)</f>
        <v>Ace Bypass</v>
      </c>
      <c r="C6" s="8" t="str">
        <f aca="false">IF(Work!$B7="","",Work!$D7)</f>
        <v>Exclude</v>
      </c>
      <c r="D6" s="16" t="n">
        <f aca="false">IF(Work!$G7="","",Work!$G7)</f>
        <v>1.131</v>
      </c>
      <c r="E6" s="23" t="n">
        <f aca="false">IF(Work!$AJ7="","",Work!$AJ7)</f>
        <v>72.6795274359039</v>
      </c>
      <c r="F6" s="23" t="n">
        <f aca="false">IF(Work!$AI7="","",Work!$AI7)</f>
        <v>11.3853344090884</v>
      </c>
      <c r="G6" s="23" t="n">
        <f aca="false">IF(Work!$AK7="","",Work!$AK7)</f>
        <v>7.4444439656978</v>
      </c>
      <c r="H6" s="23" t="n">
        <f aca="false">IF(Work!$AL7="","",Work!$AL7)</f>
        <v>6.38360937188522</v>
      </c>
      <c r="I6" s="23" t="n">
        <f aca="false">IF(Work!$AF7="","",Work!$AF7)</f>
        <v>-26.5575236808391</v>
      </c>
      <c r="J6" s="23" t="n">
        <f aca="false">IF(Work!$AA7="","",Work!$AA7)</f>
        <v>-4.57562866207321</v>
      </c>
      <c r="K6" s="8" t="str">
        <f aca="false">IF(Work!$B7="","",IF(Work!$L7="","no N peak; ","")&amp;IF(Work!$P7="","no C peak; ","")&amp;IF(Work!$L7="","",IF(Fits!$B$81&lt;=0,"",IF(Work!$L7&lt;Fits!$B$81,"N below linearity range; ",IF(Fits!$B$97&lt;=0,"",IF(Work!$L7&gt;Fits!$B$97,"N above linearity range; ","")))))&amp;IF(Work!$P7="","",IF(Fits!$B$82&lt;=0,"",IF(Work!$P7&lt;Fits!$B$82,"C below linearity range; ",IF(Fits!$B$104&lt;=0,"",IF(Work!$P7&gt;Fits!$B$104,"C above linearity range; ","")))))&amp;IF(OR(Work!$D7="Sample",Work!$D7="Check"),IF(Work!$AA7="","",IF(Fits!$B$138="","",IF(AND(Work!$AA7&gt;=Fits!$B$138,Work!$AA7&lt;=Fits!$B$139),"","d15N outside anchor range; "))),"")&amp;IF(OR(Work!$D7="Sample",Work!$D7="Check"),IF(Work!$AF7="","",IF(Fits!$B$158="","",IF(AND(Work!$AF7&gt;=Fits!$B$158,Work!$AF7&lt;=Fits!$B$159),"","d13C outside anchor range; "))),"")&amp;IF(Work!$D7&lt;&gt;"Check","",IF(Work!$AA7="","",IF(Work!$S7="","",IF(ABS(Work!$AA7-Work!$S7)&lt;=Setup!$B$20,"","check d15N off by "&amp;TEXT(Work!$AA7-Work!$S7,"+0.00;-0.00")&amp;"; "))))&amp;IF(Work!$D7&lt;&gt;"Check","",IF(Work!$AF7="","",IF(Work!$T7="","",IF(ABS(Work!$AF7-Work!$T7)&lt;=Setup!$B$20,"","check d13C off by "&amp;TEXT(Work!$AF7-Work!$T7,"+0.00;-0.00")&amp;"; "))))&amp;IF(Work!$D7&lt;&gt;"Drift","",IF(Work!$BX7=1,"excluded from N drift fit; ",IF(Work!$CB7="","",IF(ABS(Work!$CB7)&gt;Setup!$B$27,"N drift monitor outlier; ",""))))&amp;IF(Work!$D7&lt;&gt;"Drift","",IF(Work!$BY7=1,"excluded from C drift fit; ",IF(Work!$CC7="","",IF(ABS(Work!$CC7)&gt;Setup!$B$27,"C drift monitor outlier; ",""))))&amp;IF(Work!$D7="Blank","",IF(Work!$L7="","",IF(Setup!$B$25="","",IF(Fits!$B$6&lt;=0,"",IF(Work!$L7&gt;=Fits!$B$6*Setup!$B$25,"","N peak only "&amp;TEXT(Work!$L7/Fits!$B$6,"0.0")&amp;"x the blank; ")))))&amp;IF(Work!$D7="Blank","",IF(Work!$P7="","",IF(Setup!$B$25="","",IF(Fits!$B$10&lt;=0,"",IF(Work!$P7&gt;=Fits!$B$10*Setup!$B$25,"","C peak only "&amp;TEXT(Work!$P7/Fits!$B$10,"0.0")&amp;"x the blank; ")))))&amp;IF(Work!$A7&gt;=Fits!$B$86,"","ran before the background settled; ")&amp;IF(Work!$EN7=1,"possible carryover from an oversized sample; ",""))</f>
        <v>N above linearity range; C above linearity range; ran before the background settled; </v>
      </c>
      <c r="L6" s="26" t="n">
        <f aca="false">IF(Work!$CN7="","",Work!$CN7)</f>
        <v>0.0379302338197214</v>
      </c>
      <c r="M6" s="26" t="n">
        <f aca="false">IF(Work!$CO7="","",Work!$CO7)</f>
        <v>0.0758604676394428</v>
      </c>
      <c r="N6" s="26" t="n">
        <f aca="false">IF(Work!$CL7="","",Work!$CL7)</f>
        <v>0.252093906220177</v>
      </c>
      <c r="O6" s="26" t="n">
        <f aca="false">IF(Work!$CM7="","",Work!$CM7)</f>
        <v>0.504187812440353</v>
      </c>
    </row>
    <row r="7" customFormat="false" ht="15" hidden="false" customHeight="false" outlineLevel="0" collapsed="false">
      <c r="A7" s="8" t="n">
        <f aca="false">IF(Work!$B8="","",Work!$A8)</f>
        <v>3</v>
      </c>
      <c r="B7" s="8" t="str">
        <f aca="false">IF(Work!$B8="","",Work!$B8)</f>
        <v>Ace Bypass</v>
      </c>
      <c r="C7" s="8" t="str">
        <f aca="false">IF(Work!$B8="","",Work!$D8)</f>
        <v>Exclude</v>
      </c>
      <c r="D7" s="16" t="n">
        <f aca="false">IF(Work!$G8="","",Work!$G8)</f>
        <v>0.49</v>
      </c>
      <c r="E7" s="23" t="n">
        <f aca="false">IF(Work!$AJ8="","",Work!$AJ8)</f>
        <v>71.6517781218199</v>
      </c>
      <c r="F7" s="23" t="n">
        <f aca="false">IF(Work!$AI8="","",Work!$AI8)</f>
        <v>11.072551209608</v>
      </c>
      <c r="G7" s="23" t="n">
        <f aca="false">IF(Work!$AK8="","",Work!$AK8)</f>
        <v>7.54649409460983</v>
      </c>
      <c r="H7" s="23" t="n">
        <f aca="false">IF(Work!$AL8="","",Work!$AL8)</f>
        <v>6.47111733921316</v>
      </c>
      <c r="I7" s="23" t="n">
        <f aca="false">IF(Work!$AF8="","",Work!$AF8)</f>
        <v>-26.5446908409081</v>
      </c>
      <c r="J7" s="23" t="n">
        <f aca="false">IF(Work!$AA8="","",Work!$AA8)</f>
        <v>-4.07387454946544</v>
      </c>
      <c r="K7" s="8" t="str">
        <f aca="false">IF(Work!$B8="","",IF(Work!$L8="","no N peak; ","")&amp;IF(Work!$P8="","no C peak; ","")&amp;IF(Work!$L8="","",IF(Fits!$B$81&lt;=0,"",IF(Work!$L8&lt;Fits!$B$81,"N below linearity range; ",IF(Fits!$B$97&lt;=0,"",IF(Work!$L8&gt;Fits!$B$97,"N above linearity range; ","")))))&amp;IF(Work!$P8="","",IF(Fits!$B$82&lt;=0,"",IF(Work!$P8&lt;Fits!$B$82,"C below linearity range; ",IF(Fits!$B$104&lt;=0,"",IF(Work!$P8&gt;Fits!$B$104,"C above linearity range; ","")))))&amp;IF(OR(Work!$D8="Sample",Work!$D8="Check"),IF(Work!$AA8="","",IF(Fits!$B$138="","",IF(AND(Work!$AA8&gt;=Fits!$B$138,Work!$AA8&lt;=Fits!$B$139),"","d15N outside anchor range; "))),"")&amp;IF(OR(Work!$D8="Sample",Work!$D8="Check"),IF(Work!$AF8="","",IF(Fits!$B$158="","",IF(AND(Work!$AF8&gt;=Fits!$B$158,Work!$AF8&lt;=Fits!$B$159),"","d13C outside anchor range; "))),"")&amp;IF(Work!$D8&lt;&gt;"Check","",IF(Work!$AA8="","",IF(Work!$S8="","",IF(ABS(Work!$AA8-Work!$S8)&lt;=Setup!$B$20,"","check d15N off by "&amp;TEXT(Work!$AA8-Work!$S8,"+0.00;-0.00")&amp;"; "))))&amp;IF(Work!$D8&lt;&gt;"Check","",IF(Work!$AF8="","",IF(Work!$T8="","",IF(ABS(Work!$AF8-Work!$T8)&lt;=Setup!$B$20,"","check d13C off by "&amp;TEXT(Work!$AF8-Work!$T8,"+0.00;-0.00")&amp;"; "))))&amp;IF(Work!$D8&lt;&gt;"Drift","",IF(Work!$BX8=1,"excluded from N drift fit; ",IF(Work!$CB8="","",IF(ABS(Work!$CB8)&gt;Setup!$B$27,"N drift monitor outlier; ",""))))&amp;IF(Work!$D8&lt;&gt;"Drift","",IF(Work!$BY8=1,"excluded from C drift fit; ",IF(Work!$CC8="","",IF(ABS(Work!$CC8)&gt;Setup!$B$27,"C drift monitor outlier; ",""))))&amp;IF(Work!$D8="Blank","",IF(Work!$L8="","",IF(Setup!$B$25="","",IF(Fits!$B$6&lt;=0,"",IF(Work!$L8&gt;=Fits!$B$6*Setup!$B$25,"","N peak only "&amp;TEXT(Work!$L8/Fits!$B$6,"0.0")&amp;"x the blank; ")))))&amp;IF(Work!$D8="Blank","",IF(Work!$P8="","",IF(Setup!$B$25="","",IF(Fits!$B$10&lt;=0,"",IF(Work!$P8&gt;=Fits!$B$10*Setup!$B$25,"","C peak only "&amp;TEXT(Work!$P8/Fits!$B$10,"0.0")&amp;"x the blank; ")))))&amp;IF(Work!$A8&gt;=Fits!$B$86,"","ran before the background settled; ")&amp;IF(Work!$EN8=1,"possible carryover from an oversized sample; ",""))</f>
        <v>ran before the background settled; </v>
      </c>
      <c r="L7" s="26" t="n">
        <f aca="false">IF(Work!$CN8="","",Work!$CN8)</f>
        <v>0.0379414414075808</v>
      </c>
      <c r="M7" s="26" t="n">
        <f aca="false">IF(Work!$CO8="","",Work!$CO8)</f>
        <v>0.0758828828151617</v>
      </c>
      <c r="N7" s="26" t="n">
        <f aca="false">IF(Work!$CL8="","",Work!$CL8)</f>
        <v>0.24923781635262</v>
      </c>
      <c r="O7" s="26" t="n">
        <f aca="false">IF(Work!$CM8="","",Work!$CM8)</f>
        <v>0.498475632705239</v>
      </c>
    </row>
    <row r="8" customFormat="false" ht="15" hidden="false" customHeight="false" outlineLevel="0" collapsed="false">
      <c r="A8" s="8" t="n">
        <f aca="false">IF(Work!$B9="","",Work!$A9)</f>
        <v>4</v>
      </c>
      <c r="B8" s="8" t="str">
        <f aca="false">IF(Work!$B9="","",Work!$B9)</f>
        <v>Blank Capsule</v>
      </c>
      <c r="C8" s="8" t="str">
        <f aca="false">IF(Work!$B9="","",Work!$D9)</f>
        <v>Blank</v>
      </c>
      <c r="D8" s="16" t="str">
        <f aca="false">IF(Work!$G9="","",Work!$G9)</f>
        <v/>
      </c>
      <c r="E8" s="23" t="str">
        <f aca="false">IF(Work!$AJ9="","",Work!$AJ9)</f>
        <v/>
      </c>
      <c r="F8" s="23" t="str">
        <f aca="false">IF(Work!$AI9="","",Work!$AI9)</f>
        <v/>
      </c>
      <c r="G8" s="23" t="str">
        <f aca="false">IF(Work!$AK9="","",Work!$AK9)</f>
        <v/>
      </c>
      <c r="H8" s="23" t="str">
        <f aca="false">IF(Work!$AL9="","",Work!$AL9)</f>
        <v/>
      </c>
      <c r="I8" s="23" t="str">
        <f aca="false">IF(Work!$AF9="","",Work!$AF9)</f>
        <v/>
      </c>
      <c r="J8" s="23" t="n">
        <f aca="false">IF(Work!$AA9="","",Work!$AA9)</f>
        <v>16.7771000257819</v>
      </c>
      <c r="K8" s="8" t="str">
        <f aca="false">IF(Work!$B9="","",IF(Work!$L9="","no N peak; ","")&amp;IF(Work!$P9="","no C peak; ","")&amp;IF(Work!$L9="","",IF(Fits!$B$81&lt;=0,"",IF(Work!$L9&lt;Fits!$B$81,"N below linearity range; ",IF(Fits!$B$97&lt;=0,"",IF(Work!$L9&gt;Fits!$B$97,"N above linearity range; ","")))))&amp;IF(Work!$P9="","",IF(Fits!$B$82&lt;=0,"",IF(Work!$P9&lt;Fits!$B$82,"C below linearity range; ",IF(Fits!$B$104&lt;=0,"",IF(Work!$P9&gt;Fits!$B$104,"C above linearity range; ","")))))&amp;IF(OR(Work!$D9="Sample",Work!$D9="Check"),IF(Work!$AA9="","",IF(Fits!$B$138="","",IF(AND(Work!$AA9&gt;=Fits!$B$138,Work!$AA9&lt;=Fits!$B$139),"","d15N outside anchor range; "))),"")&amp;IF(OR(Work!$D9="Sample",Work!$D9="Check"),IF(Work!$AF9="","",IF(Fits!$B$158="","",IF(AND(Work!$AF9&gt;=Fits!$B$158,Work!$AF9&lt;=Fits!$B$159),"","d13C outside anchor range; "))),"")&amp;IF(Work!$D9&lt;&gt;"Check","",IF(Work!$AA9="","",IF(Work!$S9="","",IF(ABS(Work!$AA9-Work!$S9)&lt;=Setup!$B$20,"","check d15N off by "&amp;TEXT(Work!$AA9-Work!$S9,"+0.00;-0.00")&amp;"; "))))&amp;IF(Work!$D9&lt;&gt;"Check","",IF(Work!$AF9="","",IF(Work!$T9="","",IF(ABS(Work!$AF9-Work!$T9)&lt;=Setup!$B$20,"","check d13C off by "&amp;TEXT(Work!$AF9-Work!$T9,"+0.00;-0.00")&amp;"; "))))&amp;IF(Work!$D9&lt;&gt;"Drift","",IF(Work!$BX9=1,"excluded from N drift fit; ",IF(Work!$CB9="","",IF(ABS(Work!$CB9)&gt;Setup!$B$27,"N drift monitor outlier; ",""))))&amp;IF(Work!$D9&lt;&gt;"Drift","",IF(Work!$BY9=1,"excluded from C drift fit; ",IF(Work!$CC9="","",IF(ABS(Work!$CC9)&gt;Setup!$B$27,"C drift monitor outlier; ",""))))&amp;IF(Work!$D9="Blank","",IF(Work!$L9="","",IF(Setup!$B$25="","",IF(Fits!$B$6&lt;=0,"",IF(Work!$L9&gt;=Fits!$B$6*Setup!$B$25,"","N peak only "&amp;TEXT(Work!$L9/Fits!$B$6,"0.0")&amp;"x the blank; ")))))&amp;IF(Work!$D9="Blank","",IF(Work!$P9="","",IF(Setup!$B$25="","",IF(Fits!$B$10&lt;=0,"",IF(Work!$P9&gt;=Fits!$B$10*Setup!$B$25,"","C peak only "&amp;TEXT(Work!$P9/Fits!$B$10,"0.0")&amp;"x the blank; ")))))&amp;IF(Work!$A9&gt;=Fits!$B$86,"","ran before the background settled; ")&amp;IF(Work!$EN9=1,"possible carryover from an oversized sample; ",""))</f>
        <v>no C peak; N below linearity range; ran before the background settled; </v>
      </c>
      <c r="L8" s="26" t="str">
        <f aca="false">IF(Work!$CN9="","",Work!$CN9)</f>
        <v/>
      </c>
      <c r="M8" s="26" t="str">
        <f aca="false">IF(Work!$CO9="","",Work!$CO9)</f>
        <v/>
      </c>
      <c r="N8" s="26" t="n">
        <f aca="false">IF(Work!$CL9="","",Work!$CL9)</f>
        <v>0.19096135950823</v>
      </c>
      <c r="O8" s="26" t="n">
        <f aca="false">IF(Work!$CM9="","",Work!$CM9)</f>
        <v>0.381922719016459</v>
      </c>
    </row>
    <row r="9" customFormat="false" ht="15" hidden="false" customHeight="false" outlineLevel="0" collapsed="false">
      <c r="A9" s="8" t="n">
        <f aca="false">IF(Work!$B10="","",Work!$A10)</f>
        <v>5</v>
      </c>
      <c r="B9" s="8" t="str">
        <f aca="false">IF(Work!$B10="","",Work!$B10)</f>
        <v>Blank Capsule</v>
      </c>
      <c r="C9" s="8" t="str">
        <f aca="false">IF(Work!$B10="","",Work!$D10)</f>
        <v>Blank</v>
      </c>
      <c r="D9" s="16" t="str">
        <f aca="false">IF(Work!$G10="","",Work!$G10)</f>
        <v/>
      </c>
      <c r="E9" s="23" t="str">
        <f aca="false">IF(Work!$AJ10="","",Work!$AJ10)</f>
        <v/>
      </c>
      <c r="F9" s="23" t="str">
        <f aca="false">IF(Work!$AI10="","",Work!$AI10)</f>
        <v/>
      </c>
      <c r="G9" s="23" t="str">
        <f aca="false">IF(Work!$AK10="","",Work!$AK10)</f>
        <v/>
      </c>
      <c r="H9" s="23" t="str">
        <f aca="false">IF(Work!$AL10="","",Work!$AL10)</f>
        <v/>
      </c>
      <c r="I9" s="23" t="str">
        <f aca="false">IF(Work!$AF10="","",Work!$AF10)</f>
        <v/>
      </c>
      <c r="J9" s="23" t="str">
        <f aca="false">IF(Work!$AA10="","",Work!$AA10)</f>
        <v/>
      </c>
      <c r="K9" s="8" t="str">
        <f aca="false">IF(Work!$B10="","",IF(Work!$L10="","no N peak; ","")&amp;IF(Work!$P10="","no C peak; ","")&amp;IF(Work!$L10="","",IF(Fits!$B$81&lt;=0,"",IF(Work!$L10&lt;Fits!$B$81,"N below linearity range; ",IF(Fits!$B$97&lt;=0,"",IF(Work!$L10&gt;Fits!$B$97,"N above linearity range; ","")))))&amp;IF(Work!$P10="","",IF(Fits!$B$82&lt;=0,"",IF(Work!$P10&lt;Fits!$B$82,"C below linearity range; ",IF(Fits!$B$104&lt;=0,"",IF(Work!$P10&gt;Fits!$B$104,"C above linearity range; ","")))))&amp;IF(OR(Work!$D10="Sample",Work!$D10="Check"),IF(Work!$AA10="","",IF(Fits!$B$138="","",IF(AND(Work!$AA10&gt;=Fits!$B$138,Work!$AA10&lt;=Fits!$B$139),"","d15N outside anchor range; "))),"")&amp;IF(OR(Work!$D10="Sample",Work!$D10="Check"),IF(Work!$AF10="","",IF(Fits!$B$158="","",IF(AND(Work!$AF10&gt;=Fits!$B$158,Work!$AF10&lt;=Fits!$B$159),"","d13C outside anchor range; "))),"")&amp;IF(Work!$D10&lt;&gt;"Check","",IF(Work!$AA10="","",IF(Work!$S10="","",IF(ABS(Work!$AA10-Work!$S10)&lt;=Setup!$B$20,"","check d15N off by "&amp;TEXT(Work!$AA10-Work!$S10,"+0.00;-0.00")&amp;"; "))))&amp;IF(Work!$D10&lt;&gt;"Check","",IF(Work!$AF10="","",IF(Work!$T10="","",IF(ABS(Work!$AF10-Work!$T10)&lt;=Setup!$B$20,"","check d13C off by "&amp;TEXT(Work!$AF10-Work!$T10,"+0.00;-0.00")&amp;"; "))))&amp;IF(Work!$D10&lt;&gt;"Drift","",IF(Work!$BX10=1,"excluded from N drift fit; ",IF(Work!$CB10="","",IF(ABS(Work!$CB10)&gt;Setup!$B$27,"N drift monitor outlier; ",""))))&amp;IF(Work!$D10&lt;&gt;"Drift","",IF(Work!$BY10=1,"excluded from C drift fit; ",IF(Work!$CC10="","",IF(ABS(Work!$CC10)&gt;Setup!$B$27,"C drift monitor outlier; ",""))))&amp;IF(Work!$D10="Blank","",IF(Work!$L10="","",IF(Setup!$B$25="","",IF(Fits!$B$6&lt;=0,"",IF(Work!$L10&gt;=Fits!$B$6*Setup!$B$25,"","N peak only "&amp;TEXT(Work!$L10/Fits!$B$6,"0.0")&amp;"x the blank; ")))))&amp;IF(Work!$D10="Blank","",IF(Work!$P10="","",IF(Setup!$B$25="","",IF(Fits!$B$10&lt;=0,"",IF(Work!$P10&gt;=Fits!$B$10*Setup!$B$25,"","C peak only "&amp;TEXT(Work!$P10/Fits!$B$10,"0.0")&amp;"x the blank; ")))))&amp;IF(Work!$A10&gt;=Fits!$B$86,"","ran before the background settled; ")&amp;IF(Work!$EN10=1,"possible carryover from an oversized sample; ",""))</f>
        <v>no N peak; no C peak; ran before the background settled; </v>
      </c>
      <c r="L9" s="26" t="str">
        <f aca="false">IF(Work!$CN10="","",Work!$CN10)</f>
        <v/>
      </c>
      <c r="M9" s="26" t="str">
        <f aca="false">IF(Work!$CO10="","",Work!$CO10)</f>
        <v/>
      </c>
      <c r="N9" s="26" t="str">
        <f aca="false">IF(Work!$CL10="","",Work!$CL10)</f>
        <v/>
      </c>
      <c r="O9" s="26" t="str">
        <f aca="false">IF(Work!$CM10="","",Work!$CM10)</f>
        <v/>
      </c>
    </row>
    <row r="10" customFormat="false" ht="15" hidden="false" customHeight="false" outlineLevel="0" collapsed="false">
      <c r="A10" s="8" t="n">
        <f aca="false">IF(Work!$B11="","",Work!$A11)</f>
        <v>6</v>
      </c>
      <c r="B10" s="8" t="str">
        <f aca="false">IF(Work!$B11="","",Work!$B11)</f>
        <v>Ace Lin1</v>
      </c>
      <c r="C10" s="8" t="str">
        <f aca="false">IF(Work!$B11="","",Work!$D11)</f>
        <v>Linearity</v>
      </c>
      <c r="D10" s="16" t="n">
        <f aca="false">IF(Work!$G11="","",Work!$G11)</f>
        <v>0.126</v>
      </c>
      <c r="E10" s="23" t="n">
        <f aca="false">IF(Work!$AJ11="","",Work!$AJ11)</f>
        <v>65.3417239393187</v>
      </c>
      <c r="F10" s="23" t="n">
        <f aca="false">IF(Work!$AI11="","",Work!$AI11)</f>
        <v>9.05158538303928</v>
      </c>
      <c r="G10" s="23" t="n">
        <f aca="false">IF(Work!$AK11="","",Work!$AK11)</f>
        <v>8.41844536505427</v>
      </c>
      <c r="H10" s="23" t="n">
        <f aca="false">IF(Work!$AL11="","",Work!$AL11)</f>
        <v>7.2188153979915</v>
      </c>
      <c r="I10" s="23" t="n">
        <f aca="false">IF(Work!$AF11="","",Work!$AF11)</f>
        <v>-26.5642927434111</v>
      </c>
      <c r="J10" s="23" t="n">
        <f aca="false">IF(Work!$AA11="","",Work!$AA11)</f>
        <v>-2.497776967372</v>
      </c>
      <c r="K10" s="8" t="str">
        <f aca="false">IF(Work!$B11="","",IF(Work!$L11="","no N peak; ","")&amp;IF(Work!$P11="","no C peak; ","")&amp;IF(Work!$L11="","",IF(Fits!$B$81&lt;=0,"",IF(Work!$L11&lt;Fits!$B$81,"N below linearity range; ",IF(Fits!$B$97&lt;=0,"",IF(Work!$L11&gt;Fits!$B$97,"N above linearity range; ","")))))&amp;IF(Work!$P11="","",IF(Fits!$B$82&lt;=0,"",IF(Work!$P11&lt;Fits!$B$82,"C below linearity range; ",IF(Fits!$B$104&lt;=0,"",IF(Work!$P11&gt;Fits!$B$104,"C above linearity range; ","")))))&amp;IF(OR(Work!$D11="Sample",Work!$D11="Check"),IF(Work!$AA11="","",IF(Fits!$B$138="","",IF(AND(Work!$AA11&gt;=Fits!$B$138,Work!$AA11&lt;=Fits!$B$139),"","d15N outside anchor range; "))),"")&amp;IF(OR(Work!$D11="Sample",Work!$D11="Check"),IF(Work!$AF11="","",IF(Fits!$B$158="","",IF(AND(Work!$AF11&gt;=Fits!$B$158,Work!$AF11&lt;=Fits!$B$159),"","d13C outside anchor range; "))),"")&amp;IF(Work!$D11&lt;&gt;"Check","",IF(Work!$AA11="","",IF(Work!$S11="","",IF(ABS(Work!$AA11-Work!$S11)&lt;=Setup!$B$20,"","check d15N off by "&amp;TEXT(Work!$AA11-Work!$S11,"+0.00;-0.00")&amp;"; "))))&amp;IF(Work!$D11&lt;&gt;"Check","",IF(Work!$AF11="","",IF(Work!$T11="","",IF(ABS(Work!$AF11-Work!$T11)&lt;=Setup!$B$20,"","check d13C off by "&amp;TEXT(Work!$AF11-Work!$T11,"+0.00;-0.00")&amp;"; "))))&amp;IF(Work!$D11&lt;&gt;"Drift","",IF(Work!$BX11=1,"excluded from N drift fit; ",IF(Work!$CB11="","",IF(ABS(Work!$CB11)&gt;Setup!$B$27,"N drift monitor outlier; ",""))))&amp;IF(Work!$D11&lt;&gt;"Drift","",IF(Work!$BY11=1,"excluded from C drift fit; ",IF(Work!$CC11="","",IF(ABS(Work!$CC11)&gt;Setup!$B$27,"C drift monitor outlier; ",""))))&amp;IF(Work!$D11="Blank","",IF(Work!$L11="","",IF(Setup!$B$25="","",IF(Fits!$B$6&lt;=0,"",IF(Work!$L11&gt;=Fits!$B$6*Setup!$B$25,"","N peak only "&amp;TEXT(Work!$L11/Fits!$B$6,"0.0")&amp;"x the blank; ")))))&amp;IF(Work!$D11="Blank","",IF(Work!$P11="","",IF(Setup!$B$25="","",IF(Fits!$B$10&lt;=0,"",IF(Work!$P11&gt;=Fits!$B$10*Setup!$B$25,"","C peak only "&amp;TEXT(Work!$P11/Fits!$B$10,"0.0")&amp;"x the blank; ")))))&amp;IF(Work!$A11&gt;=Fits!$B$86,"","ran before the background settled; ")&amp;IF(Work!$EN11=1,"possible carryover from an oversized sample; ",""))</f>
        <v>ran before the background settled; </v>
      </c>
      <c r="L10" s="26" t="n">
        <f aca="false">IF(Work!$CN11="","",Work!$CN11)</f>
        <v>0.0379243352077285</v>
      </c>
      <c r="M10" s="26" t="n">
        <f aca="false">IF(Work!$CO11="","",Work!$CO11)</f>
        <v>0.075848670415457</v>
      </c>
      <c r="N10" s="26" t="n">
        <f aca="false">IF(Work!$CL11="","",Work!$CL11)</f>
        <v>0.240563465454055</v>
      </c>
      <c r="O10" s="26" t="n">
        <f aca="false">IF(Work!$CM11="","",Work!$CM11)</f>
        <v>0.481126930908111</v>
      </c>
    </row>
    <row r="11" customFormat="false" ht="15" hidden="false" customHeight="false" outlineLevel="0" collapsed="false">
      <c r="A11" s="8" t="n">
        <f aca="false">IF(Work!$B12="","",Work!$A12)</f>
        <v>7</v>
      </c>
      <c r="B11" s="8" t="str">
        <f aca="false">IF(Work!$B12="","",Work!$B12)</f>
        <v>Ace Lin2</v>
      </c>
      <c r="C11" s="8" t="str">
        <f aca="false">IF(Work!$B12="","",Work!$D12)</f>
        <v>Linearity</v>
      </c>
      <c r="D11" s="16" t="n">
        <f aca="false">IF(Work!$G12="","",Work!$G12)</f>
        <v>0.177</v>
      </c>
      <c r="E11" s="23" t="n">
        <f aca="false">IF(Work!$AJ12="","",Work!$AJ12)</f>
        <v>67.3285996123851</v>
      </c>
      <c r="F11" s="23" t="n">
        <f aca="false">IF(Work!$AI12="","",Work!$AI12)</f>
        <v>9.40107075415169</v>
      </c>
      <c r="G11" s="23" t="n">
        <f aca="false">IF(Work!$AK12="","",Work!$AK12)</f>
        <v>8.35195646627235</v>
      </c>
      <c r="H11" s="23" t="n">
        <f aca="false">IF(Work!$AL12="","",Work!$AL12)</f>
        <v>7.16180117915308</v>
      </c>
      <c r="I11" s="23" t="n">
        <f aca="false">IF(Work!$AF12="","",Work!$AF12)</f>
        <v>-26.5963651677386</v>
      </c>
      <c r="J11" s="23" t="n">
        <f aca="false">IF(Work!$AA12="","",Work!$AA12)</f>
        <v>-3.58930255197019</v>
      </c>
      <c r="K11" s="8" t="str">
        <f aca="false">IF(Work!$B12="","",IF(Work!$L12="","no N peak; ","")&amp;IF(Work!$P12="","no C peak; ","")&amp;IF(Work!$L12="","",IF(Fits!$B$81&lt;=0,"",IF(Work!$L12&lt;Fits!$B$81,"N below linearity range; ",IF(Fits!$B$97&lt;=0,"",IF(Work!$L12&gt;Fits!$B$97,"N above linearity range; ","")))))&amp;IF(Work!$P12="","",IF(Fits!$B$82&lt;=0,"",IF(Work!$P12&lt;Fits!$B$82,"C below linearity range; ",IF(Fits!$B$104&lt;=0,"",IF(Work!$P12&gt;Fits!$B$104,"C above linearity range; ","")))))&amp;IF(OR(Work!$D12="Sample",Work!$D12="Check"),IF(Work!$AA12="","",IF(Fits!$B$138="","",IF(AND(Work!$AA12&gt;=Fits!$B$138,Work!$AA12&lt;=Fits!$B$139),"","d15N outside anchor range; "))),"")&amp;IF(OR(Work!$D12="Sample",Work!$D12="Check"),IF(Work!$AF12="","",IF(Fits!$B$158="","",IF(AND(Work!$AF12&gt;=Fits!$B$158,Work!$AF12&lt;=Fits!$B$159),"","d13C outside anchor range; "))),"")&amp;IF(Work!$D12&lt;&gt;"Check","",IF(Work!$AA12="","",IF(Work!$S12="","",IF(ABS(Work!$AA12-Work!$S12)&lt;=Setup!$B$20,"","check d15N off by "&amp;TEXT(Work!$AA12-Work!$S12,"+0.00;-0.00")&amp;"; "))))&amp;IF(Work!$D12&lt;&gt;"Check","",IF(Work!$AF12="","",IF(Work!$T12="","",IF(ABS(Work!$AF12-Work!$T12)&lt;=Setup!$B$20,"","check d13C off by "&amp;TEXT(Work!$AF12-Work!$T12,"+0.00;-0.00")&amp;"; "))))&amp;IF(Work!$D12&lt;&gt;"Drift","",IF(Work!$BX12=1,"excluded from N drift fit; ",IF(Work!$CB12="","",IF(ABS(Work!$CB12)&gt;Setup!$B$27,"N drift monitor outlier; ",""))))&amp;IF(Work!$D12&lt;&gt;"Drift","",IF(Work!$BY12=1,"excluded from C drift fit; ",IF(Work!$CC12="","",IF(ABS(Work!$CC12)&gt;Setup!$B$27,"C drift monitor outlier; ",""))))&amp;IF(Work!$D12="Blank","",IF(Work!$L12="","",IF(Setup!$B$25="","",IF(Fits!$B$6&lt;=0,"",IF(Work!$L12&gt;=Fits!$B$6*Setup!$B$25,"","N peak only "&amp;TEXT(Work!$L12/Fits!$B$6,"0.0")&amp;"x the blank; ")))))&amp;IF(Work!$D12="Blank","",IF(Work!$P12="","",IF(Setup!$B$25="","",IF(Fits!$B$10&lt;=0,"",IF(Work!$P12&gt;=Fits!$B$10*Setup!$B$25,"","C peak only "&amp;TEXT(Work!$P12/Fits!$B$10,"0.0")&amp;"x the blank; ")))))&amp;IF(Work!$A12&gt;=Fits!$B$86,"","ran before the background settled; ")&amp;IF(Work!$EN12=1,"possible carryover from an oversized sample; ",""))</f>
        <v>ran before the background settled; </v>
      </c>
      <c r="L11" s="26" t="n">
        <f aca="false">IF(Work!$CN12="","",Work!$CN12)</f>
        <v>0.037896510785952</v>
      </c>
      <c r="M11" s="26" t="n">
        <f aca="false">IF(Work!$CO12="","",Work!$CO12)</f>
        <v>0.0757930215719041</v>
      </c>
      <c r="N11" s="26" t="n">
        <f aca="false">IF(Work!$CL12="","",Work!$CL12)</f>
        <v>0.246521823623442</v>
      </c>
      <c r="O11" s="26" t="n">
        <f aca="false">IF(Work!$CM12="","",Work!$CM12)</f>
        <v>0.493043647246885</v>
      </c>
    </row>
    <row r="12" customFormat="false" ht="15" hidden="false" customHeight="false" outlineLevel="0" collapsed="false">
      <c r="A12" s="8" t="n">
        <f aca="false">IF(Work!$B13="","",Work!$A13)</f>
        <v>8</v>
      </c>
      <c r="B12" s="8" t="str">
        <f aca="false">IF(Work!$B13="","",Work!$B13)</f>
        <v>Ace Lin3</v>
      </c>
      <c r="C12" s="8" t="str">
        <f aca="false">IF(Work!$B13="","",Work!$D13)</f>
        <v>Linearity</v>
      </c>
      <c r="D12" s="16" t="n">
        <f aca="false">IF(Work!$G13="","",Work!$G13)</f>
        <v>0.572</v>
      </c>
      <c r="E12" s="23" t="n">
        <f aca="false">IF(Work!$AJ13="","",Work!$AJ13)</f>
        <v>70.235792280613</v>
      </c>
      <c r="F12" s="23" t="n">
        <f aca="false">IF(Work!$AI13="","",Work!$AI13)</f>
        <v>10.4440274028824</v>
      </c>
      <c r="G12" s="23" t="n">
        <f aca="false">IF(Work!$AK13="","",Work!$AK13)</f>
        <v>7.84253462487283</v>
      </c>
      <c r="H12" s="23" t="n">
        <f aca="false">IF(Work!$AL13="","",Work!$AL13)</f>
        <v>6.72497204107572</v>
      </c>
      <c r="I12" s="23" t="n">
        <f aca="false">IF(Work!$AF13="","",Work!$AF13)</f>
        <v>-26.5300107231876</v>
      </c>
      <c r="J12" s="23" t="n">
        <f aca="false">IF(Work!$AA13="","",Work!$AA13)</f>
        <v>-4.98778086173885</v>
      </c>
      <c r="K12" s="8" t="str">
        <f aca="false">IF(Work!$B13="","",IF(Work!$L13="","no N peak; ","")&amp;IF(Work!$P13="","no C peak; ","")&amp;IF(Work!$L13="","",IF(Fits!$B$81&lt;=0,"",IF(Work!$L13&lt;Fits!$B$81,"N below linearity range; ",IF(Fits!$B$97&lt;=0,"",IF(Work!$L13&gt;Fits!$B$97,"N above linearity range; ","")))))&amp;IF(Work!$P13="","",IF(Fits!$B$82&lt;=0,"",IF(Work!$P13&lt;Fits!$B$82,"C below linearity range; ",IF(Fits!$B$104&lt;=0,"",IF(Work!$P13&gt;Fits!$B$104,"C above linearity range; ","")))))&amp;IF(OR(Work!$D13="Sample",Work!$D13="Check"),IF(Work!$AA13="","",IF(Fits!$B$138="","",IF(AND(Work!$AA13&gt;=Fits!$B$138,Work!$AA13&lt;=Fits!$B$139),"","d15N outside anchor range; "))),"")&amp;IF(OR(Work!$D13="Sample",Work!$D13="Check"),IF(Work!$AF13="","",IF(Fits!$B$158="","",IF(AND(Work!$AF13&gt;=Fits!$B$158,Work!$AF13&lt;=Fits!$B$159),"","d13C outside anchor range; "))),"")&amp;IF(Work!$D13&lt;&gt;"Check","",IF(Work!$AA13="","",IF(Work!$S13="","",IF(ABS(Work!$AA13-Work!$S13)&lt;=Setup!$B$20,"","check d15N off by "&amp;TEXT(Work!$AA13-Work!$S13,"+0.00;-0.00")&amp;"; "))))&amp;IF(Work!$D13&lt;&gt;"Check","",IF(Work!$AF13="","",IF(Work!$T13="","",IF(ABS(Work!$AF13-Work!$T13)&lt;=Setup!$B$20,"","check d13C off by "&amp;TEXT(Work!$AF13-Work!$T13,"+0.00;-0.00")&amp;"; "))))&amp;IF(Work!$D13&lt;&gt;"Drift","",IF(Work!$BX13=1,"excluded from N drift fit; ",IF(Work!$CB13="","",IF(ABS(Work!$CB13)&gt;Setup!$B$27,"N drift monitor outlier; ",""))))&amp;IF(Work!$D13&lt;&gt;"Drift","",IF(Work!$BY13=1,"excluded from C drift fit; ",IF(Work!$CC13="","",IF(ABS(Work!$CC13)&gt;Setup!$B$27,"C drift monitor outlier; ",""))))&amp;IF(Work!$D13="Blank","",IF(Work!$L13="","",IF(Setup!$B$25="","",IF(Fits!$B$6&lt;=0,"",IF(Work!$L13&gt;=Fits!$B$6*Setup!$B$25,"","N peak only "&amp;TEXT(Work!$L13/Fits!$B$6,"0.0")&amp;"x the blank; ")))))&amp;IF(Work!$D13="Blank","",IF(Work!$P13="","",IF(Setup!$B$25="","",IF(Fits!$B$10&lt;=0,"",IF(Work!$P13&gt;=Fits!$B$10*Setup!$B$25,"","C peak only "&amp;TEXT(Work!$P13/Fits!$B$10,"0.0")&amp;"x the blank; ")))))&amp;IF(Work!$A13&gt;=Fits!$B$86,"","ran before the background settled; ")&amp;IF(Work!$EN13=1,"possible carryover from an oversized sample; ",""))</f>
        <v>ran before the background settled; </v>
      </c>
      <c r="L12" s="26" t="n">
        <f aca="false">IF(Work!$CN13="","",Work!$CN13)</f>
        <v>0.037954302355838</v>
      </c>
      <c r="M12" s="26" t="n">
        <f aca="false">IF(Work!$CO13="","",Work!$CO13)</f>
        <v>0.0759086047116761</v>
      </c>
      <c r="N12" s="26" t="n">
        <f aca="false">IF(Work!$CL13="","",Work!$CL13)</f>
        <v>0.254472252081171</v>
      </c>
      <c r="O12" s="26" t="n">
        <f aca="false">IF(Work!$CM13="","",Work!$CM13)</f>
        <v>0.508944504162341</v>
      </c>
    </row>
    <row r="13" customFormat="false" ht="15" hidden="false" customHeight="false" outlineLevel="0" collapsed="false">
      <c r="A13" s="8" t="n">
        <f aca="false">IF(Work!$B14="","",Work!$A14)</f>
        <v>9</v>
      </c>
      <c r="B13" s="8" t="str">
        <f aca="false">IF(Work!$B14="","",Work!$B14)</f>
        <v>Ace Lin4</v>
      </c>
      <c r="C13" s="8" t="str">
        <f aca="false">IF(Work!$B14="","",Work!$D14)</f>
        <v>Linearity</v>
      </c>
      <c r="D13" s="16" t="n">
        <f aca="false">IF(Work!$G14="","",Work!$G14)</f>
        <v>0.788</v>
      </c>
      <c r="E13" s="23" t="n">
        <f aca="false">IF(Work!$AJ14="","",Work!$AJ14)</f>
        <v>68.9094592367116</v>
      </c>
      <c r="F13" s="23" t="n">
        <f aca="false">IF(Work!$AI14="","",Work!$AI14)</f>
        <v>10.2896564717989</v>
      </c>
      <c r="G13" s="23" t="n">
        <f aca="false">IF(Work!$AK14="","",Work!$AK14)</f>
        <v>7.80987221040947</v>
      </c>
      <c r="H13" s="23" t="n">
        <f aca="false">IF(Work!$AL14="","",Work!$AL14)</f>
        <v>6.69696402650304</v>
      </c>
      <c r="I13" s="23" t="n">
        <f aca="false">IF(Work!$AF14="","",Work!$AF14)</f>
        <v>-26.6091764802957</v>
      </c>
      <c r="J13" s="23" t="n">
        <f aca="false">IF(Work!$AA14="","",Work!$AA14)</f>
        <v>-5.16050146631169</v>
      </c>
      <c r="K13" s="8" t="str">
        <f aca="false">IF(Work!$B14="","",IF(Work!$L14="","no N peak; ","")&amp;IF(Work!$P14="","no C peak; ","")&amp;IF(Work!$L14="","",IF(Fits!$B$81&lt;=0,"",IF(Work!$L14&lt;Fits!$B$81,"N below linearity range; ",IF(Fits!$B$97&lt;=0,"",IF(Work!$L14&gt;Fits!$B$97,"N above linearity range; ","")))))&amp;IF(Work!$P14="","",IF(Fits!$B$82&lt;=0,"",IF(Work!$P14&lt;Fits!$B$82,"C below linearity range; ",IF(Fits!$B$104&lt;=0,"",IF(Work!$P14&gt;Fits!$B$104,"C above linearity range; ","")))))&amp;IF(OR(Work!$D14="Sample",Work!$D14="Check"),IF(Work!$AA14="","",IF(Fits!$B$138="","",IF(AND(Work!$AA14&gt;=Fits!$B$138,Work!$AA14&lt;=Fits!$B$139),"","d15N outside anchor range; "))),"")&amp;IF(OR(Work!$D14="Sample",Work!$D14="Check"),IF(Work!$AF14="","",IF(Fits!$B$158="","",IF(AND(Work!$AF14&gt;=Fits!$B$158,Work!$AF14&lt;=Fits!$B$159),"","d13C outside anchor range; "))),"")&amp;IF(Work!$D14&lt;&gt;"Check","",IF(Work!$AA14="","",IF(Work!$S14="","",IF(ABS(Work!$AA14-Work!$S14)&lt;=Setup!$B$20,"","check d15N off by "&amp;TEXT(Work!$AA14-Work!$S14,"+0.00;-0.00")&amp;"; "))))&amp;IF(Work!$D14&lt;&gt;"Check","",IF(Work!$AF14="","",IF(Work!$T14="","",IF(ABS(Work!$AF14-Work!$T14)&lt;=Setup!$B$20,"","check d13C off by "&amp;TEXT(Work!$AF14-Work!$T14,"+0.00;-0.00")&amp;"; "))))&amp;IF(Work!$D14&lt;&gt;"Drift","",IF(Work!$BX14=1,"excluded from N drift fit; ",IF(Work!$CB14="","",IF(ABS(Work!$CB14)&gt;Setup!$B$27,"N drift monitor outlier; ",""))))&amp;IF(Work!$D14&lt;&gt;"Drift","",IF(Work!$BY14=1,"excluded from C drift fit; ",IF(Work!$CC14="","",IF(ABS(Work!$CC14)&gt;Setup!$B$27,"C drift monitor outlier; ",""))))&amp;IF(Work!$D14="Blank","",IF(Work!$L14="","",IF(Setup!$B$25="","",IF(Fits!$B$6&lt;=0,"",IF(Work!$L14&gt;=Fits!$B$6*Setup!$B$25,"","N peak only "&amp;TEXT(Work!$L14/Fits!$B$6,"0.0")&amp;"x the blank; ")))))&amp;IF(Work!$D14="Blank","",IF(Work!$P14="","",IF(Setup!$B$25="","",IF(Fits!$B$10&lt;=0,"",IF(Work!$P14&gt;=Fits!$B$10*Setup!$B$25,"","C peak only "&amp;TEXT(Work!$P14/Fits!$B$10,"0.0")&amp;"x the blank; ")))))&amp;IF(Work!$A14&gt;=Fits!$B$86,"","ran before the background settled; ")&amp;IF(Work!$EN14=1,"possible carryover from an oversized sample; ",""))</f>
        <v>ran before the background settled; </v>
      </c>
      <c r="L13" s="26" t="n">
        <f aca="false">IF(Work!$CN14="","",Work!$CN14)</f>
        <v>0.0378854535155009</v>
      </c>
      <c r="M13" s="26" t="n">
        <f aca="false">IF(Work!$CO14="","",Work!$CO14)</f>
        <v>0.0757709070310019</v>
      </c>
      <c r="N13" s="26" t="n">
        <f aca="false">IF(Work!$CL14="","",Work!$CL14)</f>
        <v>0.255477392993817</v>
      </c>
      <c r="O13" s="26" t="n">
        <f aca="false">IF(Work!$CM14="","",Work!$CM14)</f>
        <v>0.510954785987634</v>
      </c>
    </row>
    <row r="14" customFormat="false" ht="15" hidden="false" customHeight="false" outlineLevel="0" collapsed="false">
      <c r="A14" s="8" t="n">
        <f aca="false">IF(Work!$B15="","",Work!$A15)</f>
        <v>10</v>
      </c>
      <c r="B14" s="8" t="str">
        <f aca="false">IF(Work!$B15="","",Work!$B15)</f>
        <v>Ace Drift1</v>
      </c>
      <c r="C14" s="8" t="str">
        <f aca="false">IF(Work!$B15="","",Work!$D15)</f>
        <v>Drift</v>
      </c>
      <c r="D14" s="16" t="n">
        <f aca="false">IF(Work!$G15="","",Work!$G15)</f>
        <v>0.4</v>
      </c>
      <c r="E14" s="23" t="n">
        <f aca="false">IF(Work!$AJ15="","",Work!$AJ15)</f>
        <v>70.2742145595156</v>
      </c>
      <c r="F14" s="23" t="n">
        <f aca="false">IF(Work!$AI15="","",Work!$AI15)</f>
        <v>10.0828913006753</v>
      </c>
      <c r="G14" s="23" t="n">
        <f aca="false">IF(Work!$AK15="","",Work!$AK15)</f>
        <v>8.12787239473654</v>
      </c>
      <c r="H14" s="23" t="n">
        <f aca="false">IF(Work!$AL15="","",Work!$AL15)</f>
        <v>6.96964912780614</v>
      </c>
      <c r="I14" s="23" t="n">
        <f aca="false">IF(Work!$AF15="","",Work!$AF15)</f>
        <v>-26.6125707484483</v>
      </c>
      <c r="J14" s="23" t="n">
        <f aca="false">IF(Work!$AA15="","",Work!$AA15)</f>
        <v>-5.00265759762402</v>
      </c>
      <c r="K14" s="8" t="str">
        <f aca="false">IF(Work!$B15="","",IF(Work!$L15="","no N peak; ","")&amp;IF(Work!$P15="","no C peak; ","")&amp;IF(Work!$L15="","",IF(Fits!$B$81&lt;=0,"",IF(Work!$L15&lt;Fits!$B$81,"N below linearity range; ",IF(Fits!$B$97&lt;=0,"",IF(Work!$L15&gt;Fits!$B$97,"N above linearity range; ","")))))&amp;IF(Work!$P15="","",IF(Fits!$B$82&lt;=0,"",IF(Work!$P15&lt;Fits!$B$82,"C below linearity range; ",IF(Fits!$B$104&lt;=0,"",IF(Work!$P15&gt;Fits!$B$104,"C above linearity range; ","")))))&amp;IF(OR(Work!$D15="Sample",Work!$D15="Check"),IF(Work!$AA15="","",IF(Fits!$B$138="","",IF(AND(Work!$AA15&gt;=Fits!$B$138,Work!$AA15&lt;=Fits!$B$139),"","d15N outside anchor range; "))),"")&amp;IF(OR(Work!$D15="Sample",Work!$D15="Check"),IF(Work!$AF15="","",IF(Fits!$B$158="","",IF(AND(Work!$AF15&gt;=Fits!$B$158,Work!$AF15&lt;=Fits!$B$159),"","d13C outside anchor range; "))),"")&amp;IF(Work!$D15&lt;&gt;"Check","",IF(Work!$AA15="","",IF(Work!$S15="","",IF(ABS(Work!$AA15-Work!$S15)&lt;=Setup!$B$20,"","check d15N off by "&amp;TEXT(Work!$AA15-Work!$S15,"+0.00;-0.00")&amp;"; "))))&amp;IF(Work!$D15&lt;&gt;"Check","",IF(Work!$AF15="","",IF(Work!$T15="","",IF(ABS(Work!$AF15-Work!$T15)&lt;=Setup!$B$20,"","check d13C off by "&amp;TEXT(Work!$AF15-Work!$T15,"+0.00;-0.00")&amp;"; "))))&amp;IF(Work!$D15&lt;&gt;"Drift","",IF(Work!$BX15=1,"excluded from N drift fit; ",IF(Work!$CB15="","",IF(ABS(Work!$CB15)&gt;Setup!$B$27,"N drift monitor outlier; ",""))))&amp;IF(Work!$D15&lt;&gt;"Drift","",IF(Work!$BY15=1,"excluded from C drift fit; ",IF(Work!$CC15="","",IF(ABS(Work!$CC15)&gt;Setup!$B$27,"C drift monitor outlier; ",""))))&amp;IF(Work!$D15="Blank","",IF(Work!$L15="","",IF(Setup!$B$25="","",IF(Fits!$B$6&lt;=0,"",IF(Work!$L15&gt;=Fits!$B$6*Setup!$B$25,"","N peak only "&amp;TEXT(Work!$L15/Fits!$B$6,"0.0")&amp;"x the blank; ")))))&amp;IF(Work!$D15="Blank","",IF(Work!$P15="","",IF(Setup!$B$25="","",IF(Fits!$B$10&lt;=0,"",IF(Work!$P15&gt;=Fits!$B$10*Setup!$B$25,"","C peak only "&amp;TEXT(Work!$P15/Fits!$B$10,"0.0")&amp;"x the blank; ")))))&amp;IF(Work!$A15&gt;=Fits!$B$86,"","ran before the background settled; ")&amp;IF(Work!$EN15=1,"possible carryover from an oversized sample; ",""))</f>
        <v>ran before the background settled; </v>
      </c>
      <c r="L14" s="26" t="n">
        <f aca="false">IF(Work!$CN15="","",Work!$CN15)</f>
        <v>0.03788252944442</v>
      </c>
      <c r="M14" s="26" t="n">
        <f aca="false">IF(Work!$CO15="","",Work!$CO15)</f>
        <v>0.07576505888884</v>
      </c>
      <c r="N14" s="26" t="n">
        <f aca="false">IF(Work!$CL15="","",Work!$CL15)</f>
        <v>0.254558632217453</v>
      </c>
      <c r="O14" s="26" t="n">
        <f aca="false">IF(Work!$CM15="","",Work!$CM15)</f>
        <v>0.509117264434906</v>
      </c>
    </row>
    <row r="15" customFormat="false" ht="15" hidden="false" customHeight="false" outlineLevel="0" collapsed="false">
      <c r="A15" s="8" t="n">
        <f aca="false">IF(Work!$B16="","",Work!$A16)</f>
        <v>11</v>
      </c>
      <c r="B15" s="8" t="str">
        <f aca="false">IF(Work!$B16="","",Work!$B16)</f>
        <v>USGS 64</v>
      </c>
      <c r="C15" s="8" t="str">
        <f aca="false">IF(Work!$B16="","",Work!$D16)</f>
        <v>Anchor</v>
      </c>
      <c r="D15" s="16" t="n">
        <f aca="false">IF(Work!$G16="","",Work!$G16)</f>
        <v>0.397</v>
      </c>
      <c r="E15" s="23" t="n">
        <f aca="false">IF(Work!$AJ16="","",Work!$AJ16)</f>
        <v>31.2498095418661</v>
      </c>
      <c r="F15" s="23" t="n">
        <f aca="false">IF(Work!$AI16="","",Work!$AI16)</f>
        <v>18.6940830900161</v>
      </c>
      <c r="G15" s="23" t="n">
        <f aca="false">IF(Work!$AK16="","",Work!$AK16)</f>
        <v>1.94943683460046</v>
      </c>
      <c r="H15" s="23" t="n">
        <f aca="false">IF(Work!$AL16="","",Work!$AL16)</f>
        <v>1.67164173773014</v>
      </c>
      <c r="I15" s="23" t="n">
        <f aca="false">IF(Work!$AF16="","",Work!$AF16)</f>
        <v>-40.7945858915913</v>
      </c>
      <c r="J15" s="23" t="n">
        <f aca="false">IF(Work!$AA16="","",Work!$AA16)</f>
        <v>1.65868297325424</v>
      </c>
      <c r="K15" s="8" t="str">
        <f aca="false">IF(Work!$B16="","",IF(Work!$L16="","no N peak; ","")&amp;IF(Work!$P16="","no C peak; ","")&amp;IF(Work!$L16="","",IF(Fits!$B$81&lt;=0,"",IF(Work!$L16&lt;Fits!$B$81,"N below linearity range; ",IF(Fits!$B$97&lt;=0,"",IF(Work!$L16&gt;Fits!$B$97,"N above linearity range; ","")))))&amp;IF(Work!$P16="","",IF(Fits!$B$82&lt;=0,"",IF(Work!$P16&lt;Fits!$B$82,"C below linearity range; ",IF(Fits!$B$104&lt;=0,"",IF(Work!$P16&gt;Fits!$B$104,"C above linearity range; ","")))))&amp;IF(OR(Work!$D16="Sample",Work!$D16="Check"),IF(Work!$AA16="","",IF(Fits!$B$138="","",IF(AND(Work!$AA16&gt;=Fits!$B$138,Work!$AA16&lt;=Fits!$B$139),"","d15N outside anchor range; "))),"")&amp;IF(OR(Work!$D16="Sample",Work!$D16="Check"),IF(Work!$AF16="","",IF(Fits!$B$158="","",IF(AND(Work!$AF16&gt;=Fits!$B$158,Work!$AF16&lt;=Fits!$B$159),"","d13C outside anchor range; "))),"")&amp;IF(Work!$D16&lt;&gt;"Check","",IF(Work!$AA16="","",IF(Work!$S16="","",IF(ABS(Work!$AA16-Work!$S16)&lt;=Setup!$B$20,"","check d15N off by "&amp;TEXT(Work!$AA16-Work!$S16,"+0.00;-0.00")&amp;"; "))))&amp;IF(Work!$D16&lt;&gt;"Check","",IF(Work!$AF16="","",IF(Work!$T16="","",IF(ABS(Work!$AF16-Work!$T16)&lt;=Setup!$B$20,"","check d13C off by "&amp;TEXT(Work!$AF16-Work!$T16,"+0.00;-0.00")&amp;"; "))))&amp;IF(Work!$D16&lt;&gt;"Drift","",IF(Work!$BX16=1,"excluded from N drift fit; ",IF(Work!$CB16="","",IF(ABS(Work!$CB16)&gt;Setup!$B$27,"N drift monitor outlier; ",""))))&amp;IF(Work!$D16&lt;&gt;"Drift","",IF(Work!$BY16=1,"excluded from C drift fit; ",IF(Work!$CC16="","",IF(ABS(Work!$CC16)&gt;Setup!$B$27,"C drift monitor outlier; ",""))))&amp;IF(Work!$D16="Blank","",IF(Work!$L16="","",IF(Setup!$B$25="","",IF(Fits!$B$6&lt;=0,"",IF(Work!$L16&gt;=Fits!$B$6*Setup!$B$25,"","N peak only "&amp;TEXT(Work!$L16/Fits!$B$6,"0.0")&amp;"x the blank; ")))))&amp;IF(Work!$D16="Blank","",IF(Work!$P16="","",IF(Setup!$B$25="","",IF(Fits!$B$10&lt;=0,"",IF(Work!$P16&gt;=Fits!$B$10*Setup!$B$25,"","C peak only "&amp;TEXT(Work!$P16/Fits!$B$10,"0.0")&amp;"x the blank; ")))))&amp;IF(Work!$A16&gt;=Fits!$B$86,"","ran before the background settled; ")&amp;IF(Work!$EN16=1,"possible carryover from an oversized sample; ",""))</f>
        <v>ran before the background settled; </v>
      </c>
      <c r="L15" s="26" t="n">
        <f aca="false">IF(Work!$CN16="","",Work!$CN16)</f>
        <v>0.0466541638023693</v>
      </c>
      <c r="M15" s="26" t="n">
        <f aca="false">IF(Work!$CO16="","",Work!$CO16)</f>
        <v>0.0933083276047385</v>
      </c>
      <c r="N15" s="26" t="n">
        <f aca="false">IF(Work!$CL16="","",Work!$CL16)</f>
        <v>0.220176398544159</v>
      </c>
      <c r="O15" s="26" t="n">
        <f aca="false">IF(Work!$CM16="","",Work!$CM16)</f>
        <v>0.440352797088319</v>
      </c>
    </row>
    <row r="16" customFormat="false" ht="15" hidden="false" customHeight="false" outlineLevel="0" collapsed="false">
      <c r="A16" s="8" t="n">
        <f aca="false">IF(Work!$B17="","",Work!$A17)</f>
        <v>12</v>
      </c>
      <c r="B16" s="8" t="str">
        <f aca="false">IF(Work!$B17="","",Work!$B17)</f>
        <v>USGS 64</v>
      </c>
      <c r="C16" s="8" t="str">
        <f aca="false">IF(Work!$B17="","",Work!$D17)</f>
        <v>Anchor</v>
      </c>
      <c r="D16" s="16" t="n">
        <f aca="false">IF(Work!$G17="","",Work!$G17)</f>
        <v>0.409</v>
      </c>
      <c r="E16" s="23" t="n">
        <f aca="false">IF(Work!$AJ17="","",Work!$AJ17)</f>
        <v>31.2891137757451</v>
      </c>
      <c r="F16" s="23" t="n">
        <f aca="false">IF(Work!$AI17="","",Work!$AI17)</f>
        <v>18.7821314113091</v>
      </c>
      <c r="G16" s="23" t="n">
        <f aca="false">IF(Work!$AK17="","",Work!$AK17)</f>
        <v>1.94273851122067</v>
      </c>
      <c r="H16" s="23" t="n">
        <f aca="false">IF(Work!$AL17="","",Work!$AL17)</f>
        <v>1.66589792662751</v>
      </c>
      <c r="I16" s="23" t="n">
        <f aca="false">IF(Work!$AF17="","",Work!$AF17)</f>
        <v>-40.8337045199911</v>
      </c>
      <c r="J16" s="23" t="n">
        <f aca="false">IF(Work!$AA17="","",Work!$AA17)</f>
        <v>2.00336763117612</v>
      </c>
      <c r="K16" s="8" t="str">
        <f aca="false">IF(Work!$B17="","",IF(Work!$L17="","no N peak; ","")&amp;IF(Work!$P17="","no C peak; ","")&amp;IF(Work!$L17="","",IF(Fits!$B$81&lt;=0,"",IF(Work!$L17&lt;Fits!$B$81,"N below linearity range; ",IF(Fits!$B$97&lt;=0,"",IF(Work!$L17&gt;Fits!$B$97,"N above linearity range; ","")))))&amp;IF(Work!$P17="","",IF(Fits!$B$82&lt;=0,"",IF(Work!$P17&lt;Fits!$B$82,"C below linearity range; ",IF(Fits!$B$104&lt;=0,"",IF(Work!$P17&gt;Fits!$B$104,"C above linearity range; ","")))))&amp;IF(OR(Work!$D17="Sample",Work!$D17="Check"),IF(Work!$AA17="","",IF(Fits!$B$138="","",IF(AND(Work!$AA17&gt;=Fits!$B$138,Work!$AA17&lt;=Fits!$B$139),"","d15N outside anchor range; "))),"")&amp;IF(OR(Work!$D17="Sample",Work!$D17="Check"),IF(Work!$AF17="","",IF(Fits!$B$158="","",IF(AND(Work!$AF17&gt;=Fits!$B$158,Work!$AF17&lt;=Fits!$B$159),"","d13C outside anchor range; "))),"")&amp;IF(Work!$D17&lt;&gt;"Check","",IF(Work!$AA17="","",IF(Work!$S17="","",IF(ABS(Work!$AA17-Work!$S17)&lt;=Setup!$B$20,"","check d15N off by "&amp;TEXT(Work!$AA17-Work!$S17,"+0.00;-0.00")&amp;"; "))))&amp;IF(Work!$D17&lt;&gt;"Check","",IF(Work!$AF17="","",IF(Work!$T17="","",IF(ABS(Work!$AF17-Work!$T17)&lt;=Setup!$B$20,"","check d13C off by "&amp;TEXT(Work!$AF17-Work!$T17,"+0.00;-0.00")&amp;"; "))))&amp;IF(Work!$D17&lt;&gt;"Drift","",IF(Work!$BX17=1,"excluded from N drift fit; ",IF(Work!$CB17="","",IF(ABS(Work!$CB17)&gt;Setup!$B$27,"N drift monitor outlier; ",""))))&amp;IF(Work!$D17&lt;&gt;"Drift","",IF(Work!$BY17=1,"excluded from C drift fit; ",IF(Work!$CC17="","",IF(ABS(Work!$CC17)&gt;Setup!$B$27,"C drift monitor outlier; ",""))))&amp;IF(Work!$D17="Blank","",IF(Work!$L17="","",IF(Setup!$B$25="","",IF(Fits!$B$6&lt;=0,"",IF(Work!$L17&gt;=Fits!$B$6*Setup!$B$25,"","N peak only "&amp;TEXT(Work!$L17/Fits!$B$6,"0.0")&amp;"x the blank; ")))))&amp;IF(Work!$D17="Blank","",IF(Work!$P17="","",IF(Setup!$B$25="","",IF(Fits!$B$10&lt;=0,"",IF(Work!$P17&gt;=Fits!$B$10*Setup!$B$25,"","C peak only "&amp;TEXT(Work!$P17/Fits!$B$10,"0.0")&amp;"x the blank; ")))))&amp;IF(Work!$A17&gt;=Fits!$B$86,"","ran before the background settled; ")&amp;IF(Work!$EN17=1,"possible carryover from an oversized sample; ",""))</f>
        <v>ran before the background settled; </v>
      </c>
      <c r="L16" s="26" t="n">
        <f aca="false">IF(Work!$CN17="","",Work!$CN17)</f>
        <v>0.0467254392374568</v>
      </c>
      <c r="M16" s="26" t="n">
        <f aca="false">IF(Work!$CO17="","",Work!$CO17)</f>
        <v>0.0934508784749136</v>
      </c>
      <c r="N16" s="26" t="n">
        <f aca="false">IF(Work!$CL17="","",Work!$CL17)</f>
        <v>0.21867018734307</v>
      </c>
      <c r="O16" s="26" t="n">
        <f aca="false">IF(Work!$CM17="","",Work!$CM17)</f>
        <v>0.43734037468614</v>
      </c>
    </row>
    <row r="17" customFormat="false" ht="15" hidden="false" customHeight="false" outlineLevel="0" collapsed="false">
      <c r="A17" s="8" t="n">
        <f aca="false">IF(Work!$B18="","",Work!$A18)</f>
        <v>13</v>
      </c>
      <c r="B17" s="8" t="str">
        <f aca="false">IF(Work!$B18="","",Work!$B18)</f>
        <v>USGS 64</v>
      </c>
      <c r="C17" s="8" t="str">
        <f aca="false">IF(Work!$B18="","",Work!$D18)</f>
        <v>Anchor</v>
      </c>
      <c r="D17" s="16" t="n">
        <f aca="false">IF(Work!$G18="","",Work!$G18)</f>
        <v>0.389</v>
      </c>
      <c r="E17" s="23" t="n">
        <f aca="false">IF(Work!$AJ18="","",Work!$AJ18)</f>
        <v>31.4685662153371</v>
      </c>
      <c r="F17" s="23" t="n">
        <f aca="false">IF(Work!$AI18="","",Work!$AI18)</f>
        <v>18.7647171145185</v>
      </c>
      <c r="G17" s="23" t="n">
        <f aca="false">IF(Work!$AK18="","",Work!$AK18)</f>
        <v>1.95569396635104</v>
      </c>
      <c r="H17" s="23" t="n">
        <f aca="false">IF(Work!$AL18="","",Work!$AL18)</f>
        <v>1.67700722708948</v>
      </c>
      <c r="I17" s="23" t="n">
        <f aca="false">IF(Work!$AF18="","",Work!$AF18)</f>
        <v>-40.8016249310297</v>
      </c>
      <c r="J17" s="23" t="n">
        <f aca="false">IF(Work!$AA18="","",Work!$AA18)</f>
        <v>1.62430088025122</v>
      </c>
      <c r="K17" s="8" t="str">
        <f aca="false">IF(Work!$B18="","",IF(Work!$L18="","no N peak; ","")&amp;IF(Work!$P18="","no C peak; ","")&amp;IF(Work!$L18="","",IF(Fits!$B$81&lt;=0,"",IF(Work!$L18&lt;Fits!$B$81,"N below linearity range; ",IF(Fits!$B$97&lt;=0,"",IF(Work!$L18&gt;Fits!$B$97,"N above linearity range; ","")))))&amp;IF(Work!$P18="","",IF(Fits!$B$82&lt;=0,"",IF(Work!$P18&lt;Fits!$B$82,"C below linearity range; ",IF(Fits!$B$104&lt;=0,"",IF(Work!$P18&gt;Fits!$B$104,"C above linearity range; ","")))))&amp;IF(OR(Work!$D18="Sample",Work!$D18="Check"),IF(Work!$AA18="","",IF(Fits!$B$138="","",IF(AND(Work!$AA18&gt;=Fits!$B$138,Work!$AA18&lt;=Fits!$B$139),"","d15N outside anchor range; "))),"")&amp;IF(OR(Work!$D18="Sample",Work!$D18="Check"),IF(Work!$AF18="","",IF(Fits!$B$158="","",IF(AND(Work!$AF18&gt;=Fits!$B$158,Work!$AF18&lt;=Fits!$B$159),"","d13C outside anchor range; "))),"")&amp;IF(Work!$D18&lt;&gt;"Check","",IF(Work!$AA18="","",IF(Work!$S18="","",IF(ABS(Work!$AA18-Work!$S18)&lt;=Setup!$B$20,"","check d15N off by "&amp;TEXT(Work!$AA18-Work!$S18,"+0.00;-0.00")&amp;"; "))))&amp;IF(Work!$D18&lt;&gt;"Check","",IF(Work!$AF18="","",IF(Work!$T18="","",IF(ABS(Work!$AF18-Work!$T18)&lt;=Setup!$B$20,"","check d13C off by "&amp;TEXT(Work!$AF18-Work!$T18,"+0.00;-0.00")&amp;"; "))))&amp;IF(Work!$D18&lt;&gt;"Drift","",IF(Work!$BX18=1,"excluded from N drift fit; ",IF(Work!$CB18="","",IF(ABS(Work!$CB18)&gt;Setup!$B$27,"N drift monitor outlier; ",""))))&amp;IF(Work!$D18&lt;&gt;"Drift","",IF(Work!$BY18=1,"excluded from C drift fit; ",IF(Work!$CC18="","",IF(ABS(Work!$CC18)&gt;Setup!$B$27,"C drift monitor outlier; ",""))))&amp;IF(Work!$D18="Blank","",IF(Work!$L18="","",IF(Setup!$B$25="","",IF(Fits!$B$6&lt;=0,"",IF(Work!$L18&gt;=Fits!$B$6*Setup!$B$25,"","N peak only "&amp;TEXT(Work!$L18/Fits!$B$6,"0.0")&amp;"x the blank; ")))))&amp;IF(Work!$D18="Blank","",IF(Work!$P18="","",IF(Setup!$B$25="","",IF(Fits!$B$10&lt;=0,"",IF(Work!$P18&gt;=Fits!$B$10*Setup!$B$25,"","C peak only "&amp;TEXT(Work!$P18/Fits!$B$10,"0.0")&amp;"x the blank; ")))))&amp;IF(Work!$A18&gt;=Fits!$B$86,"","ran before the background settled; ")&amp;IF(Work!$EN18=1,"possible carryover from an oversized sample; ",""))</f>
        <v>ran before the background settled; </v>
      </c>
      <c r="L17" s="26" t="n">
        <f aca="false">IF(Work!$CN18="","",Work!$CN18)</f>
        <v>0.0466669771469431</v>
      </c>
      <c r="M17" s="26" t="n">
        <f aca="false">IF(Work!$CO18="","",Work!$CO18)</f>
        <v>0.0933339542938861</v>
      </c>
      <c r="N17" s="26" t="n">
        <f aca="false">IF(Work!$CL18="","",Work!$CL18)</f>
        <v>0.220328326061678</v>
      </c>
      <c r="O17" s="26" t="n">
        <f aca="false">IF(Work!$CM18="","",Work!$CM18)</f>
        <v>0.440656652123356</v>
      </c>
    </row>
    <row r="18" customFormat="false" ht="15" hidden="false" customHeight="false" outlineLevel="0" collapsed="false">
      <c r="A18" s="8" t="n">
        <f aca="false">IF(Work!$B19="","",Work!$A19)</f>
        <v>14</v>
      </c>
      <c r="B18" s="8" t="str">
        <f aca="false">IF(Work!$B19="","",Work!$B19)</f>
        <v>Ace Drift2</v>
      </c>
      <c r="C18" s="8" t="str">
        <f aca="false">IF(Work!$B19="","",Work!$D19)</f>
        <v>Drift</v>
      </c>
      <c r="D18" s="16" t="n">
        <f aca="false">IF(Work!$G19="","",Work!$G19)</f>
        <v>0.428</v>
      </c>
      <c r="E18" s="23" t="n">
        <f aca="false">IF(Work!$AJ19="","",Work!$AJ19)</f>
        <v>71.927079753743</v>
      </c>
      <c r="F18" s="23" t="n">
        <f aca="false">IF(Work!$AI19="","",Work!$AI19)</f>
        <v>10.3113566313495</v>
      </c>
      <c r="G18" s="23" t="n">
        <f aca="false">IF(Work!$AK19="","",Work!$AK19)</f>
        <v>8.13471949880736</v>
      </c>
      <c r="H18" s="23" t="n">
        <f aca="false">IF(Work!$AL19="","",Work!$AL19)</f>
        <v>6.97552051832478</v>
      </c>
      <c r="I18" s="23" t="n">
        <f aca="false">IF(Work!$AF19="","",Work!$AF19)</f>
        <v>-26.6751862599204</v>
      </c>
      <c r="J18" s="23" t="n">
        <f aca="false">IF(Work!$AA19="","",Work!$AA19)</f>
        <v>-5.16894856921935</v>
      </c>
      <c r="K18" s="8" t="str">
        <f aca="false">IF(Work!$B19="","",IF(Work!$L19="","no N peak; ","")&amp;IF(Work!$P19="","no C peak; ","")&amp;IF(Work!$L19="","",IF(Fits!$B$81&lt;=0,"",IF(Work!$L19&lt;Fits!$B$81,"N below linearity range; ",IF(Fits!$B$97&lt;=0,"",IF(Work!$L19&gt;Fits!$B$97,"N above linearity range; ","")))))&amp;IF(Work!$P19="","",IF(Fits!$B$82&lt;=0,"",IF(Work!$P19&lt;Fits!$B$82,"C below linearity range; ",IF(Fits!$B$104&lt;=0,"",IF(Work!$P19&gt;Fits!$B$104,"C above linearity range; ","")))))&amp;IF(OR(Work!$D19="Sample",Work!$D19="Check"),IF(Work!$AA19="","",IF(Fits!$B$138="","",IF(AND(Work!$AA19&gt;=Fits!$B$138,Work!$AA19&lt;=Fits!$B$139),"","d15N outside anchor range; "))),"")&amp;IF(OR(Work!$D19="Sample",Work!$D19="Check"),IF(Work!$AF19="","",IF(Fits!$B$158="","",IF(AND(Work!$AF19&gt;=Fits!$B$158,Work!$AF19&lt;=Fits!$B$159),"","d13C outside anchor range; "))),"")&amp;IF(Work!$D19&lt;&gt;"Check","",IF(Work!$AA19="","",IF(Work!$S19="","",IF(ABS(Work!$AA19-Work!$S19)&lt;=Setup!$B$20,"","check d15N off by "&amp;TEXT(Work!$AA19-Work!$S19,"+0.00;-0.00")&amp;"; "))))&amp;IF(Work!$D19&lt;&gt;"Check","",IF(Work!$AF19="","",IF(Work!$T19="","",IF(ABS(Work!$AF19-Work!$T19)&lt;=Setup!$B$20,"","check d13C off by "&amp;TEXT(Work!$AF19-Work!$T19,"+0.00;-0.00")&amp;"; "))))&amp;IF(Work!$D19&lt;&gt;"Drift","",IF(Work!$BX19=1,"excluded from N drift fit; ",IF(Work!$CB19="","",IF(ABS(Work!$CB19)&gt;Setup!$B$27,"N drift monitor outlier; ",""))))&amp;IF(Work!$D19&lt;&gt;"Drift","",IF(Work!$BY19=1,"excluded from C drift fit; ",IF(Work!$CC19="","",IF(ABS(Work!$CC19)&gt;Setup!$B$27,"C drift monitor outlier; ",""))))&amp;IF(Work!$D19="Blank","",IF(Work!$L19="","",IF(Setup!$B$25="","",IF(Fits!$B$6&lt;=0,"",IF(Work!$L19&gt;=Fits!$B$6*Setup!$B$25,"","N peak only "&amp;TEXT(Work!$L19/Fits!$B$6,"0.0")&amp;"x the blank; ")))))&amp;IF(Work!$D19="Blank","",IF(Work!$P19="","",IF(Setup!$B$25="","",IF(Fits!$B$10&lt;=0,"",IF(Work!$P19&gt;=Fits!$B$10*Setup!$B$25,"","C peak only "&amp;TEXT(Work!$P19/Fits!$B$10,"0.0")&amp;"x the blank; ")))))&amp;IF(Work!$A19&gt;=Fits!$B$86,"","ran before the background settled; ")&amp;IF(Work!$EN19=1,"possible carryover from an oversized sample; ",""))</f>
        <v>ran before the background settled; </v>
      </c>
      <c r="L18" s="26" t="n">
        <f aca="false">IF(Work!$CN19="","",Work!$CN19)</f>
        <v>0.0378290000558458</v>
      </c>
      <c r="M18" s="26" t="n">
        <f aca="false">IF(Work!$CO19="","",Work!$CO19)</f>
        <v>0.0756580001116916</v>
      </c>
      <c r="N18" s="26" t="n">
        <f aca="false">IF(Work!$CL19="","",Work!$CL19)</f>
        <v>0.255526676832596</v>
      </c>
      <c r="O18" s="26" t="n">
        <f aca="false">IF(Work!$CM19="","",Work!$CM19)</f>
        <v>0.511053353665191</v>
      </c>
    </row>
    <row r="19" customFormat="false" ht="15" hidden="false" customHeight="false" outlineLevel="0" collapsed="false">
      <c r="A19" s="8" t="n">
        <f aca="false">IF(Work!$B20="","",Work!$A20)</f>
        <v>15</v>
      </c>
      <c r="B19" s="8" t="str">
        <f aca="false">IF(Work!$B20="","",Work!$B20)</f>
        <v>USGS 65</v>
      </c>
      <c r="C19" s="8" t="str">
        <f aca="false">IF(Work!$B20="","",Work!$D20)</f>
        <v>Anchor</v>
      </c>
      <c r="D19" s="16" t="n">
        <f aca="false">IF(Work!$G20="","",Work!$G20)</f>
        <v>0.402</v>
      </c>
      <c r="E19" s="23" t="n">
        <f aca="false">IF(Work!$AJ20="","",Work!$AJ20)</f>
        <v>31.4022147257094</v>
      </c>
      <c r="F19" s="23" t="n">
        <f aca="false">IF(Work!$AI20="","",Work!$AI20)</f>
        <v>18.6588124102383</v>
      </c>
      <c r="G19" s="23" t="n">
        <f aca="false">IF(Work!$AK20="","",Work!$AK20)</f>
        <v>1.96264721405733</v>
      </c>
      <c r="H19" s="23" t="n">
        <f aca="false">IF(Work!$AL20="","",Work!$AL20)</f>
        <v>1.6829696357566</v>
      </c>
      <c r="I19" s="23" t="n">
        <f aca="false">IF(Work!$AF20="","",Work!$AF20)</f>
        <v>-20.2661957234765</v>
      </c>
      <c r="J19" s="23" t="n">
        <f aca="false">IF(Work!$AA20="","",Work!$AA20)</f>
        <v>20.7667646273303</v>
      </c>
      <c r="K19" s="8" t="str">
        <f aca="false">IF(Work!$B20="","",IF(Work!$L20="","no N peak; ","")&amp;IF(Work!$P20="","no C peak; ","")&amp;IF(Work!$L20="","",IF(Fits!$B$81&lt;=0,"",IF(Work!$L20&lt;Fits!$B$81,"N below linearity range; ",IF(Fits!$B$97&lt;=0,"",IF(Work!$L20&gt;Fits!$B$97,"N above linearity range; ","")))))&amp;IF(Work!$P20="","",IF(Fits!$B$82&lt;=0,"",IF(Work!$P20&lt;Fits!$B$82,"C below linearity range; ",IF(Fits!$B$104&lt;=0,"",IF(Work!$P20&gt;Fits!$B$104,"C above linearity range; ","")))))&amp;IF(OR(Work!$D20="Sample",Work!$D20="Check"),IF(Work!$AA20="","",IF(Fits!$B$138="","",IF(AND(Work!$AA20&gt;=Fits!$B$138,Work!$AA20&lt;=Fits!$B$139),"","d15N outside anchor range; "))),"")&amp;IF(OR(Work!$D20="Sample",Work!$D20="Check"),IF(Work!$AF20="","",IF(Fits!$B$158="","",IF(AND(Work!$AF20&gt;=Fits!$B$158,Work!$AF20&lt;=Fits!$B$159),"","d13C outside anchor range; "))),"")&amp;IF(Work!$D20&lt;&gt;"Check","",IF(Work!$AA20="","",IF(Work!$S20="","",IF(ABS(Work!$AA20-Work!$S20)&lt;=Setup!$B$20,"","check d15N off by "&amp;TEXT(Work!$AA20-Work!$S20,"+0.00;-0.00")&amp;"; "))))&amp;IF(Work!$D20&lt;&gt;"Check","",IF(Work!$AF20="","",IF(Work!$T20="","",IF(ABS(Work!$AF20-Work!$T20)&lt;=Setup!$B$20,"","check d13C off by "&amp;TEXT(Work!$AF20-Work!$T20,"+0.00;-0.00")&amp;"; "))))&amp;IF(Work!$D20&lt;&gt;"Drift","",IF(Work!$BX20=1,"excluded from N drift fit; ",IF(Work!$CB20="","",IF(ABS(Work!$CB20)&gt;Setup!$B$27,"N drift monitor outlier; ",""))))&amp;IF(Work!$D20&lt;&gt;"Drift","",IF(Work!$BY20=1,"excluded from C drift fit; ",IF(Work!$CC20="","",IF(ABS(Work!$CC20)&gt;Setup!$B$27,"C drift monitor outlier; ",""))))&amp;IF(Work!$D20="Blank","",IF(Work!$L20="","",IF(Setup!$B$25="","",IF(Fits!$B$6&lt;=0,"",IF(Work!$L20&gt;=Fits!$B$6*Setup!$B$25,"","N peak only "&amp;TEXT(Work!$L20/Fits!$B$6,"0.0")&amp;"x the blank; ")))))&amp;IF(Work!$D20="Blank","",IF(Work!$P20="","",IF(Setup!$B$25="","",IF(Fits!$B$10&lt;=0,"",IF(Work!$P20&gt;=Fits!$B$10*Setup!$B$25,"","C peak only "&amp;TEXT(Work!$P20/Fits!$B$10,"0.0")&amp;"x the blank; ")))))&amp;IF(Work!$A20&gt;=Fits!$B$86,"","ran before the background settled; ")&amp;IF(Work!$EN20=1,"possible carryover from an oversized sample; ",""))</f>
        <v>ran before the background settled; </v>
      </c>
      <c r="L19" s="26" t="n">
        <f aca="false">IF(Work!$CN20="","",Work!$CN20)</f>
        <v>0.0467218457030558</v>
      </c>
      <c r="M19" s="26" t="n">
        <f aca="false">IF(Work!$CO20="","",Work!$CO20)</f>
        <v>0.0934436914061116</v>
      </c>
      <c r="N19" s="26" t="n">
        <f aca="false">IF(Work!$CL20="","",Work!$CL20)</f>
        <v>0.197717880621335</v>
      </c>
      <c r="O19" s="26" t="n">
        <f aca="false">IF(Work!$CM20="","",Work!$CM20)</f>
        <v>0.395435761242671</v>
      </c>
    </row>
    <row r="20" customFormat="false" ht="15" hidden="false" customHeight="false" outlineLevel="0" collapsed="false">
      <c r="A20" s="8" t="n">
        <f aca="false">IF(Work!$B21="","",Work!$A21)</f>
        <v>16</v>
      </c>
      <c r="B20" s="8" t="str">
        <f aca="false">IF(Work!$B21="","",Work!$B21)</f>
        <v>USGS 65</v>
      </c>
      <c r="C20" s="8" t="str">
        <f aca="false">IF(Work!$B21="","",Work!$D21)</f>
        <v>Anchor</v>
      </c>
      <c r="D20" s="16" t="n">
        <f aca="false">IF(Work!$G21="","",Work!$G21)</f>
        <v>0.43</v>
      </c>
      <c r="E20" s="23" t="n">
        <f aca="false">IF(Work!$AJ21="","",Work!$AJ21)</f>
        <v>31.4676920172859</v>
      </c>
      <c r="F20" s="23" t="n">
        <f aca="false">IF(Work!$AI21="","",Work!$AI21)</f>
        <v>18.5060354782249</v>
      </c>
      <c r="G20" s="23" t="n">
        <f aca="false">IF(Work!$AK21="","",Work!$AK21)</f>
        <v>1.98297601942724</v>
      </c>
      <c r="H20" s="23" t="n">
        <f aca="false">IF(Work!$AL21="","",Work!$AL21)</f>
        <v>1.70040158273296</v>
      </c>
      <c r="I20" s="23" t="n">
        <f aca="false">IF(Work!$AF21="","",Work!$AF21)</f>
        <v>-20.29915657787</v>
      </c>
      <c r="J20" s="23" t="n">
        <f aca="false">IF(Work!$AA21="","",Work!$AA21)</f>
        <v>20.5324481581748</v>
      </c>
      <c r="K20" s="8" t="str">
        <f aca="false">IF(Work!$B21="","",IF(Work!$L21="","no N peak; ","")&amp;IF(Work!$P21="","no C peak; ","")&amp;IF(Work!$L21="","",IF(Fits!$B$81&lt;=0,"",IF(Work!$L21&lt;Fits!$B$81,"N below linearity range; ",IF(Fits!$B$97&lt;=0,"",IF(Work!$L21&gt;Fits!$B$97,"N above linearity range; ","")))))&amp;IF(Work!$P21="","",IF(Fits!$B$82&lt;=0,"",IF(Work!$P21&lt;Fits!$B$82,"C below linearity range; ",IF(Fits!$B$104&lt;=0,"",IF(Work!$P21&gt;Fits!$B$104,"C above linearity range; ","")))))&amp;IF(OR(Work!$D21="Sample",Work!$D21="Check"),IF(Work!$AA21="","",IF(Fits!$B$138="","",IF(AND(Work!$AA21&gt;=Fits!$B$138,Work!$AA21&lt;=Fits!$B$139),"","d15N outside anchor range; "))),"")&amp;IF(OR(Work!$D21="Sample",Work!$D21="Check"),IF(Work!$AF21="","",IF(Fits!$B$158="","",IF(AND(Work!$AF21&gt;=Fits!$B$158,Work!$AF21&lt;=Fits!$B$159),"","d13C outside anchor range; "))),"")&amp;IF(Work!$D21&lt;&gt;"Check","",IF(Work!$AA21="","",IF(Work!$S21="","",IF(ABS(Work!$AA21-Work!$S21)&lt;=Setup!$B$20,"","check d15N off by "&amp;TEXT(Work!$AA21-Work!$S21,"+0.00;-0.00")&amp;"; "))))&amp;IF(Work!$D21&lt;&gt;"Check","",IF(Work!$AF21="","",IF(Work!$T21="","",IF(ABS(Work!$AF21-Work!$T21)&lt;=Setup!$B$20,"","check d13C off by "&amp;TEXT(Work!$AF21-Work!$T21,"+0.00;-0.00")&amp;"; "))))&amp;IF(Work!$D21&lt;&gt;"Drift","",IF(Work!$BX21=1,"excluded from N drift fit; ",IF(Work!$CB21="","",IF(ABS(Work!$CB21)&gt;Setup!$B$27,"N drift monitor outlier; ",""))))&amp;IF(Work!$D21&lt;&gt;"Drift","",IF(Work!$BY21=1,"excluded from C drift fit; ",IF(Work!$CC21="","",IF(ABS(Work!$CC21)&gt;Setup!$B$27,"C drift monitor outlier; ",""))))&amp;IF(Work!$D21="Blank","",IF(Work!$L21="","",IF(Setup!$B$25="","",IF(Fits!$B$6&lt;=0,"",IF(Work!$L21&gt;=Fits!$B$6*Setup!$B$25,"","N peak only "&amp;TEXT(Work!$L21/Fits!$B$6,"0.0")&amp;"x the blank; ")))))&amp;IF(Work!$D21="Blank","",IF(Work!$P21="","",IF(Setup!$B$25="","",IF(Fits!$B$10&lt;=0,"",IF(Work!$P21&gt;=Fits!$B$10*Setup!$B$25,"","C peak only "&amp;TEXT(Work!$P21/Fits!$B$10,"0.0")&amp;"x the blank; ")))))&amp;IF(Work!$A21&gt;=Fits!$B$86,"","ran before the background settled; ")&amp;IF(Work!$EN21=1,"possible carryover from an oversized sample; ",""))</f>
        <v>ran before the background settled; </v>
      </c>
      <c r="L20" s="26" t="n">
        <f aca="false">IF(Work!$CN21="","",Work!$CN21)</f>
        <v>0.0466617860403892</v>
      </c>
      <c r="M20" s="26" t="n">
        <f aca="false">IF(Work!$CO21="","",Work!$CO21)</f>
        <v>0.0933235720807783</v>
      </c>
      <c r="N20" s="26" t="n">
        <f aca="false">IF(Work!$CL21="","",Work!$CL21)</f>
        <v>0.197157874202169</v>
      </c>
      <c r="O20" s="26" t="n">
        <f aca="false">IF(Work!$CM21="","",Work!$CM21)</f>
        <v>0.394315748404337</v>
      </c>
    </row>
    <row r="21" customFormat="false" ht="15" hidden="false" customHeight="false" outlineLevel="0" collapsed="false">
      <c r="A21" s="8" t="n">
        <f aca="false">IF(Work!$B22="","",Work!$A22)</f>
        <v>17</v>
      </c>
      <c r="B21" s="8" t="str">
        <f aca="false">IF(Work!$B22="","",Work!$B22)</f>
        <v>USGS 65</v>
      </c>
      <c r="C21" s="8" t="str">
        <f aca="false">IF(Work!$B22="","",Work!$D22)</f>
        <v>Anchor</v>
      </c>
      <c r="D21" s="16" t="n">
        <f aca="false">IF(Work!$G22="","",Work!$G22)</f>
        <v>0.423</v>
      </c>
      <c r="E21" s="23" t="n">
        <f aca="false">IF(Work!$AJ22="","",Work!$AJ22)</f>
        <v>30.7144555411954</v>
      </c>
      <c r="F21" s="23" t="n">
        <f aca="false">IF(Work!$AI22="","",Work!$AI22)</f>
        <v>18.183541386903</v>
      </c>
      <c r="G21" s="23" t="n">
        <f aca="false">IF(Work!$AK22="","",Work!$AK22)</f>
        <v>1.96983710369536</v>
      </c>
      <c r="H21" s="23" t="n">
        <f aca="false">IF(Work!$AL22="","",Work!$AL22)</f>
        <v>1.68913496483793</v>
      </c>
      <c r="I21" s="23" t="n">
        <f aca="false">IF(Work!$AF22="","",Work!$AF22)</f>
        <v>-20.3047323560414</v>
      </c>
      <c r="J21" s="23" t="n">
        <f aca="false">IF(Work!$AA22="","",Work!$AA22)</f>
        <v>20.7344357298134</v>
      </c>
      <c r="K21" s="8" t="str">
        <f aca="false">IF(Work!$B22="","",IF(Work!$L22="","no N peak; ","")&amp;IF(Work!$P22="","no C peak; ","")&amp;IF(Work!$L22="","",IF(Fits!$B$81&lt;=0,"",IF(Work!$L22&lt;Fits!$B$81,"N below linearity range; ",IF(Fits!$B$97&lt;=0,"",IF(Work!$L22&gt;Fits!$B$97,"N above linearity range; ","")))))&amp;IF(Work!$P22="","",IF(Fits!$B$82&lt;=0,"",IF(Work!$P22&lt;Fits!$B$82,"C below linearity range; ",IF(Fits!$B$104&lt;=0,"",IF(Work!$P22&gt;Fits!$B$104,"C above linearity range; ","")))))&amp;IF(OR(Work!$D22="Sample",Work!$D22="Check"),IF(Work!$AA22="","",IF(Fits!$B$138="","",IF(AND(Work!$AA22&gt;=Fits!$B$138,Work!$AA22&lt;=Fits!$B$139),"","d15N outside anchor range; "))),"")&amp;IF(OR(Work!$D22="Sample",Work!$D22="Check"),IF(Work!$AF22="","",IF(Fits!$B$158="","",IF(AND(Work!$AF22&gt;=Fits!$B$158,Work!$AF22&lt;=Fits!$B$159),"","d13C outside anchor range; "))),"")&amp;IF(Work!$D22&lt;&gt;"Check","",IF(Work!$AA22="","",IF(Work!$S22="","",IF(ABS(Work!$AA22-Work!$S22)&lt;=Setup!$B$20,"","check d15N off by "&amp;TEXT(Work!$AA22-Work!$S22,"+0.00;-0.00")&amp;"; "))))&amp;IF(Work!$D22&lt;&gt;"Check","",IF(Work!$AF22="","",IF(Work!$T22="","",IF(ABS(Work!$AF22-Work!$T22)&lt;=Setup!$B$20,"","check d13C off by "&amp;TEXT(Work!$AF22-Work!$T22,"+0.00;-0.00")&amp;"; "))))&amp;IF(Work!$D22&lt;&gt;"Drift","",IF(Work!$BX22=1,"excluded from N drift fit; ",IF(Work!$CB22="","",IF(ABS(Work!$CB22)&gt;Setup!$B$27,"N drift monitor outlier; ",""))))&amp;IF(Work!$D22&lt;&gt;"Drift","",IF(Work!$BY22=1,"excluded from C drift fit; ",IF(Work!$CC22="","",IF(ABS(Work!$CC22)&gt;Setup!$B$27,"C drift monitor outlier; ",""))))&amp;IF(Work!$D22="Blank","",IF(Work!$L22="","",IF(Setup!$B$25="","",IF(Fits!$B$6&lt;=0,"",IF(Work!$L22&gt;=Fits!$B$6*Setup!$B$25,"","N peak only "&amp;TEXT(Work!$L22/Fits!$B$6,"0.0")&amp;"x the blank; ")))))&amp;IF(Work!$D22="Blank","",IF(Work!$P22="","",IF(Setup!$B$25="","",IF(Fits!$B$10&lt;=0,"",IF(Work!$P22&gt;=Fits!$B$10*Setup!$B$25,"","C peak only "&amp;TEXT(Work!$P22/Fits!$B$10,"0.0")&amp;"x the blank; ")))))&amp;IF(Work!$A22&gt;=Fits!$B$86,"","ran before the background settled; ")&amp;IF(Work!$EN22=1,"possible carryover from an oversized sample; ",""))</f>
        <v>ran before the background settled; </v>
      </c>
      <c r="L21" s="26" t="n">
        <f aca="false">IF(Work!$CN22="","",Work!$CN22)</f>
        <v>0.0466516375679046</v>
      </c>
      <c r="M21" s="26" t="n">
        <f aca="false">IF(Work!$CO22="","",Work!$CO22)</f>
        <v>0.0933032751358092</v>
      </c>
      <c r="N21" s="26" t="n">
        <f aca="false">IF(Work!$CL22="","",Work!$CL22)</f>
        <v>0.197639454330597</v>
      </c>
      <c r="O21" s="26" t="n">
        <f aca="false">IF(Work!$CM22="","",Work!$CM22)</f>
        <v>0.395278908661194</v>
      </c>
    </row>
    <row r="22" customFormat="false" ht="15" hidden="false" customHeight="false" outlineLevel="0" collapsed="false">
      <c r="A22" s="8" t="n">
        <f aca="false">IF(Work!$B23="","",Work!$A23)</f>
        <v>18</v>
      </c>
      <c r="B22" s="8" t="str">
        <f aca="false">IF(Work!$B23="","",Work!$B23)</f>
        <v>Ace Drift3</v>
      </c>
      <c r="C22" s="8" t="str">
        <f aca="false">IF(Work!$B23="","",Work!$D23)</f>
        <v>Drift</v>
      </c>
      <c r="D22" s="16" t="n">
        <f aca="false">IF(Work!$G23="","",Work!$G23)</f>
        <v>0.415</v>
      </c>
      <c r="E22" s="23" t="n">
        <f aca="false">IF(Work!$AJ23="","",Work!$AJ23)</f>
        <v>72.0271483727295</v>
      </c>
      <c r="F22" s="23" t="n">
        <f aca="false">IF(Work!$AI23="","",Work!$AI23)</f>
        <v>10.2180024621727</v>
      </c>
      <c r="G22" s="23" t="n">
        <f aca="false">IF(Work!$AK23="","",Work!$AK23)</f>
        <v>8.22046112059445</v>
      </c>
      <c r="H22" s="23" t="n">
        <f aca="false">IF(Work!$AL23="","",Work!$AL23)</f>
        <v>7.04904394370386</v>
      </c>
      <c r="I22" s="23" t="n">
        <f aca="false">IF(Work!$AF23="","",Work!$AF23)</f>
        <v>-26.5469906143264</v>
      </c>
      <c r="J22" s="23" t="n">
        <f aca="false">IF(Work!$AA23="","",Work!$AA23)</f>
        <v>-5.31470758595378</v>
      </c>
      <c r="K22" s="8" t="str">
        <f aca="false">IF(Work!$B23="","",IF(Work!$L23="","no N peak; ","")&amp;IF(Work!$P23="","no C peak; ","")&amp;IF(Work!$L23="","",IF(Fits!$B$81&lt;=0,"",IF(Work!$L23&lt;Fits!$B$81,"N below linearity range; ",IF(Fits!$B$97&lt;=0,"",IF(Work!$L23&gt;Fits!$B$97,"N above linearity range; ","")))))&amp;IF(Work!$P23="","",IF(Fits!$B$82&lt;=0,"",IF(Work!$P23&lt;Fits!$B$82,"C below linearity range; ",IF(Fits!$B$104&lt;=0,"",IF(Work!$P23&gt;Fits!$B$104,"C above linearity range; ","")))))&amp;IF(OR(Work!$D23="Sample",Work!$D23="Check"),IF(Work!$AA23="","",IF(Fits!$B$138="","",IF(AND(Work!$AA23&gt;=Fits!$B$138,Work!$AA23&lt;=Fits!$B$139),"","d15N outside anchor range; "))),"")&amp;IF(OR(Work!$D23="Sample",Work!$D23="Check"),IF(Work!$AF23="","",IF(Fits!$B$158="","",IF(AND(Work!$AF23&gt;=Fits!$B$158,Work!$AF23&lt;=Fits!$B$159),"","d13C outside anchor range; "))),"")&amp;IF(Work!$D23&lt;&gt;"Check","",IF(Work!$AA23="","",IF(Work!$S23="","",IF(ABS(Work!$AA23-Work!$S23)&lt;=Setup!$B$20,"","check d15N off by "&amp;TEXT(Work!$AA23-Work!$S23,"+0.00;-0.00")&amp;"; "))))&amp;IF(Work!$D23&lt;&gt;"Check","",IF(Work!$AF23="","",IF(Work!$T23="","",IF(ABS(Work!$AF23-Work!$T23)&lt;=Setup!$B$20,"","check d13C off by "&amp;TEXT(Work!$AF23-Work!$T23,"+0.00;-0.00")&amp;"; "))))&amp;IF(Work!$D23&lt;&gt;"Drift","",IF(Work!$BX23=1,"excluded from N drift fit; ",IF(Work!$CB23="","",IF(ABS(Work!$CB23)&gt;Setup!$B$27,"N drift monitor outlier; ",""))))&amp;IF(Work!$D23&lt;&gt;"Drift","",IF(Work!$BY23=1,"excluded from C drift fit; ",IF(Work!$CC23="","",IF(ABS(Work!$CC23)&gt;Setup!$B$27,"C drift monitor outlier; ",""))))&amp;IF(Work!$D23="Blank","",IF(Work!$L23="","",IF(Setup!$B$25="","",IF(Fits!$B$6&lt;=0,"",IF(Work!$L23&gt;=Fits!$B$6*Setup!$B$25,"","N peak only "&amp;TEXT(Work!$L23/Fits!$B$6,"0.0")&amp;"x the blank; ")))))&amp;IF(Work!$D23="Blank","",IF(Work!$P23="","",IF(Setup!$B$25="","",IF(Fits!$B$10&lt;=0,"",IF(Work!$P23&gt;=Fits!$B$10*Setup!$B$25,"","C peak only "&amp;TEXT(Work!$P23/Fits!$B$10,"0.0")&amp;"x the blank; ")))))&amp;IF(Work!$A23&gt;=Fits!$B$86,"","ran before the background settled; ")&amp;IF(Work!$EN23=1,"possible carryover from an oversized sample; ",""))</f>
        <v>ran before the background settled; </v>
      </c>
      <c r="L22" s="26" t="n">
        <f aca="false">IF(Work!$CN23="","",Work!$CN23)</f>
        <v>0.0379394304934676</v>
      </c>
      <c r="M22" s="26" t="n">
        <f aca="false">IF(Work!$CO23="","",Work!$CO23)</f>
        <v>0.0758788609869353</v>
      </c>
      <c r="N22" s="26" t="n">
        <f aca="false">IF(Work!$CL23="","",Work!$CL23)</f>
        <v>0.256378934785583</v>
      </c>
      <c r="O22" s="26" t="n">
        <f aca="false">IF(Work!$CM23="","",Work!$CM23)</f>
        <v>0.512757869571165</v>
      </c>
    </row>
    <row r="23" customFormat="false" ht="15" hidden="false" customHeight="false" outlineLevel="0" collapsed="false">
      <c r="A23" s="8" t="n">
        <f aca="false">IF(Work!$B24="","",Work!$A24)</f>
        <v>19</v>
      </c>
      <c r="B23" s="8" t="str">
        <f aca="false">IF(Work!$B24="","",Work!$B24)</f>
        <v>Ace Bypass</v>
      </c>
      <c r="C23" s="8" t="str">
        <f aca="false">IF(Work!$B24="","",Work!$D24)</f>
        <v>Exclude</v>
      </c>
      <c r="D23" s="16" t="n">
        <f aca="false">IF(Work!$G24="","",Work!$G24)</f>
        <v>0.454</v>
      </c>
      <c r="E23" s="23" t="n">
        <f aca="false">IF(Work!$AJ24="","",Work!$AJ24)</f>
        <v>71.2309103027176</v>
      </c>
      <c r="F23" s="23" t="n">
        <f aca="false">IF(Work!$AI24="","",Work!$AI24)</f>
        <v>10.1374540695662</v>
      </c>
      <c r="G23" s="23" t="n">
        <f aca="false">IF(Work!$AK24="","",Work!$AK24)</f>
        <v>8.1941810725918</v>
      </c>
      <c r="H23" s="23" t="n">
        <f aca="false">IF(Work!$AL24="","",Work!$AL24)</f>
        <v>7.0265088072321</v>
      </c>
      <c r="I23" s="23" t="n">
        <f aca="false">IF(Work!$AF24="","",Work!$AF24)</f>
        <v>-26.6435558110038</v>
      </c>
      <c r="J23" s="23" t="n">
        <f aca="false">IF(Work!$AA24="","",Work!$AA24)</f>
        <v>-5.29545441257719</v>
      </c>
      <c r="K23" s="8" t="str">
        <f aca="false">IF(Work!$B24="","",IF(Work!$L24="","no N peak; ","")&amp;IF(Work!$P24="","no C peak; ","")&amp;IF(Work!$L24="","",IF(Fits!$B$81&lt;=0,"",IF(Work!$L24&lt;Fits!$B$81,"N below linearity range; ",IF(Fits!$B$97&lt;=0,"",IF(Work!$L24&gt;Fits!$B$97,"N above linearity range; ","")))))&amp;IF(Work!$P24="","",IF(Fits!$B$82&lt;=0,"",IF(Work!$P24&lt;Fits!$B$82,"C below linearity range; ",IF(Fits!$B$104&lt;=0,"",IF(Work!$P24&gt;Fits!$B$104,"C above linearity range; ","")))))&amp;IF(OR(Work!$D24="Sample",Work!$D24="Check"),IF(Work!$AA24="","",IF(Fits!$B$138="","",IF(AND(Work!$AA24&gt;=Fits!$B$138,Work!$AA24&lt;=Fits!$B$139),"","d15N outside anchor range; "))),"")&amp;IF(OR(Work!$D24="Sample",Work!$D24="Check"),IF(Work!$AF24="","",IF(Fits!$B$158="","",IF(AND(Work!$AF24&gt;=Fits!$B$158,Work!$AF24&lt;=Fits!$B$159),"","d13C outside anchor range; "))),"")&amp;IF(Work!$D24&lt;&gt;"Check","",IF(Work!$AA24="","",IF(Work!$S24="","",IF(ABS(Work!$AA24-Work!$S24)&lt;=Setup!$B$20,"","check d15N off by "&amp;TEXT(Work!$AA24-Work!$S24,"+0.00;-0.00")&amp;"; "))))&amp;IF(Work!$D24&lt;&gt;"Check","",IF(Work!$AF24="","",IF(Work!$T24="","",IF(ABS(Work!$AF24-Work!$T24)&lt;=Setup!$B$20,"","check d13C off by "&amp;TEXT(Work!$AF24-Work!$T24,"+0.00;-0.00")&amp;"; "))))&amp;IF(Work!$D24&lt;&gt;"Drift","",IF(Work!$BX24=1,"excluded from N drift fit; ",IF(Work!$CB24="","",IF(ABS(Work!$CB24)&gt;Setup!$B$27,"N drift monitor outlier; ",""))))&amp;IF(Work!$D24&lt;&gt;"Drift","",IF(Work!$BY24=1,"excluded from C drift fit; ",IF(Work!$CC24="","",IF(ABS(Work!$CC24)&gt;Setup!$B$27,"C drift monitor outlier; ",""))))&amp;IF(Work!$D24="Blank","",IF(Work!$L24="","",IF(Setup!$B$25="","",IF(Fits!$B$6&lt;=0,"",IF(Work!$L24&gt;=Fits!$B$6*Setup!$B$25,"","N peak only "&amp;TEXT(Work!$L24/Fits!$B$6,"0.0")&amp;"x the blank; ")))))&amp;IF(Work!$D24="Blank","",IF(Work!$P24="","",IF(Setup!$B$25="","",IF(Fits!$B$10&lt;=0,"",IF(Work!$P24&gt;=Fits!$B$10*Setup!$B$25,"","C peak only "&amp;TEXT(Work!$P24/Fits!$B$10,"0.0")&amp;"x the blank; ")))))&amp;IF(Work!$A24&gt;=Fits!$B$86,"","ran before the background settled; ")&amp;IF(Work!$EN24=1,"possible carryover from an oversized sample; ",""))</f>
        <v>ran before the background settled; </v>
      </c>
      <c r="L23" s="26" t="n">
        <f aca="false">IF(Work!$CN24="","",Work!$CN24)</f>
        <v>0.0378559428013165</v>
      </c>
      <c r="M23" s="26" t="n">
        <f aca="false">IF(Work!$CO24="","",Work!$CO24)</f>
        <v>0.0757118856026331</v>
      </c>
      <c r="N23" s="26" t="n">
        <f aca="false">IF(Work!$CL24="","",Work!$CL24)</f>
        <v>0.256266161998815</v>
      </c>
      <c r="O23" s="26" t="n">
        <f aca="false">IF(Work!$CM24="","",Work!$CM24)</f>
        <v>0.512532323997631</v>
      </c>
    </row>
    <row r="24" customFormat="false" ht="15" hidden="false" customHeight="false" outlineLevel="0" collapsed="false">
      <c r="A24" s="8" t="n">
        <f aca="false">IF(Work!$B25="","",Work!$A25)</f>
        <v>20</v>
      </c>
      <c r="B24" s="8" t="str">
        <f aca="false">IF(Work!$B25="","",Work!$B25)</f>
        <v>Random</v>
      </c>
      <c r="C24" s="8" t="str">
        <f aca="false">IF(Work!$B25="","",Work!$D25)</f>
        <v>Sample</v>
      </c>
      <c r="D24" s="16" t="str">
        <f aca="false">IF(Work!$G25="","",Work!$G25)</f>
        <v/>
      </c>
      <c r="E24" s="23" t="str">
        <f aca="false">IF(Work!$AJ25="","",Work!$AJ25)</f>
        <v/>
      </c>
      <c r="F24" s="23" t="str">
        <f aca="false">IF(Work!$AI25="","",Work!$AI25)</f>
        <v/>
      </c>
      <c r="G24" s="23" t="n">
        <f aca="false">IF(Work!$AK25="","",Work!$AK25)</f>
        <v>8.17319646156837</v>
      </c>
      <c r="H24" s="23" t="n">
        <f aca="false">IF(Work!$AL25="","",Work!$AL25)</f>
        <v>7.00851450702489</v>
      </c>
      <c r="I24" s="23" t="n">
        <f aca="false">IF(Work!$AF25="","",Work!$AF25)</f>
        <v>-26.7065273827704</v>
      </c>
      <c r="J24" s="23" t="n">
        <f aca="false">IF(Work!$AA25="","",Work!$AA25)</f>
        <v>-5.15506270552128</v>
      </c>
      <c r="K24" s="8" t="str">
        <f aca="false">IF(Work!$B25="","",IF(Work!$L25="","no N peak; ","")&amp;IF(Work!$P25="","no C peak; ","")&amp;IF(Work!$L25="","",IF(Fits!$B$81&lt;=0,"",IF(Work!$L25&lt;Fits!$B$81,"N below linearity range; ",IF(Fits!$B$97&lt;=0,"",IF(Work!$L25&gt;Fits!$B$97,"N above linearity range; ","")))))&amp;IF(Work!$P25="","",IF(Fits!$B$82&lt;=0,"",IF(Work!$P25&lt;Fits!$B$82,"C below linearity range; ",IF(Fits!$B$104&lt;=0,"",IF(Work!$P25&gt;Fits!$B$104,"C above linearity range; ","")))))&amp;IF(OR(Work!$D25="Sample",Work!$D25="Check"),IF(Work!$AA25="","",IF(Fits!$B$138="","",IF(AND(Work!$AA25&gt;=Fits!$B$138,Work!$AA25&lt;=Fits!$B$139),"","d15N outside anchor range; "))),"")&amp;IF(OR(Work!$D25="Sample",Work!$D25="Check"),IF(Work!$AF25="","",IF(Fits!$B$158="","",IF(AND(Work!$AF25&gt;=Fits!$B$158,Work!$AF25&lt;=Fits!$B$159),"","d13C outside anchor range; "))),"")&amp;IF(Work!$D25&lt;&gt;"Check","",IF(Work!$AA25="","",IF(Work!$S25="","",IF(ABS(Work!$AA25-Work!$S25)&lt;=Setup!$B$20,"","check d15N off by "&amp;TEXT(Work!$AA25-Work!$S25,"+0.00;-0.00")&amp;"; "))))&amp;IF(Work!$D25&lt;&gt;"Check","",IF(Work!$AF25="","",IF(Work!$T25="","",IF(ABS(Work!$AF25-Work!$T25)&lt;=Setup!$B$20,"","check d13C off by "&amp;TEXT(Work!$AF25-Work!$T25,"+0.00;-0.00")&amp;"; "))))&amp;IF(Work!$D25&lt;&gt;"Drift","",IF(Work!$BX25=1,"excluded from N drift fit; ",IF(Work!$CB25="","",IF(ABS(Work!$CB25)&gt;Setup!$B$27,"N drift monitor outlier; ",""))))&amp;IF(Work!$D25&lt;&gt;"Drift","",IF(Work!$BY25=1,"excluded from C drift fit; ",IF(Work!$CC25="","",IF(ABS(Work!$CC25)&gt;Setup!$B$27,"C drift monitor outlier; ",""))))&amp;IF(Work!$D25="Blank","",IF(Work!$L25="","",IF(Setup!$B$25="","",IF(Fits!$B$6&lt;=0,"",IF(Work!$L25&gt;=Fits!$B$6*Setup!$B$25,"","N peak only "&amp;TEXT(Work!$L25/Fits!$B$6,"0.0")&amp;"x the blank; ")))))&amp;IF(Work!$D25="Blank","",IF(Work!$P25="","",IF(Setup!$B$25="","",IF(Fits!$B$10&lt;=0,"",IF(Work!$P25&gt;=Fits!$B$10*Setup!$B$25,"","C peak only "&amp;TEXT(Work!$P25/Fits!$B$10,"0.0")&amp;"x the blank; ")))))&amp;IF(Work!$A25&gt;=Fits!$B$86,"","ran before the background settled; ")&amp;IF(Work!$EN25=1,"possible carryover from an oversized sample; ",""))</f>
        <v>d15N outside anchor range; ran before the background settled; </v>
      </c>
      <c r="L24" s="26" t="n">
        <f aca="false">IF(Work!$CN25="","",Work!$CN25)</f>
        <v>0.0378025011498676</v>
      </c>
      <c r="M24" s="26" t="n">
        <f aca="false">IF(Work!$CO25="","",Work!$CO25)</f>
        <v>0.0756050022997352</v>
      </c>
      <c r="N24" s="26" t="n">
        <f aca="false">IF(Work!$CL25="","",Work!$CL25)</f>
        <v>0.255445667254762</v>
      </c>
      <c r="O24" s="26" t="n">
        <f aca="false">IF(Work!$CM25="","",Work!$CM25)</f>
        <v>0.510891334509524</v>
      </c>
    </row>
    <row r="25" customFormat="false" ht="15" hidden="false" customHeight="false" outlineLevel="0" collapsed="false">
      <c r="A25" s="8" t="n">
        <f aca="false">IF(Work!$B26="","",Work!$A26)</f>
        <v>21</v>
      </c>
      <c r="B25" s="8" t="str">
        <f aca="false">IF(Work!$B26="","",Work!$B26)</f>
        <v>Random</v>
      </c>
      <c r="C25" s="8" t="str">
        <f aca="false">IF(Work!$B26="","",Work!$D26)</f>
        <v>Sample</v>
      </c>
      <c r="D25" s="16" t="str">
        <f aca="false">IF(Work!$G26="","",Work!$G26)</f>
        <v/>
      </c>
      <c r="E25" s="23" t="str">
        <f aca="false">IF(Work!$AJ26="","",Work!$AJ26)</f>
        <v/>
      </c>
      <c r="F25" s="23" t="str">
        <f aca="false">IF(Work!$AI26="","",Work!$AI26)</f>
        <v/>
      </c>
      <c r="G25" s="23" t="n">
        <f aca="false">IF(Work!$AK26="","",Work!$AK26)</f>
        <v>9.37752205798355</v>
      </c>
      <c r="H25" s="23" t="n">
        <f aca="false">IF(Work!$AL26="","",Work!$AL26)</f>
        <v>8.04122349100024</v>
      </c>
      <c r="I25" s="23" t="n">
        <f aca="false">IF(Work!$AF26="","",Work!$AF26)</f>
        <v>-26.6174741869547</v>
      </c>
      <c r="J25" s="23" t="n">
        <f aca="false">IF(Work!$AA26="","",Work!$AA26)</f>
        <v>-5.29390558457363</v>
      </c>
      <c r="K25" s="8" t="str">
        <f aca="false">IF(Work!$B26="","",IF(Work!$L26="","no N peak; ","")&amp;IF(Work!$P26="","no C peak; ","")&amp;IF(Work!$L26="","",IF(Fits!$B$81&lt;=0,"",IF(Work!$L26&lt;Fits!$B$81,"N below linearity range; ",IF(Fits!$B$97&lt;=0,"",IF(Work!$L26&gt;Fits!$B$97,"N above linearity range; ","")))))&amp;IF(Work!$P26="","",IF(Fits!$B$82&lt;=0,"",IF(Work!$P26&lt;Fits!$B$82,"C below linearity range; ",IF(Fits!$B$104&lt;=0,"",IF(Work!$P26&gt;Fits!$B$104,"C above linearity range; ","")))))&amp;IF(OR(Work!$D26="Sample",Work!$D26="Check"),IF(Work!$AA26="","",IF(Fits!$B$138="","",IF(AND(Work!$AA26&gt;=Fits!$B$138,Work!$AA26&lt;=Fits!$B$139),"","d15N outside anchor range; "))),"")&amp;IF(OR(Work!$D26="Sample",Work!$D26="Check"),IF(Work!$AF26="","",IF(Fits!$B$158="","",IF(AND(Work!$AF26&gt;=Fits!$B$158,Work!$AF26&lt;=Fits!$B$159),"","d13C outside anchor range; "))),"")&amp;IF(Work!$D26&lt;&gt;"Check","",IF(Work!$AA26="","",IF(Work!$S26="","",IF(ABS(Work!$AA26-Work!$S26)&lt;=Setup!$B$20,"","check d15N off by "&amp;TEXT(Work!$AA26-Work!$S26,"+0.00;-0.00")&amp;"; "))))&amp;IF(Work!$D26&lt;&gt;"Check","",IF(Work!$AF26="","",IF(Work!$T26="","",IF(ABS(Work!$AF26-Work!$T26)&lt;=Setup!$B$20,"","check d13C off by "&amp;TEXT(Work!$AF26-Work!$T26,"+0.00;-0.00")&amp;"; "))))&amp;IF(Work!$D26&lt;&gt;"Drift","",IF(Work!$BX26=1,"excluded from N drift fit; ",IF(Work!$CB26="","",IF(ABS(Work!$CB26)&gt;Setup!$B$27,"N drift monitor outlier; ",""))))&amp;IF(Work!$D26&lt;&gt;"Drift","",IF(Work!$BY26=1,"excluded from C drift fit; ",IF(Work!$CC26="","",IF(ABS(Work!$CC26)&gt;Setup!$B$27,"C drift monitor outlier; ",""))))&amp;IF(Work!$D26="Blank","",IF(Work!$L26="","",IF(Setup!$B$25="","",IF(Fits!$B$6&lt;=0,"",IF(Work!$L26&gt;=Fits!$B$6*Setup!$B$25,"","N peak only "&amp;TEXT(Work!$L26/Fits!$B$6,"0.0")&amp;"x the blank; ")))))&amp;IF(Work!$D26="Blank","",IF(Work!$P26="","",IF(Setup!$B$25="","",IF(Fits!$B$10&lt;=0,"",IF(Work!$P26&gt;=Fits!$B$10*Setup!$B$25,"","C peak only "&amp;TEXT(Work!$P26/Fits!$B$10,"0.0")&amp;"x the blank; ")))))&amp;IF(Work!$A26&gt;=Fits!$B$86,"","ran before the background settled; ")&amp;IF(Work!$EN26=1,"possible carryover from an oversized sample; ",""))</f>
        <v>d15N outside anchor range; ran before the background settled; </v>
      </c>
      <c r="L25" s="26" t="n">
        <f aca="false">IF(Work!$CN26="","",Work!$CN26)</f>
        <v>0.0378783093158459</v>
      </c>
      <c r="M25" s="26" t="n">
        <f aca="false">IF(Work!$CO26="","",Work!$CO26)</f>
        <v>0.0757566186316918</v>
      </c>
      <c r="N25" s="26" t="n">
        <f aca="false">IF(Work!$CL26="","",Work!$CL26)</f>
        <v>0.256257092576626</v>
      </c>
      <c r="O25" s="26" t="n">
        <f aca="false">IF(Work!$CM26="","",Work!$CM26)</f>
        <v>0.512514185153252</v>
      </c>
    </row>
    <row r="26" customFormat="false" ht="15" hidden="false" customHeight="false" outlineLevel="0" collapsed="false">
      <c r="A26" s="8" t="n">
        <f aca="false">IF(Work!$B27="","",Work!$A27)</f>
        <v>22</v>
      </c>
      <c r="B26" s="8" t="str">
        <f aca="false">IF(Work!$B27="","",Work!$B27)</f>
        <v>Ace Drift4</v>
      </c>
      <c r="C26" s="8" t="str">
        <f aca="false">IF(Work!$B27="","",Work!$D27)</f>
        <v>Drift</v>
      </c>
      <c r="D26" s="16" t="n">
        <f aca="false">IF(Work!$G27="","",Work!$G27)</f>
        <v>0.402</v>
      </c>
      <c r="E26" s="23" t="n">
        <f aca="false">IF(Work!$AJ27="","",Work!$AJ27)</f>
        <v>72.9393666063782</v>
      </c>
      <c r="F26" s="23" t="n">
        <f aca="false">IF(Work!$AI27="","",Work!$AI27)</f>
        <v>10.3976268266219</v>
      </c>
      <c r="G26" s="23" t="n">
        <f aca="false">IF(Work!$AK27="","",Work!$AK27)</f>
        <v>8.180761337314</v>
      </c>
      <c r="H26" s="23" t="n">
        <f aca="false">IF(Work!$AL27="","",Work!$AL27)</f>
        <v>7.01500138662657</v>
      </c>
      <c r="I26" s="23" t="n">
        <f aca="false">IF(Work!$AF27="","",Work!$AF27)</f>
        <v>-26.6393361841822</v>
      </c>
      <c r="J26" s="23" t="n">
        <f aca="false">IF(Work!$AA27="","",Work!$AA27)</f>
        <v>-5.18123201657994</v>
      </c>
      <c r="K26" s="8" t="str">
        <f aca="false">IF(Work!$B27="","",IF(Work!$L27="","no N peak; ","")&amp;IF(Work!$P27="","no C peak; ","")&amp;IF(Work!$L27="","",IF(Fits!$B$81&lt;=0,"",IF(Work!$L27&lt;Fits!$B$81,"N below linearity range; ",IF(Fits!$B$97&lt;=0,"",IF(Work!$L27&gt;Fits!$B$97,"N above linearity range; ","")))))&amp;IF(Work!$P27="","",IF(Fits!$B$82&lt;=0,"",IF(Work!$P27&lt;Fits!$B$82,"C below linearity range; ",IF(Fits!$B$104&lt;=0,"",IF(Work!$P27&gt;Fits!$B$104,"C above linearity range; ","")))))&amp;IF(OR(Work!$D27="Sample",Work!$D27="Check"),IF(Work!$AA27="","",IF(Fits!$B$138="","",IF(AND(Work!$AA27&gt;=Fits!$B$138,Work!$AA27&lt;=Fits!$B$139),"","d15N outside anchor range; "))),"")&amp;IF(OR(Work!$D27="Sample",Work!$D27="Check"),IF(Work!$AF27="","",IF(Fits!$B$158="","",IF(AND(Work!$AF27&gt;=Fits!$B$158,Work!$AF27&lt;=Fits!$B$159),"","d13C outside anchor range; "))),"")&amp;IF(Work!$D27&lt;&gt;"Check","",IF(Work!$AA27="","",IF(Work!$S27="","",IF(ABS(Work!$AA27-Work!$S27)&lt;=Setup!$B$20,"","check d15N off by "&amp;TEXT(Work!$AA27-Work!$S27,"+0.00;-0.00")&amp;"; "))))&amp;IF(Work!$D27&lt;&gt;"Check","",IF(Work!$AF27="","",IF(Work!$T27="","",IF(ABS(Work!$AF27-Work!$T27)&lt;=Setup!$B$20,"","check d13C off by "&amp;TEXT(Work!$AF27-Work!$T27,"+0.00;-0.00")&amp;"; "))))&amp;IF(Work!$D27&lt;&gt;"Drift","",IF(Work!$BX27=1,"excluded from N drift fit; ",IF(Work!$CB27="","",IF(ABS(Work!$CB27)&gt;Setup!$B$27,"N drift monitor outlier; ",""))))&amp;IF(Work!$D27&lt;&gt;"Drift","",IF(Work!$BY27=1,"excluded from C drift fit; ",IF(Work!$CC27="","",IF(ABS(Work!$CC27)&gt;Setup!$B$27,"C drift monitor outlier; ",""))))&amp;IF(Work!$D27="Blank","",IF(Work!$L27="","",IF(Setup!$B$25="","",IF(Fits!$B$6&lt;=0,"",IF(Work!$L27&gt;=Fits!$B$6*Setup!$B$25,"","N peak only "&amp;TEXT(Work!$L27/Fits!$B$6,"0.0")&amp;"x the blank; ")))))&amp;IF(Work!$D27="Blank","",IF(Work!$P27="","",IF(Setup!$B$25="","",IF(Fits!$B$10&lt;=0,"",IF(Work!$P27&gt;=Fits!$B$10*Setup!$B$25,"","C peak only "&amp;TEXT(Work!$P27/Fits!$B$10,"0.0")&amp;"x the blank; ")))))&amp;IF(Work!$A27&gt;=Fits!$B$86,"","ran before the background settled; ")&amp;IF(Work!$EN27=1,"possible carryover from an oversized sample; ",""))</f>
        <v>ran before the background settled; </v>
      </c>
      <c r="L26" s="26" t="n">
        <f aca="false">IF(Work!$CN27="","",Work!$CN27)</f>
        <v>0.0378595521770107</v>
      </c>
      <c r="M26" s="26" t="n">
        <f aca="false">IF(Work!$CO27="","",Work!$CO27)</f>
        <v>0.0757191043540214</v>
      </c>
      <c r="N26" s="26" t="n">
        <f aca="false">IF(Work!$CL27="","",Work!$CL27)</f>
        <v>0.255598364381971</v>
      </c>
      <c r="O26" s="26" t="n">
        <f aca="false">IF(Work!$CM27="","",Work!$CM27)</f>
        <v>0.511196728763943</v>
      </c>
    </row>
    <row r="27" customFormat="false" ht="15" hidden="false" customHeight="false" outlineLevel="0" collapsed="false">
      <c r="A27" s="8" t="n">
        <f aca="false">IF(Work!$B28="","",Work!$A28)</f>
        <v>23</v>
      </c>
      <c r="B27" s="8" t="str">
        <f aca="false">IF(Work!$B28="","",Work!$B28)</f>
        <v>Random</v>
      </c>
      <c r="C27" s="8" t="str">
        <f aca="false">IF(Work!$B28="","",Work!$D28)</f>
        <v>Sample</v>
      </c>
      <c r="D27" s="16" t="str">
        <f aca="false">IF(Work!$G28="","",Work!$G28)</f>
        <v/>
      </c>
      <c r="E27" s="23" t="str">
        <f aca="false">IF(Work!$AJ28="","",Work!$AJ28)</f>
        <v/>
      </c>
      <c r="F27" s="23" t="str">
        <f aca="false">IF(Work!$AI28="","",Work!$AI28)</f>
        <v/>
      </c>
      <c r="G27" s="23" t="n">
        <f aca="false">IF(Work!$AK28="","",Work!$AK28)</f>
        <v>0.459390806481545</v>
      </c>
      <c r="H27" s="23" t="n">
        <f aca="false">IF(Work!$AL28="","",Work!$AL28)</f>
        <v>0.393927534564849</v>
      </c>
      <c r="I27" s="23" t="n">
        <f aca="false">IF(Work!$AF28="","",Work!$AF28)</f>
        <v>-35.1408773286832</v>
      </c>
      <c r="J27" s="23" t="n">
        <f aca="false">IF(Work!$AA28="","",Work!$AA28)</f>
        <v>-2.47331935416829</v>
      </c>
      <c r="K27" s="8" t="str">
        <f aca="false">IF(Work!$B28="","",IF(Work!$L28="","no N peak; ","")&amp;IF(Work!$P28="","no C peak; ","")&amp;IF(Work!$L28="","",IF(Fits!$B$81&lt;=0,"",IF(Work!$L28&lt;Fits!$B$81,"N below linearity range; ",IF(Fits!$B$97&lt;=0,"",IF(Work!$L28&gt;Fits!$B$97,"N above linearity range; ","")))))&amp;IF(Work!$P28="","",IF(Fits!$B$82&lt;=0,"",IF(Work!$P28&lt;Fits!$B$82,"C below linearity range; ",IF(Fits!$B$104&lt;=0,"",IF(Work!$P28&gt;Fits!$B$104,"C above linearity range; ","")))))&amp;IF(OR(Work!$D28="Sample",Work!$D28="Check"),IF(Work!$AA28="","",IF(Fits!$B$138="","",IF(AND(Work!$AA28&gt;=Fits!$B$138,Work!$AA28&lt;=Fits!$B$139),"","d15N outside anchor range; "))),"")&amp;IF(OR(Work!$D28="Sample",Work!$D28="Check"),IF(Work!$AF28="","",IF(Fits!$B$158="","",IF(AND(Work!$AF28&gt;=Fits!$B$158,Work!$AF28&lt;=Fits!$B$159),"","d13C outside anchor range; "))),"")&amp;IF(Work!$D28&lt;&gt;"Check","",IF(Work!$AA28="","",IF(Work!$S28="","",IF(ABS(Work!$AA28-Work!$S28)&lt;=Setup!$B$20,"","check d15N off by "&amp;TEXT(Work!$AA28-Work!$S28,"+0.00;-0.00")&amp;"; "))))&amp;IF(Work!$D28&lt;&gt;"Check","",IF(Work!$AF28="","",IF(Work!$T28="","",IF(ABS(Work!$AF28-Work!$T28)&lt;=Setup!$B$20,"","check d13C off by "&amp;TEXT(Work!$AF28-Work!$T28,"+0.00;-0.00")&amp;"; "))))&amp;IF(Work!$D28&lt;&gt;"Drift","",IF(Work!$BX28=1,"excluded from N drift fit; ",IF(Work!$CB28="","",IF(ABS(Work!$CB28)&gt;Setup!$B$27,"N drift monitor outlier; ",""))))&amp;IF(Work!$D28&lt;&gt;"Drift","",IF(Work!$BY28=1,"excluded from C drift fit; ",IF(Work!$CC28="","",IF(ABS(Work!$CC28)&gt;Setup!$B$27,"C drift monitor outlier; ",""))))&amp;IF(Work!$D28="Blank","",IF(Work!$L28="","",IF(Setup!$B$25="","",IF(Fits!$B$6&lt;=0,"",IF(Work!$L28&gt;=Fits!$B$6*Setup!$B$25,"","N peak only "&amp;TEXT(Work!$L28/Fits!$B$6,"0.0")&amp;"x the blank; ")))))&amp;IF(Work!$D28="Blank","",IF(Work!$P28="","",IF(Setup!$B$25="","",IF(Fits!$B$10&lt;=0,"",IF(Work!$P28&gt;=Fits!$B$10*Setup!$B$25,"","C peak only "&amp;TEXT(Work!$P28/Fits!$B$10,"0.0")&amp;"x the blank; ")))))&amp;IF(Work!$A28&gt;=Fits!$B$86,"","ran before the background settled; ")&amp;IF(Work!$EN28=1,"possible carryover from an oversized sample; ",""))</f>
        <v>N above linearity range; C below linearity range; d15N outside anchor range; ran before the background settled; </v>
      </c>
      <c r="L27" s="26" t="n">
        <f aca="false">IF(Work!$CN28="","",Work!$CN28)</f>
        <v>0.0384891633720214</v>
      </c>
      <c r="M27" s="26" t="n">
        <f aca="false">IF(Work!$CO28="","",Work!$CO28)</f>
        <v>0.0769783267440428</v>
      </c>
      <c r="N27" s="26" t="n">
        <f aca="false">IF(Work!$CL28="","",Work!$CL28)</f>
        <v>0.240432581599795</v>
      </c>
      <c r="O27" s="26" t="n">
        <f aca="false">IF(Work!$CM28="","",Work!$CM28)</f>
        <v>0.480865163199589</v>
      </c>
    </row>
    <row r="28" customFormat="false" ht="15" hidden="false" customHeight="false" outlineLevel="0" collapsed="false">
      <c r="A28" s="8" t="n">
        <f aca="false">IF(Work!$B29="","",Work!$A29)</f>
        <v>24</v>
      </c>
      <c r="B28" s="8" t="str">
        <f aca="false">IF(Work!$B29="","",Work!$B29)</f>
        <v>Random</v>
      </c>
      <c r="C28" s="8" t="str">
        <f aca="false">IF(Work!$B29="","",Work!$D29)</f>
        <v>Sample</v>
      </c>
      <c r="D28" s="16" t="str">
        <f aca="false">IF(Work!$G29="","",Work!$G29)</f>
        <v/>
      </c>
      <c r="E28" s="23" t="str">
        <f aca="false">IF(Work!$AJ29="","",Work!$AJ29)</f>
        <v/>
      </c>
      <c r="F28" s="23" t="str">
        <f aca="false">IF(Work!$AI29="","",Work!$AI29)</f>
        <v/>
      </c>
      <c r="G28" s="23" t="n">
        <f aca="false">IF(Work!$AK29="","",Work!$AK29)</f>
        <v>8.28360500563898</v>
      </c>
      <c r="H28" s="23" t="n">
        <f aca="false">IF(Work!$AL29="","",Work!$AL29)</f>
        <v>7.10318981385949</v>
      </c>
      <c r="I28" s="23" t="n">
        <f aca="false">IF(Work!$AF29="","",Work!$AF29)</f>
        <v>-26.6115679611122</v>
      </c>
      <c r="J28" s="23" t="n">
        <f aca="false">IF(Work!$AA29="","",Work!$AA29)</f>
        <v>-5.3234068726027</v>
      </c>
      <c r="K28" s="8" t="str">
        <f aca="false">IF(Work!$B29="","",IF(Work!$L29="","no N peak; ","")&amp;IF(Work!$P29="","no C peak; ","")&amp;IF(Work!$L29="","",IF(Fits!$B$81&lt;=0,"",IF(Work!$L29&lt;Fits!$B$81,"N below linearity range; ",IF(Fits!$B$97&lt;=0,"",IF(Work!$L29&gt;Fits!$B$97,"N above linearity range; ","")))))&amp;IF(Work!$P29="","",IF(Fits!$B$82&lt;=0,"",IF(Work!$P29&lt;Fits!$B$82,"C below linearity range; ",IF(Fits!$B$104&lt;=0,"",IF(Work!$P29&gt;Fits!$B$104,"C above linearity range; ","")))))&amp;IF(OR(Work!$D29="Sample",Work!$D29="Check"),IF(Work!$AA29="","",IF(Fits!$B$138="","",IF(AND(Work!$AA29&gt;=Fits!$B$138,Work!$AA29&lt;=Fits!$B$139),"","d15N outside anchor range; "))),"")&amp;IF(OR(Work!$D29="Sample",Work!$D29="Check"),IF(Work!$AF29="","",IF(Fits!$B$158="","",IF(AND(Work!$AF29&gt;=Fits!$B$158,Work!$AF29&lt;=Fits!$B$159),"","d13C outside anchor range; "))),"")&amp;IF(Work!$D29&lt;&gt;"Check","",IF(Work!$AA29="","",IF(Work!$S29="","",IF(ABS(Work!$AA29-Work!$S29)&lt;=Setup!$B$20,"","check d15N off by "&amp;TEXT(Work!$AA29-Work!$S29,"+0.00;-0.00")&amp;"; "))))&amp;IF(Work!$D29&lt;&gt;"Check","",IF(Work!$AF29="","",IF(Work!$T29="","",IF(ABS(Work!$AF29-Work!$T29)&lt;=Setup!$B$20,"","check d13C off by "&amp;TEXT(Work!$AF29-Work!$T29,"+0.00;-0.00")&amp;"; "))))&amp;IF(Work!$D29&lt;&gt;"Drift","",IF(Work!$BX29=1,"excluded from N drift fit; ",IF(Work!$CB29="","",IF(ABS(Work!$CB29)&gt;Setup!$B$27,"N drift monitor outlier; ",""))))&amp;IF(Work!$D29&lt;&gt;"Drift","",IF(Work!$BY29=1,"excluded from C drift fit; ",IF(Work!$CC29="","",IF(ABS(Work!$CC29)&gt;Setup!$B$27,"C drift monitor outlier; ",""))))&amp;IF(Work!$D29="Blank","",IF(Work!$L29="","",IF(Setup!$B$25="","",IF(Fits!$B$6&lt;=0,"",IF(Work!$L29&gt;=Fits!$B$6*Setup!$B$25,"","N peak only "&amp;TEXT(Work!$L29/Fits!$B$6,"0.0")&amp;"x the blank; ")))))&amp;IF(Work!$D29="Blank","",IF(Work!$P29="","",IF(Setup!$B$25="","",IF(Fits!$B$10&lt;=0,"",IF(Work!$P29&gt;=Fits!$B$10*Setup!$B$25,"","C peak only "&amp;TEXT(Work!$P29/Fits!$B$10,"0.0")&amp;"x the blank; ")))))&amp;IF(Work!$A29&gt;=Fits!$B$86,"","ran before the background settled; ")&amp;IF(Work!$EN29=1,"possible carryover from an oversized sample; ",""))</f>
        <v>d15N outside anchor range; ran before the background settled; </v>
      </c>
      <c r="L28" s="26" t="n">
        <f aca="false">IF(Work!$CN29="","",Work!$CN29)</f>
        <v>0.037883393080029</v>
      </c>
      <c r="M28" s="26" t="n">
        <f aca="false">IF(Work!$CO29="","",Work!$CO29)</f>
        <v>0.075766786160058</v>
      </c>
      <c r="N28" s="26" t="n">
        <f aca="false">IF(Work!$CL29="","",Work!$CL29)</f>
        <v>0.256429909427861</v>
      </c>
      <c r="O28" s="26" t="n">
        <f aca="false">IF(Work!$CM29="","",Work!$CM29)</f>
        <v>0.512859818855722</v>
      </c>
    </row>
    <row r="29" customFormat="false" ht="15" hidden="false" customHeight="false" outlineLevel="0" collapsed="false">
      <c r="A29" s="8" t="n">
        <f aca="false">IF(Work!$B30="","",Work!$A30)</f>
        <v>25</v>
      </c>
      <c r="B29" s="8" t="str">
        <f aca="false">IF(Work!$B30="","",Work!$B30)</f>
        <v>Random</v>
      </c>
      <c r="C29" s="8" t="str">
        <f aca="false">IF(Work!$B30="","",Work!$D30)</f>
        <v>Sample</v>
      </c>
      <c r="D29" s="16" t="str">
        <f aca="false">IF(Work!$G30="","",Work!$G30)</f>
        <v/>
      </c>
      <c r="E29" s="23" t="str">
        <f aca="false">IF(Work!$AJ30="","",Work!$AJ30)</f>
        <v/>
      </c>
      <c r="F29" s="23" t="str">
        <f aca="false">IF(Work!$AI30="","",Work!$AI30)</f>
        <v/>
      </c>
      <c r="G29" s="23" t="n">
        <f aca="false">IF(Work!$AK30="","",Work!$AK30)</f>
        <v>1.98715930294373</v>
      </c>
      <c r="H29" s="23" t="n">
        <f aca="false">IF(Work!$AL30="","",Work!$AL30)</f>
        <v>1.70398874760171</v>
      </c>
      <c r="I29" s="23" t="n">
        <f aca="false">IF(Work!$AF30="","",Work!$AF30)</f>
        <v>-0.734863329113406</v>
      </c>
      <c r="J29" s="23" t="n">
        <f aca="false">IF(Work!$AA30="","",Work!$AA30)</f>
        <v>41.0066970872805</v>
      </c>
      <c r="K29" s="8" t="str">
        <f aca="false">IF(Work!$B30="","",IF(Work!$L30="","no N peak; ","")&amp;IF(Work!$P30="","no C peak; ","")&amp;IF(Work!$L30="","",IF(Fits!$B$81&lt;=0,"",IF(Work!$L30&lt;Fits!$B$81,"N below linearity range; ",IF(Fits!$B$97&lt;=0,"",IF(Work!$L30&gt;Fits!$B$97,"N above linearity range; ","")))))&amp;IF(Work!$P30="","",IF(Fits!$B$82&lt;=0,"",IF(Work!$P30&lt;Fits!$B$82,"C below linearity range; ",IF(Fits!$B$104&lt;=0,"",IF(Work!$P30&gt;Fits!$B$104,"C above linearity range; ","")))))&amp;IF(OR(Work!$D30="Sample",Work!$D30="Check"),IF(Work!$AA30="","",IF(Fits!$B$138="","",IF(AND(Work!$AA30&gt;=Fits!$B$138,Work!$AA30&lt;=Fits!$B$139),"","d15N outside anchor range; "))),"")&amp;IF(OR(Work!$D30="Sample",Work!$D30="Check"),IF(Work!$AF30="","",IF(Fits!$B$158="","",IF(AND(Work!$AF30&gt;=Fits!$B$158,Work!$AF30&lt;=Fits!$B$159),"","d13C outside anchor range; "))),"")&amp;IF(Work!$D30&lt;&gt;"Check","",IF(Work!$AA30="","",IF(Work!$S30="","",IF(ABS(Work!$AA30-Work!$S30)&lt;=Setup!$B$20,"","check d15N off by "&amp;TEXT(Work!$AA30-Work!$S30,"+0.00;-0.00")&amp;"; "))))&amp;IF(Work!$D30&lt;&gt;"Check","",IF(Work!$AF30="","",IF(Work!$T30="","",IF(ABS(Work!$AF30-Work!$T30)&lt;=Setup!$B$20,"","check d13C off by "&amp;TEXT(Work!$AF30-Work!$T30,"+0.00;-0.00")&amp;"; "))))&amp;IF(Work!$D30&lt;&gt;"Drift","",IF(Work!$BX30=1,"excluded from N drift fit; ",IF(Work!$CB30="","",IF(ABS(Work!$CB30)&gt;Setup!$B$27,"N drift monitor outlier; ",""))))&amp;IF(Work!$D30&lt;&gt;"Drift","",IF(Work!$BY30=1,"excluded from C drift fit; ",IF(Work!$CC30="","",IF(ABS(Work!$CC30)&gt;Setup!$B$27,"C drift monitor outlier; ",""))))&amp;IF(Work!$D30="Blank","",IF(Work!$L30="","",IF(Setup!$B$25="","",IF(Fits!$B$6&lt;=0,"",IF(Work!$L30&gt;=Fits!$B$6*Setup!$B$25,"","N peak only "&amp;TEXT(Work!$L30/Fits!$B$6,"0.0")&amp;"x the blank; ")))))&amp;IF(Work!$D30="Blank","",IF(Work!$P30="","",IF(Setup!$B$25="","",IF(Fits!$B$10&lt;=0,"",IF(Work!$P30&gt;=Fits!$B$10*Setup!$B$25,"","C peak only "&amp;TEXT(Work!$P30/Fits!$B$10,"0.0")&amp;"x the blank; ")))))&amp;IF(Work!$A30&gt;=Fits!$B$86,"","ran before the background settled; ")&amp;IF(Work!$EN30=1,"possible carryover from an oversized sample; ",""))</f>
        <v>d15N outside anchor range; d13C outside anchor range; ran before the background settled; </v>
      </c>
      <c r="L29" s="26" t="n">
        <f aca="false">IF(Work!$CN30="","",Work!$CN30)</f>
        <v>0.0931293233731991</v>
      </c>
      <c r="M29" s="26" t="n">
        <f aca="false">IF(Work!$CO30="","",Work!$CO30)</f>
        <v>0.186258646746398</v>
      </c>
      <c r="N29" s="26" t="n">
        <f aca="false">IF(Work!$CL30="","",Work!$CL30)</f>
        <v>0.29949736117604</v>
      </c>
      <c r="O29" s="26" t="n">
        <f aca="false">IF(Work!$CM30="","",Work!$CM30)</f>
        <v>0.598994722352079</v>
      </c>
    </row>
    <row r="30" customFormat="false" ht="15" hidden="false" customHeight="false" outlineLevel="0" collapsed="false">
      <c r="A30" s="8" t="n">
        <f aca="false">IF(Work!$B31="","",Work!$A31)</f>
        <v>26</v>
      </c>
      <c r="B30" s="8" t="str">
        <f aca="false">IF(Work!$B31="","",Work!$B31)</f>
        <v>Ace Drift5</v>
      </c>
      <c r="C30" s="8" t="str">
        <f aca="false">IF(Work!$B31="","",Work!$D31)</f>
        <v>Drift</v>
      </c>
      <c r="D30" s="16" t="n">
        <f aca="false">IF(Work!$G31="","",Work!$G31)</f>
        <v>0.4</v>
      </c>
      <c r="E30" s="23" t="n">
        <f aca="false">IF(Work!$AJ31="","",Work!$AJ31)</f>
        <v>73.2533856438245</v>
      </c>
      <c r="F30" s="23" t="n">
        <f aca="false">IF(Work!$AI31="","",Work!$AI31)</f>
        <v>10.4087302283812</v>
      </c>
      <c r="G30" s="23" t="n">
        <f aca="false">IF(Work!$AK31="","",Work!$AK31)</f>
        <v>8.20721689428165</v>
      </c>
      <c r="H30" s="23" t="n">
        <f aca="false">IF(Work!$AL31="","",Work!$AL31)</f>
        <v>7.03768702200449</v>
      </c>
      <c r="I30" s="23" t="n">
        <f aca="false">IF(Work!$AF31="","",Work!$AF31)</f>
        <v>-26.5412033767254</v>
      </c>
      <c r="J30" s="23" t="n">
        <f aca="false">IF(Work!$AA31="","",Work!$AA31)</f>
        <v>-5.34649639043223</v>
      </c>
      <c r="K30" s="8" t="str">
        <f aca="false">IF(Work!$B31="","",IF(Work!$L31="","no N peak; ","")&amp;IF(Work!$P31="","no C peak; ","")&amp;IF(Work!$L31="","",IF(Fits!$B$81&lt;=0,"",IF(Work!$L31&lt;Fits!$B$81,"N below linearity range; ",IF(Fits!$B$97&lt;=0,"",IF(Work!$L31&gt;Fits!$B$97,"N above linearity range; ","")))))&amp;IF(Work!$P31="","",IF(Fits!$B$82&lt;=0,"",IF(Work!$P31&lt;Fits!$B$82,"C below linearity range; ",IF(Fits!$B$104&lt;=0,"",IF(Work!$P31&gt;Fits!$B$104,"C above linearity range; ","")))))&amp;IF(OR(Work!$D31="Sample",Work!$D31="Check"),IF(Work!$AA31="","",IF(Fits!$B$138="","",IF(AND(Work!$AA31&gt;=Fits!$B$138,Work!$AA31&lt;=Fits!$B$139),"","d15N outside anchor range; "))),"")&amp;IF(OR(Work!$D31="Sample",Work!$D31="Check"),IF(Work!$AF31="","",IF(Fits!$B$158="","",IF(AND(Work!$AF31&gt;=Fits!$B$158,Work!$AF31&lt;=Fits!$B$159),"","d13C outside anchor range; "))),"")&amp;IF(Work!$D31&lt;&gt;"Check","",IF(Work!$AA31="","",IF(Work!$S31="","",IF(ABS(Work!$AA31-Work!$S31)&lt;=Setup!$B$20,"","check d15N off by "&amp;TEXT(Work!$AA31-Work!$S31,"+0.00;-0.00")&amp;"; "))))&amp;IF(Work!$D31&lt;&gt;"Check","",IF(Work!$AF31="","",IF(Work!$T31="","",IF(ABS(Work!$AF31-Work!$T31)&lt;=Setup!$B$20,"","check d13C off by "&amp;TEXT(Work!$AF31-Work!$T31,"+0.00;-0.00")&amp;"; "))))&amp;IF(Work!$D31&lt;&gt;"Drift","",IF(Work!$BX31=1,"excluded from N drift fit; ",IF(Work!$CB31="","",IF(ABS(Work!$CB31)&gt;Setup!$B$27,"N drift monitor outlier; ",""))))&amp;IF(Work!$D31&lt;&gt;"Drift","",IF(Work!$BY31=1,"excluded from C drift fit; ",IF(Work!$CC31="","",IF(ABS(Work!$CC31)&gt;Setup!$B$27,"C drift monitor outlier; ",""))))&amp;IF(Work!$D31="Blank","",IF(Work!$L31="","",IF(Setup!$B$25="","",IF(Fits!$B$6&lt;=0,"",IF(Work!$L31&gt;=Fits!$B$6*Setup!$B$25,"","N peak only "&amp;TEXT(Work!$L31/Fits!$B$6,"0.0")&amp;"x the blank; ")))))&amp;IF(Work!$D31="Blank","",IF(Work!$P31="","",IF(Setup!$B$25="","",IF(Fits!$B$10&lt;=0,"",IF(Work!$P31&gt;=Fits!$B$10*Setup!$B$25,"","C peak only "&amp;TEXT(Work!$P31/Fits!$B$10,"0.0")&amp;"x the blank; ")))))&amp;IF(Work!$A31&gt;=Fits!$B$86,"","ran before the background settled; ")&amp;IF(Work!$EN31=1,"possible carryover from an oversized sample; ",""))</f>
        <v>ran before the background settled; </v>
      </c>
      <c r="L30" s="26" t="n">
        <f aca="false">IF(Work!$CN31="","",Work!$CN31)</f>
        <v>0.0379444928351632</v>
      </c>
      <c r="M30" s="26" t="n">
        <f aca="false">IF(Work!$CO31="","",Work!$CO31)</f>
        <v>0.0758889856703265</v>
      </c>
      <c r="N30" s="26" t="n">
        <f aca="false">IF(Work!$CL31="","",Work!$CL31)</f>
        <v>0.25656526520417</v>
      </c>
      <c r="O30" s="26" t="n">
        <f aca="false">IF(Work!$CM31="","",Work!$CM31)</f>
        <v>0.51313053040834</v>
      </c>
    </row>
    <row r="31" customFormat="false" ht="15" hidden="false" customHeight="false" outlineLevel="0" collapsed="false">
      <c r="A31" s="8" t="n">
        <f aca="false">IF(Work!$B32="","",Work!$A32)</f>
        <v>27</v>
      </c>
      <c r="B31" s="8" t="str">
        <f aca="false">IF(Work!$B32="","",Work!$B32)</f>
        <v>Random</v>
      </c>
      <c r="C31" s="8" t="str">
        <f aca="false">IF(Work!$B32="","",Work!$D32)</f>
        <v>Sample</v>
      </c>
      <c r="D31" s="16" t="str">
        <f aca="false">IF(Work!$G32="","",Work!$G32)</f>
        <v/>
      </c>
      <c r="E31" s="23" t="str">
        <f aca="false">IF(Work!$AJ32="","",Work!$AJ32)</f>
        <v/>
      </c>
      <c r="F31" s="23" t="str">
        <f aca="false">IF(Work!$AI32="","",Work!$AI32)</f>
        <v/>
      </c>
      <c r="G31" s="23" t="n">
        <f aca="false">IF(Work!$AK32="","",Work!$AK32)</f>
        <v>1.98334869385714</v>
      </c>
      <c r="H31" s="23" t="n">
        <f aca="false">IF(Work!$AL32="","",Work!$AL32)</f>
        <v>1.70072115099008</v>
      </c>
      <c r="I31" s="23" t="n">
        <f aca="false">IF(Work!$AF32="","",Work!$AF32)</f>
        <v>-40.765944321845</v>
      </c>
      <c r="J31" s="23" t="n">
        <f aca="false">IF(Work!$AA32="","",Work!$AA32)</f>
        <v>1.73882904832365</v>
      </c>
      <c r="K31" s="8" t="str">
        <f aca="false">IF(Work!$B32="","",IF(Work!$L32="","no N peak; ","")&amp;IF(Work!$P32="","no C peak; ","")&amp;IF(Work!$L32="","",IF(Fits!$B$81&lt;=0,"",IF(Work!$L32&lt;Fits!$B$81,"N below linearity range; ",IF(Fits!$B$97&lt;=0,"",IF(Work!$L32&gt;Fits!$B$97,"N above linearity range; ","")))))&amp;IF(Work!$P32="","",IF(Fits!$B$82&lt;=0,"",IF(Work!$P32&lt;Fits!$B$82,"C below linearity range; ",IF(Fits!$B$104&lt;=0,"",IF(Work!$P32&gt;Fits!$B$104,"C above linearity range; ","")))))&amp;IF(OR(Work!$D32="Sample",Work!$D32="Check"),IF(Work!$AA32="","",IF(Fits!$B$138="","",IF(AND(Work!$AA32&gt;=Fits!$B$138,Work!$AA32&lt;=Fits!$B$139),"","d15N outside anchor range; "))),"")&amp;IF(OR(Work!$D32="Sample",Work!$D32="Check"),IF(Work!$AF32="","",IF(Fits!$B$158="","",IF(AND(Work!$AF32&gt;=Fits!$B$158,Work!$AF32&lt;=Fits!$B$159),"","d13C outside anchor range; "))),"")&amp;IF(Work!$D32&lt;&gt;"Check","",IF(Work!$AA32="","",IF(Work!$S32="","",IF(ABS(Work!$AA32-Work!$S32)&lt;=Setup!$B$20,"","check d15N off by "&amp;TEXT(Work!$AA32-Work!$S32,"+0.00;-0.00")&amp;"; "))))&amp;IF(Work!$D32&lt;&gt;"Check","",IF(Work!$AF32="","",IF(Work!$T32="","",IF(ABS(Work!$AF32-Work!$T32)&lt;=Setup!$B$20,"","check d13C off by "&amp;TEXT(Work!$AF32-Work!$T32,"+0.00;-0.00")&amp;"; "))))&amp;IF(Work!$D32&lt;&gt;"Drift","",IF(Work!$BX32=1,"excluded from N drift fit; ",IF(Work!$CB32="","",IF(ABS(Work!$CB32)&gt;Setup!$B$27,"N drift monitor outlier; ",""))))&amp;IF(Work!$D32&lt;&gt;"Drift","",IF(Work!$BY32=1,"excluded from C drift fit; ",IF(Work!$CC32="","",IF(ABS(Work!$CC32)&gt;Setup!$B$27,"C drift monitor outlier; ",""))))&amp;IF(Work!$D32="Blank","",IF(Work!$L32="","",IF(Setup!$B$25="","",IF(Fits!$B$6&lt;=0,"",IF(Work!$L32&gt;=Fits!$B$6*Setup!$B$25,"","N peak only "&amp;TEXT(Work!$L32/Fits!$B$6,"0.0")&amp;"x the blank; ")))))&amp;IF(Work!$D32="Blank","",IF(Work!$P32="","",IF(Setup!$B$25="","",IF(Fits!$B$10&lt;=0,"",IF(Work!$P32&gt;=Fits!$B$10*Setup!$B$25,"","C peak only "&amp;TEXT(Work!$P32/Fits!$B$10,"0.0")&amp;"x the blank; ")))))&amp;IF(Work!$A32&gt;=Fits!$B$86,"","ran before the background settled; ")&amp;IF(Work!$EN32=1,"possible carryover from an oversized sample; ",""))</f>
        <v>d15N outside anchor range; </v>
      </c>
      <c r="L31" s="26" t="n">
        <f aca="false">IF(Work!$CN32="","",Work!$CN32)</f>
        <v>0.0466020813507951</v>
      </c>
      <c r="M31" s="26" t="n">
        <f aca="false">IF(Work!$CO32="","",Work!$CO32)</f>
        <v>0.0932041627015902</v>
      </c>
      <c r="N31" s="26" t="n">
        <f aca="false">IF(Work!$CL32="","",Work!$CL32)</f>
        <v>0.21982342887076</v>
      </c>
      <c r="O31" s="26" t="n">
        <f aca="false">IF(Work!$CM32="","",Work!$CM32)</f>
        <v>0.439646857741519</v>
      </c>
    </row>
    <row r="32" customFormat="false" ht="15" hidden="false" customHeight="false" outlineLevel="0" collapsed="false">
      <c r="A32" s="8" t="n">
        <f aca="false">IF(Work!$B33="","",Work!$A33)</f>
        <v>28</v>
      </c>
      <c r="B32" s="8" t="str">
        <f aca="false">IF(Work!$B33="","",Work!$B33)</f>
        <v>Random</v>
      </c>
      <c r="C32" s="8" t="str">
        <f aca="false">IF(Work!$B33="","",Work!$D33)</f>
        <v>Sample</v>
      </c>
      <c r="D32" s="16" t="str">
        <f aca="false">IF(Work!$G33="","",Work!$G33)</f>
        <v/>
      </c>
      <c r="E32" s="23" t="str">
        <f aca="false">IF(Work!$AJ33="","",Work!$AJ33)</f>
        <v/>
      </c>
      <c r="F32" s="23" t="str">
        <f aca="false">IF(Work!$AI33="","",Work!$AI33)</f>
        <v/>
      </c>
      <c r="G32" s="23" t="n">
        <f aca="false">IF(Work!$AK33="","",Work!$AK33)</f>
        <v>5.34315023360138</v>
      </c>
      <c r="H32" s="23" t="n">
        <f aca="false">IF(Work!$AL33="","",Work!$AL33)</f>
        <v>4.58175037165604</v>
      </c>
      <c r="I32" s="23" t="n">
        <f aca="false">IF(Work!$AF33="","",Work!$AF33)</f>
        <v>-26.3981706510412</v>
      </c>
      <c r="J32" s="23" t="n">
        <f aca="false">IF(Work!$AA33="","",Work!$AA33)</f>
        <v>-5.48661805096889</v>
      </c>
      <c r="K32" s="8" t="str">
        <f aca="false">IF(Work!$B33="","",IF(Work!$L33="","no N peak; ","")&amp;IF(Work!$P33="","no C peak; ","")&amp;IF(Work!$L33="","",IF(Fits!$B$81&lt;=0,"",IF(Work!$L33&lt;Fits!$B$81,"N below linearity range; ",IF(Fits!$B$97&lt;=0,"",IF(Work!$L33&gt;Fits!$B$97,"N above linearity range; ","")))))&amp;IF(Work!$P33="","",IF(Fits!$B$82&lt;=0,"",IF(Work!$P33&lt;Fits!$B$82,"C below linearity range; ",IF(Fits!$B$104&lt;=0,"",IF(Work!$P33&gt;Fits!$B$104,"C above linearity range; ","")))))&amp;IF(OR(Work!$D33="Sample",Work!$D33="Check"),IF(Work!$AA33="","",IF(Fits!$B$138="","",IF(AND(Work!$AA33&gt;=Fits!$B$138,Work!$AA33&lt;=Fits!$B$139),"","d15N outside anchor range; "))),"")&amp;IF(OR(Work!$D33="Sample",Work!$D33="Check"),IF(Work!$AF33="","",IF(Fits!$B$158="","",IF(AND(Work!$AF33&gt;=Fits!$B$158,Work!$AF33&lt;=Fits!$B$159),"","d13C outside anchor range; "))),"")&amp;IF(Work!$D33&lt;&gt;"Check","",IF(Work!$AA33="","",IF(Work!$S33="","",IF(ABS(Work!$AA33-Work!$S33)&lt;=Setup!$B$20,"","check d15N off by "&amp;TEXT(Work!$AA33-Work!$S33,"+0.00;-0.00")&amp;"; "))))&amp;IF(Work!$D33&lt;&gt;"Check","",IF(Work!$AF33="","",IF(Work!$T33="","",IF(ABS(Work!$AF33-Work!$T33)&lt;=Setup!$B$20,"","check d13C off by "&amp;TEXT(Work!$AF33-Work!$T33,"+0.00;-0.00")&amp;"; "))))&amp;IF(Work!$D33&lt;&gt;"Drift","",IF(Work!$BX33=1,"excluded from N drift fit; ",IF(Work!$CB33="","",IF(ABS(Work!$CB33)&gt;Setup!$B$27,"N drift monitor outlier; ",""))))&amp;IF(Work!$D33&lt;&gt;"Drift","",IF(Work!$BY33=1,"excluded from C drift fit; ",IF(Work!$CC33="","",IF(ABS(Work!$CC33)&gt;Setup!$B$27,"C drift monitor outlier; ",""))))&amp;IF(Work!$D33="Blank","",IF(Work!$L33="","",IF(Setup!$B$25="","",IF(Fits!$B$6&lt;=0,"",IF(Work!$L33&gt;=Fits!$B$6*Setup!$B$25,"","N peak only "&amp;TEXT(Work!$L33/Fits!$B$6,"0.0")&amp;"x the blank; ")))))&amp;IF(Work!$D33="Blank","",IF(Work!$P33="","",IF(Setup!$B$25="","",IF(Fits!$B$10&lt;=0,"",IF(Work!$P33&gt;=Fits!$B$10*Setup!$B$25,"","C peak only "&amp;TEXT(Work!$P33/Fits!$B$10,"0.0")&amp;"x the blank; ")))))&amp;IF(Work!$A33&gt;=Fits!$B$86,"","ran before the background settled; ")&amp;IF(Work!$EN33=1,"possible carryover from an oversized sample; ",""))</f>
        <v>d15N outside anchor range; </v>
      </c>
      <c r="L32" s="26" t="n">
        <f aca="false">IF(Work!$CN33="","",Work!$CN33)</f>
        <v>0.0380717124986341</v>
      </c>
      <c r="M32" s="26" t="n">
        <f aca="false">IF(Work!$CO33="","",Work!$CO33)</f>
        <v>0.0761434249972683</v>
      </c>
      <c r="N32" s="26" t="n">
        <f aca="false">IF(Work!$CL33="","",Work!$CL33)</f>
        <v>0.257388539684699</v>
      </c>
      <c r="O32" s="26" t="n">
        <f aca="false">IF(Work!$CM33="","",Work!$CM33)</f>
        <v>0.514777079369398</v>
      </c>
    </row>
    <row r="33" customFormat="false" ht="15" hidden="false" customHeight="false" outlineLevel="0" collapsed="false">
      <c r="A33" s="8" t="n">
        <f aca="false">IF(Work!$B34="","",Work!$A34)</f>
        <v>29</v>
      </c>
      <c r="B33" s="8" t="str">
        <f aca="false">IF(Work!$B34="","",Work!$B34)</f>
        <v>Random</v>
      </c>
      <c r="C33" s="8" t="str">
        <f aca="false">IF(Work!$B34="","",Work!$D34)</f>
        <v>Sample</v>
      </c>
      <c r="D33" s="16" t="str">
        <f aca="false">IF(Work!$G34="","",Work!$G34)</f>
        <v/>
      </c>
      <c r="E33" s="23" t="str">
        <f aca="false">IF(Work!$AJ34="","",Work!$AJ34)</f>
        <v/>
      </c>
      <c r="F33" s="23" t="str">
        <f aca="false">IF(Work!$AI34="","",Work!$AI34)</f>
        <v/>
      </c>
      <c r="G33" s="23" t="n">
        <f aca="false">IF(Work!$AK34="","",Work!$AK34)</f>
        <v>7.93555059423946</v>
      </c>
      <c r="H33" s="23" t="n">
        <f aca="false">IF(Work!$AL34="","",Work!$AL34)</f>
        <v>6.8047332182059</v>
      </c>
      <c r="I33" s="23" t="n">
        <f aca="false">IF(Work!$AF34="","",Work!$AF34)</f>
        <v>-26.8321419235809</v>
      </c>
      <c r="J33" s="23" t="n">
        <f aca="false">IF(Work!$AA34="","",Work!$AA34)</f>
        <v>-4.89041694600097</v>
      </c>
      <c r="K33" s="8" t="str">
        <f aca="false">IF(Work!$B34="","",IF(Work!$L34="","no N peak; ","")&amp;IF(Work!$P34="","no C peak; ","")&amp;IF(Work!$L34="","",IF(Fits!$B$81&lt;=0,"",IF(Work!$L34&lt;Fits!$B$81,"N below linearity range; ",IF(Fits!$B$97&lt;=0,"",IF(Work!$L34&gt;Fits!$B$97,"N above linearity range; ","")))))&amp;IF(Work!$P34="","",IF(Fits!$B$82&lt;=0,"",IF(Work!$P34&lt;Fits!$B$82,"C below linearity range; ",IF(Fits!$B$104&lt;=0,"",IF(Work!$P34&gt;Fits!$B$104,"C above linearity range; ","")))))&amp;IF(OR(Work!$D34="Sample",Work!$D34="Check"),IF(Work!$AA34="","",IF(Fits!$B$138="","",IF(AND(Work!$AA34&gt;=Fits!$B$138,Work!$AA34&lt;=Fits!$B$139),"","d15N outside anchor range; "))),"")&amp;IF(OR(Work!$D34="Sample",Work!$D34="Check"),IF(Work!$AF34="","",IF(Fits!$B$158="","",IF(AND(Work!$AF34&gt;=Fits!$B$158,Work!$AF34&lt;=Fits!$B$159),"","d13C outside anchor range; "))),"")&amp;IF(Work!$D34&lt;&gt;"Check","",IF(Work!$AA34="","",IF(Work!$S34="","",IF(ABS(Work!$AA34-Work!$S34)&lt;=Setup!$B$20,"","check d15N off by "&amp;TEXT(Work!$AA34-Work!$S34,"+0.00;-0.00")&amp;"; "))))&amp;IF(Work!$D34&lt;&gt;"Check","",IF(Work!$AF34="","",IF(Work!$T34="","",IF(ABS(Work!$AF34-Work!$T34)&lt;=Setup!$B$20,"","check d13C off by "&amp;TEXT(Work!$AF34-Work!$T34,"+0.00;-0.00")&amp;"; "))))&amp;IF(Work!$D34&lt;&gt;"Drift","",IF(Work!$BX34=1,"excluded from N drift fit; ",IF(Work!$CB34="","",IF(ABS(Work!$CB34)&gt;Setup!$B$27,"N drift monitor outlier; ",""))))&amp;IF(Work!$D34&lt;&gt;"Drift","",IF(Work!$BY34=1,"excluded from C drift fit; ",IF(Work!$CC34="","",IF(ABS(Work!$CC34)&gt;Setup!$B$27,"C drift monitor outlier; ",""))))&amp;IF(Work!$D34="Blank","",IF(Work!$L34="","",IF(Setup!$B$25="","",IF(Fits!$B$6&lt;=0,"",IF(Work!$L34&gt;=Fits!$B$6*Setup!$B$25,"","N peak only "&amp;TEXT(Work!$L34/Fits!$B$6,"0.0")&amp;"x the blank; ")))))&amp;IF(Work!$D34="Blank","",IF(Work!$P34="","",IF(Setup!$B$25="","",IF(Fits!$B$10&lt;=0,"",IF(Work!$P34&gt;=Fits!$B$10*Setup!$B$25,"","C peak only "&amp;TEXT(Work!$P34/Fits!$B$10,"0.0")&amp;"x the blank; ")))))&amp;IF(Work!$A34&gt;=Fits!$B$86,"","ran before the background settled; ")&amp;IF(Work!$EN34=1,"possible carryover from an oversized sample; ",""))</f>
        <v>C above linearity range; d15N outside anchor range; </v>
      </c>
      <c r="L33" s="26" t="n">
        <f aca="false">IF(Work!$CN34="","",Work!$CN34)</f>
        <v>0.0376982743166163</v>
      </c>
      <c r="M33" s="26" t="n">
        <f aca="false">IF(Work!$CO34="","",Work!$CO34)</f>
        <v>0.0753965486332326</v>
      </c>
      <c r="N33" s="26" t="n">
        <f aca="false">IF(Work!$CL34="","",Work!$CL34)</f>
        <v>0.253907829737334</v>
      </c>
      <c r="O33" s="26" t="n">
        <f aca="false">IF(Work!$CM34="","",Work!$CM34)</f>
        <v>0.507815659474667</v>
      </c>
    </row>
    <row r="34" customFormat="false" ht="15" hidden="false" customHeight="false" outlineLevel="0" collapsed="false">
      <c r="A34" s="8" t="n">
        <f aca="false">IF(Work!$B35="","",Work!$A35)</f>
        <v>30</v>
      </c>
      <c r="B34" s="8" t="str">
        <f aca="false">IF(Work!$B35="","",Work!$B35)</f>
        <v>Ace Drift6</v>
      </c>
      <c r="C34" s="8" t="str">
        <f aca="false">IF(Work!$B35="","",Work!$D35)</f>
        <v>Drift</v>
      </c>
      <c r="D34" s="16" t="n">
        <f aca="false">IF(Work!$G35="","",Work!$G35)</f>
        <v>0.418</v>
      </c>
      <c r="E34" s="23" t="n">
        <f aca="false">IF(Work!$AJ35="","",Work!$AJ35)</f>
        <v>72.4229032898518</v>
      </c>
      <c r="F34" s="23" t="n">
        <f aca="false">IF(Work!$AI35="","",Work!$AI35)</f>
        <v>10.2193590673679</v>
      </c>
      <c r="G34" s="23" t="n">
        <f aca="false">IF(Work!$AK35="","",Work!$AK35)</f>
        <v>8.26453139369755</v>
      </c>
      <c r="H34" s="23" t="n">
        <f aca="false">IF(Work!$AL35="","",Work!$AL35)</f>
        <v>7.08683419502401</v>
      </c>
      <c r="I34" s="23" t="n">
        <f aca="false">IF(Work!$AF35="","",Work!$AF35)</f>
        <v>-26.606900915374</v>
      </c>
      <c r="J34" s="23" t="n">
        <f aca="false">IF(Work!$AA35="","",Work!$AA35)</f>
        <v>-5.38446264414692</v>
      </c>
      <c r="K34" s="8" t="str">
        <f aca="false">IF(Work!$B35="","",IF(Work!$L35="","no N peak; ","")&amp;IF(Work!$P35="","no C peak; ","")&amp;IF(Work!$L35="","",IF(Fits!$B$81&lt;=0,"",IF(Work!$L35&lt;Fits!$B$81,"N below linearity range; ",IF(Fits!$B$97&lt;=0,"",IF(Work!$L35&gt;Fits!$B$97,"N above linearity range; ","")))))&amp;IF(Work!$P35="","",IF(Fits!$B$82&lt;=0,"",IF(Work!$P35&lt;Fits!$B$82,"C below linearity range; ",IF(Fits!$B$104&lt;=0,"",IF(Work!$P35&gt;Fits!$B$104,"C above linearity range; ","")))))&amp;IF(OR(Work!$D35="Sample",Work!$D35="Check"),IF(Work!$AA35="","",IF(Fits!$B$138="","",IF(AND(Work!$AA35&gt;=Fits!$B$138,Work!$AA35&lt;=Fits!$B$139),"","d15N outside anchor range; "))),"")&amp;IF(OR(Work!$D35="Sample",Work!$D35="Check"),IF(Work!$AF35="","",IF(Fits!$B$158="","",IF(AND(Work!$AF35&gt;=Fits!$B$158,Work!$AF35&lt;=Fits!$B$159),"","d13C outside anchor range; "))),"")&amp;IF(Work!$D35&lt;&gt;"Check","",IF(Work!$AA35="","",IF(Work!$S35="","",IF(ABS(Work!$AA35-Work!$S35)&lt;=Setup!$B$20,"","check d15N off by "&amp;TEXT(Work!$AA35-Work!$S35,"+0.00;-0.00")&amp;"; "))))&amp;IF(Work!$D35&lt;&gt;"Check","",IF(Work!$AF35="","",IF(Work!$T35="","",IF(ABS(Work!$AF35-Work!$T35)&lt;=Setup!$B$20,"","check d13C off by "&amp;TEXT(Work!$AF35-Work!$T35,"+0.00;-0.00")&amp;"; "))))&amp;IF(Work!$D35&lt;&gt;"Drift","",IF(Work!$BX35=1,"excluded from N drift fit; ",IF(Work!$CB35="","",IF(ABS(Work!$CB35)&gt;Setup!$B$27,"N drift monitor outlier; ",""))))&amp;IF(Work!$D35&lt;&gt;"Drift","",IF(Work!$BY35=1,"excluded from C drift fit; ",IF(Work!$CC35="","",IF(ABS(Work!$CC35)&gt;Setup!$B$27,"C drift monitor outlier; ",""))))&amp;IF(Work!$D35="Blank","",IF(Work!$L35="","",IF(Setup!$B$25="","",IF(Fits!$B$6&lt;=0,"",IF(Work!$L35&gt;=Fits!$B$6*Setup!$B$25,"","N peak only "&amp;TEXT(Work!$L35/Fits!$B$6,"0.0")&amp;"x the blank; ")))))&amp;IF(Work!$D35="Blank","",IF(Work!$P35="","",IF(Setup!$B$25="","",IF(Fits!$B$10&lt;=0,"",IF(Work!$P35&gt;=Fits!$B$10*Setup!$B$25,"","C peak only "&amp;TEXT(Work!$P35/Fits!$B$10,"0.0")&amp;"x the blank; ")))))&amp;IF(Work!$A35&gt;=Fits!$B$86,"","ran before the background settled; ")&amp;IF(Work!$EN35=1,"possible carryover from an oversized sample; ",""))</f>
        <v/>
      </c>
      <c r="L34" s="26" t="n">
        <f aca="false">IF(Work!$CN35="","",Work!$CN35)</f>
        <v>0.0378874151384186</v>
      </c>
      <c r="M34" s="26" t="n">
        <f aca="false">IF(Work!$CO35="","",Work!$CO35)</f>
        <v>0.0757748302768373</v>
      </c>
      <c r="N34" s="26" t="n">
        <f aca="false">IF(Work!$CL35="","",Work!$CL35)</f>
        <v>0.256788019681356</v>
      </c>
      <c r="O34" s="26" t="n">
        <f aca="false">IF(Work!$CM35="","",Work!$CM35)</f>
        <v>0.513576039362713</v>
      </c>
    </row>
    <row r="35" customFormat="false" ht="15" hidden="false" customHeight="false" outlineLevel="0" collapsed="false">
      <c r="A35" s="8" t="n">
        <f aca="false">IF(Work!$B36="","",Work!$A36)</f>
        <v>31</v>
      </c>
      <c r="B35" s="8" t="str">
        <f aca="false">IF(Work!$B36="","",Work!$B36)</f>
        <v>Random</v>
      </c>
      <c r="C35" s="8" t="str">
        <f aca="false">IF(Work!$B36="","",Work!$D36)</f>
        <v>Sample</v>
      </c>
      <c r="D35" s="16" t="str">
        <f aca="false">IF(Work!$G36="","",Work!$G36)</f>
        <v/>
      </c>
      <c r="E35" s="23" t="str">
        <f aca="false">IF(Work!$AJ36="","",Work!$AJ36)</f>
        <v/>
      </c>
      <c r="F35" s="23" t="str">
        <f aca="false">IF(Work!$AI36="","",Work!$AI36)</f>
        <v/>
      </c>
      <c r="G35" s="23" t="n">
        <f aca="false">IF(Work!$AK36="","",Work!$AK36)</f>
        <v>8.32251654448828</v>
      </c>
      <c r="H35" s="23" t="n">
        <f aca="false">IF(Work!$AL36="","",Work!$AL36)</f>
        <v>7.13655645147775</v>
      </c>
      <c r="I35" s="23" t="n">
        <f aca="false">IF(Work!$AF36="","",Work!$AF36)</f>
        <v>-26.7535281607883</v>
      </c>
      <c r="J35" s="23" t="n">
        <f aca="false">IF(Work!$AA36="","",Work!$AA36)</f>
        <v>-5.01411304264892</v>
      </c>
      <c r="K35" s="8" t="str">
        <f aca="false">IF(Work!$B36="","",IF(Work!$L36="","no N peak; ","")&amp;IF(Work!$P36="","no C peak; ","")&amp;IF(Work!$L36="","",IF(Fits!$B$81&lt;=0,"",IF(Work!$L36&lt;Fits!$B$81,"N below linearity range; ",IF(Fits!$B$97&lt;=0,"",IF(Work!$L36&gt;Fits!$B$97,"N above linearity range; ","")))))&amp;IF(Work!$P36="","",IF(Fits!$B$82&lt;=0,"",IF(Work!$P36&lt;Fits!$B$82,"C below linearity range; ",IF(Fits!$B$104&lt;=0,"",IF(Work!$P36&gt;Fits!$B$104,"C above linearity range; ","")))))&amp;IF(OR(Work!$D36="Sample",Work!$D36="Check"),IF(Work!$AA36="","",IF(Fits!$B$138="","",IF(AND(Work!$AA36&gt;=Fits!$B$138,Work!$AA36&lt;=Fits!$B$139),"","d15N outside anchor range; "))),"")&amp;IF(OR(Work!$D36="Sample",Work!$D36="Check"),IF(Work!$AF36="","",IF(Fits!$B$158="","",IF(AND(Work!$AF36&gt;=Fits!$B$158,Work!$AF36&lt;=Fits!$B$159),"","d13C outside anchor range; "))),"")&amp;IF(Work!$D36&lt;&gt;"Check","",IF(Work!$AA36="","",IF(Work!$S36="","",IF(ABS(Work!$AA36-Work!$S36)&lt;=Setup!$B$20,"","check d15N off by "&amp;TEXT(Work!$AA36-Work!$S36,"+0.00;-0.00")&amp;"; "))))&amp;IF(Work!$D36&lt;&gt;"Check","",IF(Work!$AF36="","",IF(Work!$T36="","",IF(ABS(Work!$AF36-Work!$T36)&lt;=Setup!$B$20,"","check d13C off by "&amp;TEXT(Work!$AF36-Work!$T36,"+0.00;-0.00")&amp;"; "))))&amp;IF(Work!$D36&lt;&gt;"Drift","",IF(Work!$BX36=1,"excluded from N drift fit; ",IF(Work!$CB36="","",IF(ABS(Work!$CB36)&gt;Setup!$B$27,"N drift monitor outlier; ",""))))&amp;IF(Work!$D36&lt;&gt;"Drift","",IF(Work!$BY36=1,"excluded from C drift fit; ",IF(Work!$CC36="","",IF(ABS(Work!$CC36)&gt;Setup!$B$27,"C drift monitor outlier; ",""))))&amp;IF(Work!$D36="Blank","",IF(Work!$L36="","",IF(Setup!$B$25="","",IF(Fits!$B$6&lt;=0,"",IF(Work!$L36&gt;=Fits!$B$6*Setup!$B$25,"","N peak only "&amp;TEXT(Work!$L36/Fits!$B$6,"0.0")&amp;"x the blank; ")))))&amp;IF(Work!$D36="Blank","",IF(Work!$P36="","",IF(Setup!$B$25="","",IF(Fits!$B$10&lt;=0,"",IF(Work!$P36&gt;=Fits!$B$10*Setup!$B$25,"","C peak only "&amp;TEXT(Work!$P36/Fits!$B$10,"0.0")&amp;"x the blank; ")))))&amp;IF(Work!$A36&gt;=Fits!$B$86,"","ran before the background settled; ")&amp;IF(Work!$EN36=1,"possible carryover from an oversized sample; ",""))</f>
        <v>d15N outside anchor range; </v>
      </c>
      <c r="L35" s="26" t="n">
        <f aca="false">IF(Work!$CN36="","",Work!$CN36)</f>
        <v>0.0377631311912292</v>
      </c>
      <c r="M35" s="26" t="n">
        <f aca="false">IF(Work!$CO36="","",Work!$CO36)</f>
        <v>0.0755262623824584</v>
      </c>
      <c r="N35" s="26" t="n">
        <f aca="false">IF(Work!$CL36="","",Work!$CL36)</f>
        <v>0.254625172066392</v>
      </c>
      <c r="O35" s="26" t="n">
        <f aca="false">IF(Work!$CM36="","",Work!$CM36)</f>
        <v>0.509250344132784</v>
      </c>
    </row>
    <row r="36" customFormat="false" ht="15" hidden="false" customHeight="false" outlineLevel="0" collapsed="false">
      <c r="A36" s="8" t="n">
        <f aca="false">IF(Work!$B37="","",Work!$A37)</f>
        <v>32</v>
      </c>
      <c r="B36" s="8" t="str">
        <f aca="false">IF(Work!$B37="","",Work!$B37)</f>
        <v>Random</v>
      </c>
      <c r="C36" s="8" t="str">
        <f aca="false">IF(Work!$B37="","",Work!$D37)</f>
        <v>Sample</v>
      </c>
      <c r="D36" s="16" t="str">
        <f aca="false">IF(Work!$G37="","",Work!$G37)</f>
        <v/>
      </c>
      <c r="E36" s="23" t="str">
        <f aca="false">IF(Work!$AJ37="","",Work!$AJ37)</f>
        <v/>
      </c>
      <c r="F36" s="23" t="str">
        <f aca="false">IF(Work!$AI37="","",Work!$AI37)</f>
        <v/>
      </c>
      <c r="G36" s="23" t="n">
        <f aca="false">IF(Work!$AK37="","",Work!$AK37)</f>
        <v>8.53227166422768</v>
      </c>
      <c r="H36" s="23" t="n">
        <f aca="false">IF(Work!$AL37="","",Work!$AL37)</f>
        <v>7.31642142921673</v>
      </c>
      <c r="I36" s="23" t="n">
        <f aca="false">IF(Work!$AF37="","",Work!$AF37)</f>
        <v>-26.7013006406962</v>
      </c>
      <c r="J36" s="23" t="n">
        <f aca="false">IF(Work!$AA37="","",Work!$AA37)</f>
        <v>-5.55948862794712</v>
      </c>
      <c r="K36" s="8" t="str">
        <f aca="false">IF(Work!$B37="","",IF(Work!$L37="","no N peak; ","")&amp;IF(Work!$P37="","no C peak; ","")&amp;IF(Work!$L37="","",IF(Fits!$B$81&lt;=0,"",IF(Work!$L37&lt;Fits!$B$81,"N below linearity range; ",IF(Fits!$B$97&lt;=0,"",IF(Work!$L37&gt;Fits!$B$97,"N above linearity range; ","")))))&amp;IF(Work!$P37="","",IF(Fits!$B$82&lt;=0,"",IF(Work!$P37&lt;Fits!$B$82,"C below linearity range; ",IF(Fits!$B$104&lt;=0,"",IF(Work!$P37&gt;Fits!$B$104,"C above linearity range; ","")))))&amp;IF(OR(Work!$D37="Sample",Work!$D37="Check"),IF(Work!$AA37="","",IF(Fits!$B$138="","",IF(AND(Work!$AA37&gt;=Fits!$B$138,Work!$AA37&lt;=Fits!$B$139),"","d15N outside anchor range; "))),"")&amp;IF(OR(Work!$D37="Sample",Work!$D37="Check"),IF(Work!$AF37="","",IF(Fits!$B$158="","",IF(AND(Work!$AF37&gt;=Fits!$B$158,Work!$AF37&lt;=Fits!$B$159),"","d13C outside anchor range; "))),"")&amp;IF(Work!$D37&lt;&gt;"Check","",IF(Work!$AA37="","",IF(Work!$S37="","",IF(ABS(Work!$AA37-Work!$S37)&lt;=Setup!$B$20,"","check d15N off by "&amp;TEXT(Work!$AA37-Work!$S37,"+0.00;-0.00")&amp;"; "))))&amp;IF(Work!$D37&lt;&gt;"Check","",IF(Work!$AF37="","",IF(Work!$T37="","",IF(ABS(Work!$AF37-Work!$T37)&lt;=Setup!$B$20,"","check d13C off by "&amp;TEXT(Work!$AF37-Work!$T37,"+0.00;-0.00")&amp;"; "))))&amp;IF(Work!$D37&lt;&gt;"Drift","",IF(Work!$BX37=1,"excluded from N drift fit; ",IF(Work!$CB37="","",IF(ABS(Work!$CB37)&gt;Setup!$B$27,"N drift monitor outlier; ",""))))&amp;IF(Work!$D37&lt;&gt;"Drift","",IF(Work!$BY37=1,"excluded from C drift fit; ",IF(Work!$CC37="","",IF(ABS(Work!$CC37)&gt;Setup!$B$27,"C drift monitor outlier; ",""))))&amp;IF(Work!$D37="Blank","",IF(Work!$L37="","",IF(Setup!$B$25="","",IF(Fits!$B$6&lt;=0,"",IF(Work!$L37&gt;=Fits!$B$6*Setup!$B$25,"","N peak only "&amp;TEXT(Work!$L37/Fits!$B$6,"0.0")&amp;"x the blank; ")))))&amp;IF(Work!$D37="Blank","",IF(Work!$P37="","",IF(Setup!$B$25="","",IF(Fits!$B$10&lt;=0,"",IF(Work!$P37&gt;=Fits!$B$10*Setup!$B$25,"","C peak only "&amp;TEXT(Work!$P37/Fits!$B$10,"0.0")&amp;"x the blank; ")))))&amp;IF(Work!$A37&gt;=Fits!$B$86,"","ran before the background settled; ")&amp;IF(Work!$EN37=1,"possible carryover from an oversized sample; ",""))</f>
        <v>d15N outside anchor range; </v>
      </c>
      <c r="L36" s="26" t="n">
        <f aca="false">IF(Work!$CN37="","",Work!$CN37)</f>
        <v>0.0378069066888486</v>
      </c>
      <c r="M36" s="26" t="n">
        <f aca="false">IF(Work!$CO37="","",Work!$CO37)</f>
        <v>0.0756138133776972</v>
      </c>
      <c r="N36" s="26" t="n">
        <f aca="false">IF(Work!$CL37="","",Work!$CL37)</f>
        <v>0.257817934729882</v>
      </c>
      <c r="O36" s="26" t="n">
        <f aca="false">IF(Work!$CM37="","",Work!$CM37)</f>
        <v>0.515635869459765</v>
      </c>
    </row>
    <row r="37" customFormat="false" ht="15" hidden="false" customHeight="false" outlineLevel="0" collapsed="false">
      <c r="A37" s="8" t="n">
        <f aca="false">IF(Work!$B38="","",Work!$A38)</f>
        <v>33</v>
      </c>
      <c r="B37" s="8" t="str">
        <f aca="false">IF(Work!$B38="","",Work!$B38)</f>
        <v>Random</v>
      </c>
      <c r="C37" s="8" t="str">
        <f aca="false">IF(Work!$B38="","",Work!$D38)</f>
        <v>Sample</v>
      </c>
      <c r="D37" s="16" t="str">
        <f aca="false">IF(Work!$G38="","",Work!$G38)</f>
        <v/>
      </c>
      <c r="E37" s="23" t="str">
        <f aca="false">IF(Work!$AJ38="","",Work!$AJ38)</f>
        <v/>
      </c>
      <c r="F37" s="23" t="str">
        <f aca="false">IF(Work!$AI38="","",Work!$AI38)</f>
        <v/>
      </c>
      <c r="G37" s="23" t="n">
        <f aca="false">IF(Work!$AK38="","",Work!$AK38)</f>
        <v>7.76108406761966</v>
      </c>
      <c r="H37" s="23" t="n">
        <f aca="false">IF(Work!$AL38="","",Work!$AL38)</f>
        <v>6.65512820276859</v>
      </c>
      <c r="I37" s="23" t="n">
        <f aca="false">IF(Work!$AF38="","",Work!$AF38)</f>
        <v>-26.7621724616234</v>
      </c>
      <c r="J37" s="23" t="n">
        <f aca="false">IF(Work!$AA38="","",Work!$AA38)</f>
        <v>-4.96020772975006</v>
      </c>
      <c r="K37" s="8" t="str">
        <f aca="false">IF(Work!$B38="","",IF(Work!$L38="","no N peak; ","")&amp;IF(Work!$P38="","no C peak; ","")&amp;IF(Work!$L38="","",IF(Fits!$B$81&lt;=0,"",IF(Work!$L38&lt;Fits!$B$81,"N below linearity range; ",IF(Fits!$B$97&lt;=0,"",IF(Work!$L38&gt;Fits!$B$97,"N above linearity range; ","")))))&amp;IF(Work!$P38="","",IF(Fits!$B$82&lt;=0,"",IF(Work!$P38&lt;Fits!$B$82,"C below linearity range; ",IF(Fits!$B$104&lt;=0,"",IF(Work!$P38&gt;Fits!$B$104,"C above linearity range; ","")))))&amp;IF(OR(Work!$D38="Sample",Work!$D38="Check"),IF(Work!$AA38="","",IF(Fits!$B$138="","",IF(AND(Work!$AA38&gt;=Fits!$B$138,Work!$AA38&lt;=Fits!$B$139),"","d15N outside anchor range; "))),"")&amp;IF(OR(Work!$D38="Sample",Work!$D38="Check"),IF(Work!$AF38="","",IF(Fits!$B$158="","",IF(AND(Work!$AF38&gt;=Fits!$B$158,Work!$AF38&lt;=Fits!$B$159),"","d13C outside anchor range; "))),"")&amp;IF(Work!$D38&lt;&gt;"Check","",IF(Work!$AA38="","",IF(Work!$S38="","",IF(ABS(Work!$AA38-Work!$S38)&lt;=Setup!$B$20,"","check d15N off by "&amp;TEXT(Work!$AA38-Work!$S38,"+0.00;-0.00")&amp;"; "))))&amp;IF(Work!$D38&lt;&gt;"Check","",IF(Work!$AF38="","",IF(Work!$T38="","",IF(ABS(Work!$AF38-Work!$T38)&lt;=Setup!$B$20,"","check d13C off by "&amp;TEXT(Work!$AF38-Work!$T38,"+0.00;-0.00")&amp;"; "))))&amp;IF(Work!$D38&lt;&gt;"Drift","",IF(Work!$BX38=1,"excluded from N drift fit; ",IF(Work!$CB38="","",IF(ABS(Work!$CB38)&gt;Setup!$B$27,"N drift monitor outlier; ",""))))&amp;IF(Work!$D38&lt;&gt;"Drift","",IF(Work!$BY38=1,"excluded from C drift fit; ",IF(Work!$CC38="","",IF(ABS(Work!$CC38)&gt;Setup!$B$27,"C drift monitor outlier; ",""))))&amp;IF(Work!$D38="Blank","",IF(Work!$L38="","",IF(Setup!$B$25="","",IF(Fits!$B$6&lt;=0,"",IF(Work!$L38&gt;=Fits!$B$6*Setup!$B$25,"","N peak only "&amp;TEXT(Work!$L38/Fits!$B$6,"0.0")&amp;"x the blank; ")))))&amp;IF(Work!$D38="Blank","",IF(Work!$P38="","",IF(Setup!$B$25="","",IF(Fits!$B$10&lt;=0,"",IF(Work!$P38&gt;=Fits!$B$10*Setup!$B$25,"","C peak only "&amp;TEXT(Work!$P38/Fits!$B$10,"0.0")&amp;"x the blank; ")))))&amp;IF(Work!$A38&gt;=Fits!$B$86,"","ran before the background settled; ")&amp;IF(Work!$EN38=1,"possible carryover from an oversized sample; ",""))</f>
        <v>N above linearity range; C above linearity range; d15N outside anchor range; </v>
      </c>
      <c r="L37" s="26" t="n">
        <f aca="false">IF(Work!$CN38="","",Work!$CN38)</f>
        <v>0.0377559386580192</v>
      </c>
      <c r="M37" s="26" t="n">
        <f aca="false">IF(Work!$CO38="","",Work!$CO38)</f>
        <v>0.0755118773160385</v>
      </c>
      <c r="N37" s="26" t="n">
        <f aca="false">IF(Work!$CL38="","",Work!$CL38)</f>
        <v>0.254312249083942</v>
      </c>
      <c r="O37" s="26" t="n">
        <f aca="false">IF(Work!$CM38="","",Work!$CM38)</f>
        <v>0.508624498167884</v>
      </c>
    </row>
    <row r="38" customFormat="false" ht="15" hidden="false" customHeight="false" outlineLevel="0" collapsed="false">
      <c r="A38" s="8" t="n">
        <f aca="false">IF(Work!$B39="","",Work!$A39)</f>
        <v>34</v>
      </c>
      <c r="B38" s="8" t="str">
        <f aca="false">IF(Work!$B39="","",Work!$B39)</f>
        <v>Ace Drift7</v>
      </c>
      <c r="C38" s="8" t="str">
        <f aca="false">IF(Work!$B39="","",Work!$D39)</f>
        <v>Drift</v>
      </c>
      <c r="D38" s="16" t="n">
        <f aca="false">IF(Work!$G39="","",Work!$G39)</f>
        <v>0.399</v>
      </c>
      <c r="E38" s="23" t="n">
        <f aca="false">IF(Work!$AJ39="","",Work!$AJ39)</f>
        <v>71.8523247642133</v>
      </c>
      <c r="F38" s="23" t="n">
        <f aca="false">IF(Work!$AI39="","",Work!$AI39)</f>
        <v>10.4393714049351</v>
      </c>
      <c r="G38" s="23" t="n">
        <f aca="false">IF(Work!$AK39="","",Work!$AK39)</f>
        <v>8.02661508528021</v>
      </c>
      <c r="H38" s="23" t="n">
        <f aca="false">IF(Work!$AL39="","",Work!$AL39)</f>
        <v>6.88282100301996</v>
      </c>
      <c r="I38" s="23" t="n">
        <f aca="false">IF(Work!$AF39="","",Work!$AF39)</f>
        <v>-26.5959383222801</v>
      </c>
      <c r="J38" s="23" t="n">
        <f aca="false">IF(Work!$AA39="","",Work!$AA39)</f>
        <v>-5.34748726261932</v>
      </c>
      <c r="K38" s="8" t="str">
        <f aca="false">IF(Work!$B39="","",IF(Work!$L39="","no N peak; ","")&amp;IF(Work!$P39="","no C peak; ","")&amp;IF(Work!$L39="","",IF(Fits!$B$81&lt;=0,"",IF(Work!$L39&lt;Fits!$B$81,"N below linearity range; ",IF(Fits!$B$97&lt;=0,"",IF(Work!$L39&gt;Fits!$B$97,"N above linearity range; ","")))))&amp;IF(Work!$P39="","",IF(Fits!$B$82&lt;=0,"",IF(Work!$P39&lt;Fits!$B$82,"C below linearity range; ",IF(Fits!$B$104&lt;=0,"",IF(Work!$P39&gt;Fits!$B$104,"C above linearity range; ","")))))&amp;IF(OR(Work!$D39="Sample",Work!$D39="Check"),IF(Work!$AA39="","",IF(Fits!$B$138="","",IF(AND(Work!$AA39&gt;=Fits!$B$138,Work!$AA39&lt;=Fits!$B$139),"","d15N outside anchor range; "))),"")&amp;IF(OR(Work!$D39="Sample",Work!$D39="Check"),IF(Work!$AF39="","",IF(Fits!$B$158="","",IF(AND(Work!$AF39&gt;=Fits!$B$158,Work!$AF39&lt;=Fits!$B$159),"","d13C outside anchor range; "))),"")&amp;IF(Work!$D39&lt;&gt;"Check","",IF(Work!$AA39="","",IF(Work!$S39="","",IF(ABS(Work!$AA39-Work!$S39)&lt;=Setup!$B$20,"","check d15N off by "&amp;TEXT(Work!$AA39-Work!$S39,"+0.00;-0.00")&amp;"; "))))&amp;IF(Work!$D39&lt;&gt;"Check","",IF(Work!$AF39="","",IF(Work!$T39="","",IF(ABS(Work!$AF39-Work!$T39)&lt;=Setup!$B$20,"","check d13C off by "&amp;TEXT(Work!$AF39-Work!$T39,"+0.00;-0.00")&amp;"; "))))&amp;IF(Work!$D39&lt;&gt;"Drift","",IF(Work!$BX39=1,"excluded from N drift fit; ",IF(Work!$CB39="","",IF(ABS(Work!$CB39)&gt;Setup!$B$27,"N drift monitor outlier; ",""))))&amp;IF(Work!$D39&lt;&gt;"Drift","",IF(Work!$BY39=1,"excluded from C drift fit; ",IF(Work!$CC39="","",IF(ABS(Work!$CC39)&gt;Setup!$B$27,"C drift monitor outlier; ",""))))&amp;IF(Work!$D39="Blank","",IF(Work!$L39="","",IF(Setup!$B$25="","",IF(Fits!$B$6&lt;=0,"",IF(Work!$L39&gt;=Fits!$B$6*Setup!$B$25,"","N peak only "&amp;TEXT(Work!$L39/Fits!$B$6,"0.0")&amp;"x the blank; ")))))&amp;IF(Work!$D39="Blank","",IF(Work!$P39="","",IF(Setup!$B$25="","",IF(Fits!$B$10&lt;=0,"",IF(Work!$P39&gt;=Fits!$B$10*Setup!$B$25,"","C peak only "&amp;TEXT(Work!$P39/Fits!$B$10,"0.0")&amp;"x the blank; ")))))&amp;IF(Work!$A39&gt;=Fits!$B$86,"","ran before the background settled; ")&amp;IF(Work!$EN39=1,"possible carryover from an oversized sample; ",""))</f>
        <v/>
      </c>
      <c r="L38" s="26" t="n">
        <f aca="false">IF(Work!$CN39="","",Work!$CN39)</f>
        <v>0.0378968797527942</v>
      </c>
      <c r="M38" s="26" t="n">
        <f aca="false">IF(Work!$CO39="","",Work!$CO39)</f>
        <v>0.0757937595055884</v>
      </c>
      <c r="N38" s="26" t="n">
        <f aca="false">IF(Work!$CL39="","",Work!$CL39)</f>
        <v>0.256571075849667</v>
      </c>
      <c r="O38" s="26" t="n">
        <f aca="false">IF(Work!$CM39="","",Work!$CM39)</f>
        <v>0.513142151699333</v>
      </c>
    </row>
    <row r="39" customFormat="false" ht="15" hidden="false" customHeight="false" outlineLevel="0" collapsed="false">
      <c r="A39" s="8" t="n">
        <f aca="false">IF(Work!$B40="","",Work!$A40)</f>
        <v>35</v>
      </c>
      <c r="B39" s="8" t="str">
        <f aca="false">IF(Work!$B40="","",Work!$B40)</f>
        <v>Random</v>
      </c>
      <c r="C39" s="8" t="str">
        <f aca="false">IF(Work!$B40="","",Work!$D40)</f>
        <v>Sample</v>
      </c>
      <c r="D39" s="16" t="str">
        <f aca="false">IF(Work!$G40="","",Work!$G40)</f>
        <v/>
      </c>
      <c r="E39" s="23" t="str">
        <f aca="false">IF(Work!$AJ40="","",Work!$AJ40)</f>
        <v/>
      </c>
      <c r="F39" s="23" t="str">
        <f aca="false">IF(Work!$AI40="","",Work!$AI40)</f>
        <v/>
      </c>
      <c r="G39" s="23" t="n">
        <f aca="false">IF(Work!$AK40="","",Work!$AK40)</f>
        <v>8.096944024871</v>
      </c>
      <c r="H39" s="23" t="n">
        <f aca="false">IF(Work!$AL40="","",Work!$AL40)</f>
        <v>6.9431280561666</v>
      </c>
      <c r="I39" s="23" t="n">
        <f aca="false">IF(Work!$AF40="","",Work!$AF40)</f>
        <v>-26.7373859570577</v>
      </c>
      <c r="J39" s="23" t="n">
        <f aca="false">IF(Work!$AA40="","",Work!$AA40)</f>
        <v>-5.1475528864668</v>
      </c>
      <c r="K39" s="8" t="str">
        <f aca="false">IF(Work!$B40="","",IF(Work!$L40="","no N peak; ","")&amp;IF(Work!$P40="","no C peak; ","")&amp;IF(Work!$L40="","",IF(Fits!$B$81&lt;=0,"",IF(Work!$L40&lt;Fits!$B$81,"N below linearity range; ",IF(Fits!$B$97&lt;=0,"",IF(Work!$L40&gt;Fits!$B$97,"N above linearity range; ","")))))&amp;IF(Work!$P40="","",IF(Fits!$B$82&lt;=0,"",IF(Work!$P40&lt;Fits!$B$82,"C below linearity range; ",IF(Fits!$B$104&lt;=0,"",IF(Work!$P40&gt;Fits!$B$104,"C above linearity range; ","")))))&amp;IF(OR(Work!$D40="Sample",Work!$D40="Check"),IF(Work!$AA40="","",IF(Fits!$B$138="","",IF(AND(Work!$AA40&gt;=Fits!$B$138,Work!$AA40&lt;=Fits!$B$139),"","d15N outside anchor range; "))),"")&amp;IF(OR(Work!$D40="Sample",Work!$D40="Check"),IF(Work!$AF40="","",IF(Fits!$B$158="","",IF(AND(Work!$AF40&gt;=Fits!$B$158,Work!$AF40&lt;=Fits!$B$159),"","d13C outside anchor range; "))),"")&amp;IF(Work!$D40&lt;&gt;"Check","",IF(Work!$AA40="","",IF(Work!$S40="","",IF(ABS(Work!$AA40-Work!$S40)&lt;=Setup!$B$20,"","check d15N off by "&amp;TEXT(Work!$AA40-Work!$S40,"+0.00;-0.00")&amp;"; "))))&amp;IF(Work!$D40&lt;&gt;"Check","",IF(Work!$AF40="","",IF(Work!$T40="","",IF(ABS(Work!$AF40-Work!$T40)&lt;=Setup!$B$20,"","check d13C off by "&amp;TEXT(Work!$AF40-Work!$T40,"+0.00;-0.00")&amp;"; "))))&amp;IF(Work!$D40&lt;&gt;"Drift","",IF(Work!$BX40=1,"excluded from N drift fit; ",IF(Work!$CB40="","",IF(ABS(Work!$CB40)&gt;Setup!$B$27,"N drift monitor outlier; ",""))))&amp;IF(Work!$D40&lt;&gt;"Drift","",IF(Work!$BY40=1,"excluded from C drift fit; ",IF(Work!$CC40="","",IF(ABS(Work!$CC40)&gt;Setup!$B$27,"C drift monitor outlier; ",""))))&amp;IF(Work!$D40="Blank","",IF(Work!$L40="","",IF(Setup!$B$25="","",IF(Fits!$B$6&lt;=0,"",IF(Work!$L40&gt;=Fits!$B$6*Setup!$B$25,"","N peak only "&amp;TEXT(Work!$L40/Fits!$B$6,"0.0")&amp;"x the blank; ")))))&amp;IF(Work!$D40="Blank","",IF(Work!$P40="","",IF(Setup!$B$25="","",IF(Fits!$B$10&lt;=0,"",IF(Work!$P40&gt;=Fits!$B$10*Setup!$B$25,"","C peak only "&amp;TEXT(Work!$P40/Fits!$B$10,"0.0")&amp;"x the blank; ")))))&amp;IF(Work!$A40&gt;=Fits!$B$86,"","ran before the background settled; ")&amp;IF(Work!$EN40=1,"possible carryover from an oversized sample; ",""))</f>
        <v>d15N outside anchor range; </v>
      </c>
      <c r="L39" s="26" t="n">
        <f aca="false">IF(Work!$CN40="","",Work!$CN40)</f>
        <v>0.0377766026123961</v>
      </c>
      <c r="M39" s="26" t="n">
        <f aca="false">IF(Work!$CO40="","",Work!$CO40)</f>
        <v>0.0755532052247922</v>
      </c>
      <c r="N39" s="26" t="n">
        <f aca="false">IF(Work!$CL40="","",Work!$CL40)</f>
        <v>0.255401868477114</v>
      </c>
      <c r="O39" s="26" t="n">
        <f aca="false">IF(Work!$CM40="","",Work!$CM40)</f>
        <v>0.510803736954228</v>
      </c>
    </row>
    <row r="40" customFormat="false" ht="15" hidden="false" customHeight="false" outlineLevel="0" collapsed="false">
      <c r="A40" s="8" t="n">
        <f aca="false">IF(Work!$B41="","",Work!$A41)</f>
        <v>36</v>
      </c>
      <c r="B40" s="8" t="str">
        <f aca="false">IF(Work!$B41="","",Work!$B41)</f>
        <v>Random</v>
      </c>
      <c r="C40" s="8" t="str">
        <f aca="false">IF(Work!$B41="","",Work!$D41)</f>
        <v>Sample</v>
      </c>
      <c r="D40" s="16" t="str">
        <f aca="false">IF(Work!$G41="","",Work!$G41)</f>
        <v/>
      </c>
      <c r="E40" s="23" t="str">
        <f aca="false">IF(Work!$AJ41="","",Work!$AJ41)</f>
        <v/>
      </c>
      <c r="F40" s="23" t="str">
        <f aca="false">IF(Work!$AI41="","",Work!$AI41)</f>
        <v/>
      </c>
      <c r="G40" s="23" t="n">
        <f aca="false">IF(Work!$AK41="","",Work!$AK41)</f>
        <v>8.11627561168185</v>
      </c>
      <c r="H40" s="23" t="n">
        <f aca="false">IF(Work!$AL41="","",Work!$AL41)</f>
        <v>6.95970488840656</v>
      </c>
      <c r="I40" s="23" t="n">
        <f aca="false">IF(Work!$AF41="","",Work!$AF41)</f>
        <v>-26.6261727484253</v>
      </c>
      <c r="J40" s="23" t="n">
        <f aca="false">IF(Work!$AA41="","",Work!$AA41)</f>
        <v>-5.21761371673513</v>
      </c>
      <c r="K40" s="8" t="str">
        <f aca="false">IF(Work!$B41="","",IF(Work!$L41="","no N peak; ","")&amp;IF(Work!$P41="","no C peak; ","")&amp;IF(Work!$L41="","",IF(Fits!$B$81&lt;=0,"",IF(Work!$L41&lt;Fits!$B$81,"N below linearity range; ",IF(Fits!$B$97&lt;=0,"",IF(Work!$L41&gt;Fits!$B$97,"N above linearity range; ","")))))&amp;IF(Work!$P41="","",IF(Fits!$B$82&lt;=0,"",IF(Work!$P41&lt;Fits!$B$82,"C below linearity range; ",IF(Fits!$B$104&lt;=0,"",IF(Work!$P41&gt;Fits!$B$104,"C above linearity range; ","")))))&amp;IF(OR(Work!$D41="Sample",Work!$D41="Check"),IF(Work!$AA41="","",IF(Fits!$B$138="","",IF(AND(Work!$AA41&gt;=Fits!$B$138,Work!$AA41&lt;=Fits!$B$139),"","d15N outside anchor range; "))),"")&amp;IF(OR(Work!$D41="Sample",Work!$D41="Check"),IF(Work!$AF41="","",IF(Fits!$B$158="","",IF(AND(Work!$AF41&gt;=Fits!$B$158,Work!$AF41&lt;=Fits!$B$159),"","d13C outside anchor range; "))),"")&amp;IF(Work!$D41&lt;&gt;"Check","",IF(Work!$AA41="","",IF(Work!$S41="","",IF(ABS(Work!$AA41-Work!$S41)&lt;=Setup!$B$20,"","check d15N off by "&amp;TEXT(Work!$AA41-Work!$S41,"+0.00;-0.00")&amp;"; "))))&amp;IF(Work!$D41&lt;&gt;"Check","",IF(Work!$AF41="","",IF(Work!$T41="","",IF(ABS(Work!$AF41-Work!$T41)&lt;=Setup!$B$20,"","check d13C off by "&amp;TEXT(Work!$AF41-Work!$T41,"+0.00;-0.00")&amp;"; "))))&amp;IF(Work!$D41&lt;&gt;"Drift","",IF(Work!$BX41=1,"excluded from N drift fit; ",IF(Work!$CB41="","",IF(ABS(Work!$CB41)&gt;Setup!$B$27,"N drift monitor outlier; ",""))))&amp;IF(Work!$D41&lt;&gt;"Drift","",IF(Work!$BY41=1,"excluded from C drift fit; ",IF(Work!$CC41="","",IF(ABS(Work!$CC41)&gt;Setup!$B$27,"C drift monitor outlier; ",""))))&amp;IF(Work!$D41="Blank","",IF(Work!$L41="","",IF(Setup!$B$25="","",IF(Fits!$B$6&lt;=0,"",IF(Work!$L41&gt;=Fits!$B$6*Setup!$B$25,"","N peak only "&amp;TEXT(Work!$L41/Fits!$B$6,"0.0")&amp;"x the blank; ")))))&amp;IF(Work!$D41="Blank","",IF(Work!$P41="","",IF(Setup!$B$25="","",IF(Fits!$B$10&lt;=0,"",IF(Work!$P41&gt;=Fits!$B$10*Setup!$B$25,"","C peak only "&amp;TEXT(Work!$P41/Fits!$B$10,"0.0")&amp;"x the blank; ")))))&amp;IF(Work!$A41&gt;=Fits!$B$86,"","ran before the background settled; ")&amp;IF(Work!$EN41=1,"possible carryover from an oversized sample; ",""))</f>
        <v>d15N outside anchor range; </v>
      </c>
      <c r="L40" s="26" t="n">
        <f aca="false">IF(Work!$CN41="","",Work!$CN41)</f>
        <v>0.037870834715565</v>
      </c>
      <c r="M40" s="26" t="n">
        <f aca="false">IF(Work!$CO41="","",Work!$CO41)</f>
        <v>0.0757416694311301</v>
      </c>
      <c r="N40" s="26" t="n">
        <f aca="false">IF(Work!$CL41="","",Work!$CL41)</f>
        <v>0.255810837212918</v>
      </c>
      <c r="O40" s="26" t="n">
        <f aca="false">IF(Work!$CM41="","",Work!$CM41)</f>
        <v>0.511621674425835</v>
      </c>
    </row>
    <row r="41" customFormat="false" ht="15" hidden="false" customHeight="false" outlineLevel="0" collapsed="false">
      <c r="A41" s="8" t="n">
        <f aca="false">IF(Work!$B42="","",Work!$A42)</f>
        <v>37</v>
      </c>
      <c r="B41" s="8" t="str">
        <f aca="false">IF(Work!$B42="","",Work!$B42)</f>
        <v>Random</v>
      </c>
      <c r="C41" s="8" t="str">
        <f aca="false">IF(Work!$B42="","",Work!$D42)</f>
        <v>Sample</v>
      </c>
      <c r="D41" s="16" t="str">
        <f aca="false">IF(Work!$G42="","",Work!$G42)</f>
        <v/>
      </c>
      <c r="E41" s="23" t="str">
        <f aca="false">IF(Work!$AJ42="","",Work!$AJ42)</f>
        <v/>
      </c>
      <c r="F41" s="23" t="str">
        <f aca="false">IF(Work!$AI42="","",Work!$AI42)</f>
        <v/>
      </c>
      <c r="G41" s="23" t="n">
        <f aca="false">IF(Work!$AK42="","",Work!$AK42)</f>
        <v>7.98567760716522</v>
      </c>
      <c r="H41" s="23" t="n">
        <f aca="false">IF(Work!$AL42="","",Work!$AL42)</f>
        <v>6.84771712284297</v>
      </c>
      <c r="I41" s="23" t="n">
        <f aca="false">IF(Work!$AF42="","",Work!$AF42)</f>
        <v>-26.7199611050583</v>
      </c>
      <c r="J41" s="23" t="n">
        <f aca="false">IF(Work!$AA42="","",Work!$AA42)</f>
        <v>-4.98277501731908</v>
      </c>
      <c r="K41" s="8" t="str">
        <f aca="false">IF(Work!$B42="","",IF(Work!$L42="","no N peak; ","")&amp;IF(Work!$P42="","no C peak; ","")&amp;IF(Work!$L42="","",IF(Fits!$B$81&lt;=0,"",IF(Work!$L42&lt;Fits!$B$81,"N below linearity range; ",IF(Fits!$B$97&lt;=0,"",IF(Work!$L42&gt;Fits!$B$97,"N above linearity range; ","")))))&amp;IF(Work!$P42="","",IF(Fits!$B$82&lt;=0,"",IF(Work!$P42&lt;Fits!$B$82,"C below linearity range; ",IF(Fits!$B$104&lt;=0,"",IF(Work!$P42&gt;Fits!$B$104,"C above linearity range; ","")))))&amp;IF(OR(Work!$D42="Sample",Work!$D42="Check"),IF(Work!$AA42="","",IF(Fits!$B$138="","",IF(AND(Work!$AA42&gt;=Fits!$B$138,Work!$AA42&lt;=Fits!$B$139),"","d15N outside anchor range; "))),"")&amp;IF(OR(Work!$D42="Sample",Work!$D42="Check"),IF(Work!$AF42="","",IF(Fits!$B$158="","",IF(AND(Work!$AF42&gt;=Fits!$B$158,Work!$AF42&lt;=Fits!$B$159),"","d13C outside anchor range; "))),"")&amp;IF(Work!$D42&lt;&gt;"Check","",IF(Work!$AA42="","",IF(Work!$S42="","",IF(ABS(Work!$AA42-Work!$S42)&lt;=Setup!$B$20,"","check d15N off by "&amp;TEXT(Work!$AA42-Work!$S42,"+0.00;-0.00")&amp;"; "))))&amp;IF(Work!$D42&lt;&gt;"Check","",IF(Work!$AF42="","",IF(Work!$T42="","",IF(ABS(Work!$AF42-Work!$T42)&lt;=Setup!$B$20,"","check d13C off by "&amp;TEXT(Work!$AF42-Work!$T42,"+0.00;-0.00")&amp;"; "))))&amp;IF(Work!$D42&lt;&gt;"Drift","",IF(Work!$BX42=1,"excluded from N drift fit; ",IF(Work!$CB42="","",IF(ABS(Work!$CB42)&gt;Setup!$B$27,"N drift monitor outlier; ",""))))&amp;IF(Work!$D42&lt;&gt;"Drift","",IF(Work!$BY42=1,"excluded from C drift fit; ",IF(Work!$CC42="","",IF(ABS(Work!$CC42)&gt;Setup!$B$27,"C drift monitor outlier; ",""))))&amp;IF(Work!$D42="Blank","",IF(Work!$L42="","",IF(Setup!$B$25="","",IF(Fits!$B$6&lt;=0,"",IF(Work!$L42&gt;=Fits!$B$6*Setup!$B$25,"","N peak only "&amp;TEXT(Work!$L42/Fits!$B$6,"0.0")&amp;"x the blank; ")))))&amp;IF(Work!$D42="Blank","",IF(Work!$P42="","",IF(Setup!$B$25="","",IF(Fits!$B$10&lt;=0,"",IF(Work!$P42&gt;=Fits!$B$10*Setup!$B$25,"","C peak only "&amp;TEXT(Work!$P42/Fits!$B$10,"0.0")&amp;"x the blank; ")))))&amp;IF(Work!$A42&gt;=Fits!$B$86,"","ran before the background settled; ")&amp;IF(Work!$EN42=1,"possible carryover from an oversized sample; ",""))</f>
        <v>d15N outside anchor range; </v>
      </c>
      <c r="L41" s="26" t="n">
        <f aca="false">IF(Work!$CN42="","",Work!$CN42)</f>
        <v>0.0377912032054639</v>
      </c>
      <c r="M41" s="26" t="n">
        <f aca="false">IF(Work!$CO42="","",Work!$CO42)</f>
        <v>0.0755824064109277</v>
      </c>
      <c r="N41" s="26" t="n">
        <f aca="false">IF(Work!$CL42="","",Work!$CL42)</f>
        <v>0.254443194469757</v>
      </c>
      <c r="O41" s="26" t="n">
        <f aca="false">IF(Work!$CM42="","",Work!$CM42)</f>
        <v>0.508886388939515</v>
      </c>
    </row>
    <row r="42" customFormat="false" ht="15" hidden="false" customHeight="false" outlineLevel="0" collapsed="false">
      <c r="A42" s="8" t="n">
        <f aca="false">IF(Work!$B43="","",Work!$A43)</f>
        <v>38</v>
      </c>
      <c r="B42" s="8" t="str">
        <f aca="false">IF(Work!$B43="","",Work!$B43)</f>
        <v>Ace Drift8</v>
      </c>
      <c r="C42" s="8" t="str">
        <f aca="false">IF(Work!$B43="","",Work!$D43)</f>
        <v>Drift</v>
      </c>
      <c r="D42" s="16" t="n">
        <f aca="false">IF(Work!$G43="","",Work!$G43)</f>
        <v>0.394</v>
      </c>
      <c r="E42" s="23" t="n">
        <f aca="false">IF(Work!$AJ43="","",Work!$AJ43)</f>
        <v>72.7514384332637</v>
      </c>
      <c r="F42" s="23" t="n">
        <f aca="false">IF(Work!$AI43="","",Work!$AI43)</f>
        <v>10.571850737485</v>
      </c>
      <c r="G42" s="23" t="n">
        <f aca="false">IF(Work!$AK43="","",Work!$AK43)</f>
        <v>8.02521217758307</v>
      </c>
      <c r="H42" s="23" t="n">
        <f aca="false">IF(Work!$AL43="","",Work!$AL43)</f>
        <v>6.88161800992006</v>
      </c>
      <c r="I42" s="23" t="n">
        <f aca="false">IF(Work!$AF43="","",Work!$AF43)</f>
        <v>-26.5628288897423</v>
      </c>
      <c r="J42" s="23" t="n">
        <f aca="false">IF(Work!$AA43="","",Work!$AA43)</f>
        <v>-5.50556545227029</v>
      </c>
      <c r="K42" s="8" t="str">
        <f aca="false">IF(Work!$B43="","",IF(Work!$L43="","no N peak; ","")&amp;IF(Work!$P43="","no C peak; ","")&amp;IF(Work!$L43="","",IF(Fits!$B$81&lt;=0,"",IF(Work!$L43&lt;Fits!$B$81,"N below linearity range; ",IF(Fits!$B$97&lt;=0,"",IF(Work!$L43&gt;Fits!$B$97,"N above linearity range; ","")))))&amp;IF(Work!$P43="","",IF(Fits!$B$82&lt;=0,"",IF(Work!$P43&lt;Fits!$B$82,"C below linearity range; ",IF(Fits!$B$104&lt;=0,"",IF(Work!$P43&gt;Fits!$B$104,"C above linearity range; ","")))))&amp;IF(OR(Work!$D43="Sample",Work!$D43="Check"),IF(Work!$AA43="","",IF(Fits!$B$138="","",IF(AND(Work!$AA43&gt;=Fits!$B$138,Work!$AA43&lt;=Fits!$B$139),"","d15N outside anchor range; "))),"")&amp;IF(OR(Work!$D43="Sample",Work!$D43="Check"),IF(Work!$AF43="","",IF(Fits!$B$158="","",IF(AND(Work!$AF43&gt;=Fits!$B$158,Work!$AF43&lt;=Fits!$B$159),"","d13C outside anchor range; "))),"")&amp;IF(Work!$D43&lt;&gt;"Check","",IF(Work!$AA43="","",IF(Work!$S43="","",IF(ABS(Work!$AA43-Work!$S43)&lt;=Setup!$B$20,"","check d15N off by "&amp;TEXT(Work!$AA43-Work!$S43,"+0.00;-0.00")&amp;"; "))))&amp;IF(Work!$D43&lt;&gt;"Check","",IF(Work!$AF43="","",IF(Work!$T43="","",IF(ABS(Work!$AF43-Work!$T43)&lt;=Setup!$B$20,"","check d13C off by "&amp;TEXT(Work!$AF43-Work!$T43,"+0.00;-0.00")&amp;"; "))))&amp;IF(Work!$D43&lt;&gt;"Drift","",IF(Work!$BX43=1,"excluded from N drift fit; ",IF(Work!$CB43="","",IF(ABS(Work!$CB43)&gt;Setup!$B$27,"N drift monitor outlier; ",""))))&amp;IF(Work!$D43&lt;&gt;"Drift","",IF(Work!$BY43=1,"excluded from C drift fit; ",IF(Work!$CC43="","",IF(ABS(Work!$CC43)&gt;Setup!$B$27,"C drift monitor outlier; ",""))))&amp;IF(Work!$D43="Blank","",IF(Work!$L43="","",IF(Setup!$B$25="","",IF(Fits!$B$6&lt;=0,"",IF(Work!$L43&gt;=Fits!$B$6*Setup!$B$25,"","N peak only "&amp;TEXT(Work!$L43/Fits!$B$6,"0.0")&amp;"x the blank; ")))))&amp;IF(Work!$D43="Blank","",IF(Work!$P43="","",IF(Setup!$B$25="","",IF(Fits!$B$10&lt;=0,"",IF(Work!$P43&gt;=Fits!$B$10*Setup!$B$25,"","C peak only "&amp;TEXT(Work!$P43/Fits!$B$10,"0.0")&amp;"x the blank; ")))))&amp;IF(Work!$A43&gt;=Fits!$B$86,"","ran before the background settled; ")&amp;IF(Work!$EN43=1,"possible carryover from an oversized sample; ",""))</f>
        <v/>
      </c>
      <c r="L42" s="26" t="n">
        <f aca="false">IF(Work!$CN43="","",Work!$CN43)</f>
        <v>0.0379256100500674</v>
      </c>
      <c r="M42" s="26" t="n">
        <f aca="false">IF(Work!$CO43="","",Work!$CO43)</f>
        <v>0.0758512201001347</v>
      </c>
      <c r="N42" s="26" t="n">
        <f aca="false">IF(Work!$CL43="","",Work!$CL43)</f>
        <v>0.257500106648583</v>
      </c>
      <c r="O42" s="26" t="n">
        <f aca="false">IF(Work!$CM43="","",Work!$CM43)</f>
        <v>0.515000213297166</v>
      </c>
    </row>
    <row r="43" customFormat="false" ht="15" hidden="false" customHeight="false" outlineLevel="0" collapsed="false">
      <c r="A43" s="8" t="n">
        <f aca="false">IF(Work!$B44="","",Work!$A44)</f>
        <v>39</v>
      </c>
      <c r="B43" s="8" t="str">
        <f aca="false">IF(Work!$B44="","",Work!$B44)</f>
        <v>Random</v>
      </c>
      <c r="C43" s="8" t="str">
        <f aca="false">IF(Work!$B44="","",Work!$D44)</f>
        <v>Sample</v>
      </c>
      <c r="D43" s="16" t="str">
        <f aca="false">IF(Work!$G44="","",Work!$G44)</f>
        <v/>
      </c>
      <c r="E43" s="23" t="str">
        <f aca="false">IF(Work!$AJ44="","",Work!$AJ44)</f>
        <v/>
      </c>
      <c r="F43" s="23" t="str">
        <f aca="false">IF(Work!$AI44="","",Work!$AI44)</f>
        <v/>
      </c>
      <c r="G43" s="23" t="n">
        <f aca="false">IF(Work!$AK44="","",Work!$AK44)</f>
        <v>8.25772201628924</v>
      </c>
      <c r="H43" s="23" t="n">
        <f aca="false">IF(Work!$AL44="","",Work!$AL44)</f>
        <v>7.08099515511173</v>
      </c>
      <c r="I43" s="23" t="n">
        <f aca="false">IF(Work!$AF44="","",Work!$AF44)</f>
        <v>-26.5943414117116</v>
      </c>
      <c r="J43" s="23" t="n">
        <f aca="false">IF(Work!$AA44="","",Work!$AA44)</f>
        <v>-5.30255128288863</v>
      </c>
      <c r="K43" s="8" t="str">
        <f aca="false">IF(Work!$B44="","",IF(Work!$L44="","no N peak; ","")&amp;IF(Work!$P44="","no C peak; ","")&amp;IF(Work!$L44="","",IF(Fits!$B$81&lt;=0,"",IF(Work!$L44&lt;Fits!$B$81,"N below linearity range; ",IF(Fits!$B$97&lt;=0,"",IF(Work!$L44&gt;Fits!$B$97,"N above linearity range; ","")))))&amp;IF(Work!$P44="","",IF(Fits!$B$82&lt;=0,"",IF(Work!$P44&lt;Fits!$B$82,"C below linearity range; ",IF(Fits!$B$104&lt;=0,"",IF(Work!$P44&gt;Fits!$B$104,"C above linearity range; ","")))))&amp;IF(OR(Work!$D44="Sample",Work!$D44="Check"),IF(Work!$AA44="","",IF(Fits!$B$138="","",IF(AND(Work!$AA44&gt;=Fits!$B$138,Work!$AA44&lt;=Fits!$B$139),"","d15N outside anchor range; "))),"")&amp;IF(OR(Work!$D44="Sample",Work!$D44="Check"),IF(Work!$AF44="","",IF(Fits!$B$158="","",IF(AND(Work!$AF44&gt;=Fits!$B$158,Work!$AF44&lt;=Fits!$B$159),"","d13C outside anchor range; "))),"")&amp;IF(Work!$D44&lt;&gt;"Check","",IF(Work!$AA44="","",IF(Work!$S44="","",IF(ABS(Work!$AA44-Work!$S44)&lt;=Setup!$B$20,"","check d15N off by "&amp;TEXT(Work!$AA44-Work!$S44,"+0.00;-0.00")&amp;"; "))))&amp;IF(Work!$D44&lt;&gt;"Check","",IF(Work!$AF44="","",IF(Work!$T44="","",IF(ABS(Work!$AF44-Work!$T44)&lt;=Setup!$B$20,"","check d13C off by "&amp;TEXT(Work!$AF44-Work!$T44,"+0.00;-0.00")&amp;"; "))))&amp;IF(Work!$D44&lt;&gt;"Drift","",IF(Work!$BX44=1,"excluded from N drift fit; ",IF(Work!$CB44="","",IF(ABS(Work!$CB44)&gt;Setup!$B$27,"N drift monitor outlier; ",""))))&amp;IF(Work!$D44&lt;&gt;"Drift","",IF(Work!$BY44=1,"excluded from C drift fit; ",IF(Work!$CC44="","",IF(ABS(Work!$CC44)&gt;Setup!$B$27,"C drift monitor outlier; ",""))))&amp;IF(Work!$D44="Blank","",IF(Work!$L44="","",IF(Setup!$B$25="","",IF(Fits!$B$6&lt;=0,"",IF(Work!$L44&gt;=Fits!$B$6*Setup!$B$25,"","N peak only "&amp;TEXT(Work!$L44/Fits!$B$6,"0.0")&amp;"x the blank; ")))))&amp;IF(Work!$D44="Blank","",IF(Work!$P44="","",IF(Setup!$B$25="","",IF(Fits!$B$10&lt;=0,"",IF(Work!$P44&gt;=Fits!$B$10*Setup!$B$25,"","C peak only "&amp;TEXT(Work!$P44/Fits!$B$10,"0.0")&amp;"x the blank; ")))))&amp;IF(Work!$A44&gt;=Fits!$B$86,"","ran before the background settled; ")&amp;IF(Work!$EN44=1,"possible carryover from an oversized sample; ",""))</f>
        <v>d15N outside anchor range; </v>
      </c>
      <c r="L43" s="26" t="n">
        <f aca="false">IF(Work!$CN44="","",Work!$CN44)</f>
        <v>0.0378982604498682</v>
      </c>
      <c r="M43" s="26" t="n">
        <f aca="false">IF(Work!$CO44="","",Work!$CO44)</f>
        <v>0.0757965208997364</v>
      </c>
      <c r="N43" s="26" t="n">
        <f aca="false">IF(Work!$CL44="","",Work!$CL44)</f>
        <v>0.25630772390919</v>
      </c>
      <c r="O43" s="26" t="n">
        <f aca="false">IF(Work!$CM44="","",Work!$CM44)</f>
        <v>0.512615447818379</v>
      </c>
    </row>
    <row r="44" customFormat="false" ht="15" hidden="false" customHeight="false" outlineLevel="0" collapsed="false">
      <c r="A44" s="8" t="n">
        <f aca="false">IF(Work!$B45="","",Work!$A45)</f>
        <v>40</v>
      </c>
      <c r="B44" s="8" t="str">
        <f aca="false">IF(Work!$B45="","",Work!$B45)</f>
        <v>Random</v>
      </c>
      <c r="C44" s="8" t="str">
        <f aca="false">IF(Work!$B45="","",Work!$D45)</f>
        <v>Sample</v>
      </c>
      <c r="D44" s="16" t="str">
        <f aca="false">IF(Work!$G45="","",Work!$G45)</f>
        <v/>
      </c>
      <c r="E44" s="23" t="str">
        <f aca="false">IF(Work!$AJ45="","",Work!$AJ45)</f>
        <v/>
      </c>
      <c r="F44" s="23" t="str">
        <f aca="false">IF(Work!$AI45="","",Work!$AI45)</f>
        <v/>
      </c>
      <c r="G44" s="23" t="n">
        <f aca="false">IF(Work!$AK45="","",Work!$AK45)</f>
        <v>41.3957354285627</v>
      </c>
      <c r="H44" s="23" t="n">
        <f aca="false">IF(Work!$AL45="","",Work!$AL45)</f>
        <v>35.4968357415911</v>
      </c>
      <c r="I44" s="23" t="n">
        <f aca="false">IF(Work!$AF45="","",Work!$AF45)</f>
        <v>-27.7533343265413</v>
      </c>
      <c r="J44" s="23" t="n">
        <f aca="false">IF(Work!$AA45="","",Work!$AA45)</f>
        <v>2.50549896697098</v>
      </c>
      <c r="K44" s="8" t="str">
        <f aca="false">IF(Work!$B45="","",IF(Work!$L45="","no N peak; ","")&amp;IF(Work!$P45="","no C peak; ","")&amp;IF(Work!$L45="","",IF(Fits!$B$81&lt;=0,"",IF(Work!$L45&lt;Fits!$B$81,"N below linearity range; ",IF(Fits!$B$97&lt;=0,"",IF(Work!$L45&gt;Fits!$B$97,"N above linearity range; ","")))))&amp;IF(Work!$P45="","",IF(Fits!$B$82&lt;=0,"",IF(Work!$P45&lt;Fits!$B$82,"C below linearity range; ",IF(Fits!$B$104&lt;=0,"",IF(Work!$P45&gt;Fits!$B$104,"C above linearity range; ","")))))&amp;IF(OR(Work!$D45="Sample",Work!$D45="Check"),IF(Work!$AA45="","",IF(Fits!$B$138="","",IF(AND(Work!$AA45&gt;=Fits!$B$138,Work!$AA45&lt;=Fits!$B$139),"","d15N outside anchor range; "))),"")&amp;IF(OR(Work!$D45="Sample",Work!$D45="Check"),IF(Work!$AF45="","",IF(Fits!$B$158="","",IF(AND(Work!$AF45&gt;=Fits!$B$158,Work!$AF45&lt;=Fits!$B$159),"","d13C outside anchor range; "))),"")&amp;IF(Work!$D45&lt;&gt;"Check","",IF(Work!$AA45="","",IF(Work!$S45="","",IF(ABS(Work!$AA45-Work!$S45)&lt;=Setup!$B$20,"","check d15N off by "&amp;TEXT(Work!$AA45-Work!$S45,"+0.00;-0.00")&amp;"; "))))&amp;IF(Work!$D45&lt;&gt;"Check","",IF(Work!$AF45="","",IF(Work!$T45="","",IF(ABS(Work!$AF45-Work!$T45)&lt;=Setup!$B$20,"","check d13C off by "&amp;TEXT(Work!$AF45-Work!$T45,"+0.00;-0.00")&amp;"; "))))&amp;IF(Work!$D45&lt;&gt;"Drift","",IF(Work!$BX45=1,"excluded from N drift fit; ",IF(Work!$CB45="","",IF(ABS(Work!$CB45)&gt;Setup!$B$27,"N drift monitor outlier; ",""))))&amp;IF(Work!$D45&lt;&gt;"Drift","",IF(Work!$BY45=1,"excluded from C drift fit; ",IF(Work!$CC45="","",IF(ABS(Work!$CC45)&gt;Setup!$B$27,"C drift monitor outlier; ",""))))&amp;IF(Work!$D45="Blank","",IF(Work!$L45="","",IF(Setup!$B$25="","",IF(Fits!$B$6&lt;=0,"",IF(Work!$L45&gt;=Fits!$B$6*Setup!$B$25,"","N peak only "&amp;TEXT(Work!$L45/Fits!$B$6,"0.0")&amp;"x the blank; ")))))&amp;IF(Work!$D45="Blank","",IF(Work!$P45="","",IF(Setup!$B$25="","",IF(Fits!$B$10&lt;=0,"",IF(Work!$P45&gt;=Fits!$B$10*Setup!$B$25,"","C peak only "&amp;TEXT(Work!$P45/Fits!$B$10,"0.0")&amp;"x the blank; ")))))&amp;IF(Work!$A45&gt;=Fits!$B$86,"","ran before the background settled; ")&amp;IF(Work!$EN45=1,"possible carryover from an oversized sample; ",""))</f>
        <v>N below linearity range; C below linearity range; N peak only 1.5x the blank; </v>
      </c>
      <c r="L44" s="26" t="n">
        <f aca="false">IF(Work!$CN45="","",Work!$CN45)</f>
        <v>0.0370329944786563</v>
      </c>
      <c r="M44" s="26" t="n">
        <f aca="false">IF(Work!$CO45="","",Work!$CO45)</f>
        <v>0.0740659889573127</v>
      </c>
      <c r="N44" s="26" t="n">
        <f aca="false">IF(Work!$CL45="","",Work!$CL45)</f>
        <v>0.216531868097285</v>
      </c>
      <c r="O44" s="26" t="n">
        <f aca="false">IF(Work!$CM45="","",Work!$CM45)</f>
        <v>0.433063736194571</v>
      </c>
    </row>
    <row r="45" customFormat="false" ht="15" hidden="false" customHeight="false" outlineLevel="0" collapsed="false">
      <c r="A45" s="8" t="n">
        <f aca="false">IF(Work!$B46="","",Work!$A46)</f>
        <v>41</v>
      </c>
      <c r="B45" s="8" t="str">
        <f aca="false">IF(Work!$B46="","",Work!$B46)</f>
        <v>Random</v>
      </c>
      <c r="C45" s="8" t="str">
        <f aca="false">IF(Work!$B46="","",Work!$D46)</f>
        <v>Sample</v>
      </c>
      <c r="D45" s="16" t="str">
        <f aca="false">IF(Work!$G46="","",Work!$G46)</f>
        <v/>
      </c>
      <c r="E45" s="23" t="str">
        <f aca="false">IF(Work!$AJ46="","",Work!$AJ46)</f>
        <v/>
      </c>
      <c r="F45" s="23" t="str">
        <f aca="false">IF(Work!$AI46="","",Work!$AI46)</f>
        <v/>
      </c>
      <c r="G45" s="23" t="n">
        <f aca="false">IF(Work!$AK46="","",Work!$AK46)</f>
        <v>17.2819867986243</v>
      </c>
      <c r="H45" s="23" t="n">
        <f aca="false">IF(Work!$AL46="","",Work!$AL46)</f>
        <v>14.8193005952935</v>
      </c>
      <c r="I45" s="23" t="n">
        <f aca="false">IF(Work!$AF46="","",Work!$AF46)</f>
        <v>-27.8010485866376</v>
      </c>
      <c r="J45" s="23" t="n">
        <f aca="false">IF(Work!$AA46="","",Work!$AA46)</f>
        <v>1.44169152143501</v>
      </c>
      <c r="K45" s="8" t="str">
        <f aca="false">IF(Work!$B46="","",IF(Work!$L46="","no N peak; ","")&amp;IF(Work!$P46="","no C peak; ","")&amp;IF(Work!$L46="","",IF(Fits!$B$81&lt;=0,"",IF(Work!$L46&lt;Fits!$B$81,"N below linearity range; ",IF(Fits!$B$97&lt;=0,"",IF(Work!$L46&gt;Fits!$B$97,"N above linearity range; ","")))))&amp;IF(Work!$P46="","",IF(Fits!$B$82&lt;=0,"",IF(Work!$P46&lt;Fits!$B$82,"C below linearity range; ",IF(Fits!$B$104&lt;=0,"",IF(Work!$P46&gt;Fits!$B$104,"C above linearity range; ","")))))&amp;IF(OR(Work!$D46="Sample",Work!$D46="Check"),IF(Work!$AA46="","",IF(Fits!$B$138="","",IF(AND(Work!$AA46&gt;=Fits!$B$138,Work!$AA46&lt;=Fits!$B$139),"","d15N outside anchor range; "))),"")&amp;IF(OR(Work!$D46="Sample",Work!$D46="Check"),IF(Work!$AF46="","",IF(Fits!$B$158="","",IF(AND(Work!$AF46&gt;=Fits!$B$158,Work!$AF46&lt;=Fits!$B$159),"","d13C outside anchor range; "))),"")&amp;IF(Work!$D46&lt;&gt;"Check","",IF(Work!$AA46="","",IF(Work!$S46="","",IF(ABS(Work!$AA46-Work!$S46)&lt;=Setup!$B$20,"","check d15N off by "&amp;TEXT(Work!$AA46-Work!$S46,"+0.00;-0.00")&amp;"; "))))&amp;IF(Work!$D46&lt;&gt;"Check","",IF(Work!$AF46="","",IF(Work!$T46="","",IF(ABS(Work!$AF46-Work!$T46)&lt;=Setup!$B$20,"","check d13C off by "&amp;TEXT(Work!$AF46-Work!$T46,"+0.00;-0.00")&amp;"; "))))&amp;IF(Work!$D46&lt;&gt;"Drift","",IF(Work!$BX46=1,"excluded from N drift fit; ",IF(Work!$CB46="","",IF(ABS(Work!$CB46)&gt;Setup!$B$27,"N drift monitor outlier; ",""))))&amp;IF(Work!$D46&lt;&gt;"Drift","",IF(Work!$BY46=1,"excluded from C drift fit; ",IF(Work!$CC46="","",IF(ABS(Work!$CC46)&gt;Setup!$B$27,"C drift monitor outlier; ",""))))&amp;IF(Work!$D46="Blank","",IF(Work!$L46="","",IF(Setup!$B$25="","",IF(Fits!$B$6&lt;=0,"",IF(Work!$L46&gt;=Fits!$B$6*Setup!$B$25,"","N peak only "&amp;TEXT(Work!$L46/Fits!$B$6,"0.0")&amp;"x the blank; ")))))&amp;IF(Work!$D46="Blank","",IF(Work!$P46="","",IF(Setup!$B$25="","",IF(Fits!$B$10&lt;=0,"",IF(Work!$P46&gt;=Fits!$B$10*Setup!$B$25,"","C peak only "&amp;TEXT(Work!$P46/Fits!$B$10,"0.0")&amp;"x the blank; ")))))&amp;IF(Work!$A46&gt;=Fits!$B$86,"","ran before the background settled; ")&amp;IF(Work!$EN46=1,"possible carryover from an oversized sample; ",""))</f>
        <v>N below linearity range; C below linearity range; d15N outside anchor range; N peak only 2.3x the blank; </v>
      </c>
      <c r="L45" s="26" t="n">
        <f aca="false">IF(Work!$CN46="","",Work!$CN46)</f>
        <v>0.037003386928779</v>
      </c>
      <c r="M45" s="26" t="n">
        <f aca="false">IF(Work!$CO46="","",Work!$CO46)</f>
        <v>0.0740067738575581</v>
      </c>
      <c r="N45" s="26" t="n">
        <f aca="false">IF(Work!$CL46="","",Work!$CL46)</f>
        <v>0.221140301944125</v>
      </c>
      <c r="O45" s="26" t="n">
        <f aca="false">IF(Work!$CM46="","",Work!$CM46)</f>
        <v>0.442280603888251</v>
      </c>
    </row>
    <row r="46" customFormat="false" ht="15" hidden="false" customHeight="false" outlineLevel="0" collapsed="false">
      <c r="A46" s="8" t="n">
        <f aca="false">IF(Work!$B47="","",Work!$A47)</f>
        <v>42</v>
      </c>
      <c r="B46" s="8" t="str">
        <f aca="false">IF(Work!$B47="","",Work!$B47)</f>
        <v>Ace Drift9</v>
      </c>
      <c r="C46" s="8" t="str">
        <f aca="false">IF(Work!$B47="","",Work!$D47)</f>
        <v>Drift</v>
      </c>
      <c r="D46" s="16" t="n">
        <f aca="false">IF(Work!$G47="","",Work!$G47)</f>
        <v>0.38</v>
      </c>
      <c r="E46" s="23" t="n">
        <f aca="false">IF(Work!$AJ47="","",Work!$AJ47)</f>
        <v>71.679020367724</v>
      </c>
      <c r="F46" s="23" t="n">
        <f aca="false">IF(Work!$AI47="","",Work!$AI47)</f>
        <v>10.4096895192298</v>
      </c>
      <c r="G46" s="23" t="n">
        <f aca="false">IF(Work!$AK47="","",Work!$AK47)</f>
        <v>8.03008692533488</v>
      </c>
      <c r="H46" s="23" t="n">
        <f aca="false">IF(Work!$AL47="","",Work!$AL47)</f>
        <v>6.88579810524718</v>
      </c>
      <c r="I46" s="23" t="n">
        <f aca="false">IF(Work!$AF47="","",Work!$AF47)</f>
        <v>-26.6475529724628</v>
      </c>
      <c r="J46" s="23" t="n">
        <f aca="false">IF(Work!$AA47="","",Work!$AA47)</f>
        <v>-5.25403114244627</v>
      </c>
      <c r="K46" s="8" t="str">
        <f aca="false">IF(Work!$B47="","",IF(Work!$L47="","no N peak; ","")&amp;IF(Work!$P47="","no C peak; ","")&amp;IF(Work!$L47="","",IF(Fits!$B$81&lt;=0,"",IF(Work!$L47&lt;Fits!$B$81,"N below linearity range; ",IF(Fits!$B$97&lt;=0,"",IF(Work!$L47&gt;Fits!$B$97,"N above linearity range; ","")))))&amp;IF(Work!$P47="","",IF(Fits!$B$82&lt;=0,"",IF(Work!$P47&lt;Fits!$B$82,"C below linearity range; ",IF(Fits!$B$104&lt;=0,"",IF(Work!$P47&gt;Fits!$B$104,"C above linearity range; ","")))))&amp;IF(OR(Work!$D47="Sample",Work!$D47="Check"),IF(Work!$AA47="","",IF(Fits!$B$138="","",IF(AND(Work!$AA47&gt;=Fits!$B$138,Work!$AA47&lt;=Fits!$B$139),"","d15N outside anchor range; "))),"")&amp;IF(OR(Work!$D47="Sample",Work!$D47="Check"),IF(Work!$AF47="","",IF(Fits!$B$158="","",IF(AND(Work!$AF47&gt;=Fits!$B$158,Work!$AF47&lt;=Fits!$B$159),"","d13C outside anchor range; "))),"")&amp;IF(Work!$D47&lt;&gt;"Check","",IF(Work!$AA47="","",IF(Work!$S47="","",IF(ABS(Work!$AA47-Work!$S47)&lt;=Setup!$B$20,"","check d15N off by "&amp;TEXT(Work!$AA47-Work!$S47,"+0.00;-0.00")&amp;"; "))))&amp;IF(Work!$D47&lt;&gt;"Check","",IF(Work!$AF47="","",IF(Work!$T47="","",IF(ABS(Work!$AF47-Work!$T47)&lt;=Setup!$B$20,"","check d13C off by "&amp;TEXT(Work!$AF47-Work!$T47,"+0.00;-0.00")&amp;"; "))))&amp;IF(Work!$D47&lt;&gt;"Drift","",IF(Work!$BX47=1,"excluded from N drift fit; ",IF(Work!$CB47="","",IF(ABS(Work!$CB47)&gt;Setup!$B$27,"N drift monitor outlier; ",""))))&amp;IF(Work!$D47&lt;&gt;"Drift","",IF(Work!$BY47=1,"excluded from C drift fit; ",IF(Work!$CC47="","",IF(ABS(Work!$CC47)&gt;Setup!$B$27,"C drift monitor outlier; ",""))))&amp;IF(Work!$D47="Blank","",IF(Work!$L47="","",IF(Setup!$B$25="","",IF(Fits!$B$6&lt;=0,"",IF(Work!$L47&gt;=Fits!$B$6*Setup!$B$25,"","N peak only "&amp;TEXT(Work!$L47/Fits!$B$6,"0.0")&amp;"x the blank; ")))))&amp;IF(Work!$D47="Blank","",IF(Work!$P47="","",IF(Setup!$B$25="","",IF(Fits!$B$10&lt;=0,"",IF(Work!$P47&gt;=Fits!$B$10*Setup!$B$25,"","C peak only "&amp;TEXT(Work!$P47/Fits!$B$10,"0.0")&amp;"x the blank; ")))))&amp;IF(Work!$A47&gt;=Fits!$B$86,"","ran before the background settled; ")&amp;IF(Work!$EN47=1,"possible carryover from an oversized sample; ",""))</f>
        <v/>
      </c>
      <c r="L46" s="26" t="n">
        <f aca="false">IF(Work!$CN47="","",Work!$CN47)</f>
        <v>0.0378525269955036</v>
      </c>
      <c r="M46" s="26" t="n">
        <f aca="false">IF(Work!$CO47="","",Work!$CO47)</f>
        <v>0.0757050539910071</v>
      </c>
      <c r="N46" s="26" t="n">
        <f aca="false">IF(Work!$CL47="","",Work!$CL47)</f>
        <v>0.256023735726242</v>
      </c>
      <c r="O46" s="26" t="n">
        <f aca="false">IF(Work!$CM47="","",Work!$CM47)</f>
        <v>0.512047471452485</v>
      </c>
    </row>
    <row r="47" customFormat="false" ht="15" hidden="false" customHeight="false" outlineLevel="0" collapsed="false">
      <c r="A47" s="8" t="n">
        <f aca="false">IF(Work!$B48="","",Work!$A48)</f>
        <v>43</v>
      </c>
      <c r="B47" s="8" t="str">
        <f aca="false">IF(Work!$B48="","",Work!$B48)</f>
        <v>Random</v>
      </c>
      <c r="C47" s="8" t="str">
        <f aca="false">IF(Work!$B48="","",Work!$D48)</f>
        <v>Sample</v>
      </c>
      <c r="D47" s="16" t="str">
        <f aca="false">IF(Work!$G48="","",Work!$G48)</f>
        <v/>
      </c>
      <c r="E47" s="23" t="str">
        <f aca="false">IF(Work!$AJ48="","",Work!$AJ48)</f>
        <v/>
      </c>
      <c r="F47" s="23" t="str">
        <f aca="false">IF(Work!$AI48="","",Work!$AI48)</f>
        <v/>
      </c>
      <c r="G47" s="23" t="n">
        <f aca="false">IF(Work!$AK48="","",Work!$AK48)</f>
        <v>23.3961714776468</v>
      </c>
      <c r="H47" s="23" t="n">
        <f aca="false">IF(Work!$AL48="","",Work!$AL48)</f>
        <v>20.0622128662822</v>
      </c>
      <c r="I47" s="23" t="n">
        <f aca="false">IF(Work!$AF48="","",Work!$AF48)</f>
        <v>-27.2995838560812</v>
      </c>
      <c r="J47" s="23" t="n">
        <f aca="false">IF(Work!$AA48="","",Work!$AA48)</f>
        <v>-0.474444234569646</v>
      </c>
      <c r="K47" s="8" t="str">
        <f aca="false">IF(Work!$B48="","",IF(Work!$L48="","no N peak; ","")&amp;IF(Work!$P48="","no C peak; ","")&amp;IF(Work!$L48="","",IF(Fits!$B$81&lt;=0,"",IF(Work!$L48&lt;Fits!$B$81,"N below linearity range; ",IF(Fits!$B$97&lt;=0,"",IF(Work!$L48&gt;Fits!$B$97,"N above linearity range; ","")))))&amp;IF(Work!$P48="","",IF(Fits!$B$82&lt;=0,"",IF(Work!$P48&lt;Fits!$B$82,"C below linearity range; ",IF(Fits!$B$104&lt;=0,"",IF(Work!$P48&gt;Fits!$B$104,"C above linearity range; ","")))))&amp;IF(OR(Work!$D48="Sample",Work!$D48="Check"),IF(Work!$AA48="","",IF(Fits!$B$138="","",IF(AND(Work!$AA48&gt;=Fits!$B$138,Work!$AA48&lt;=Fits!$B$139),"","d15N outside anchor range; "))),"")&amp;IF(OR(Work!$D48="Sample",Work!$D48="Check"),IF(Work!$AF48="","",IF(Fits!$B$158="","",IF(AND(Work!$AF48&gt;=Fits!$B$158,Work!$AF48&lt;=Fits!$B$159),"","d13C outside anchor range; "))),"")&amp;IF(Work!$D48&lt;&gt;"Check","",IF(Work!$AA48="","",IF(Work!$S48="","",IF(ABS(Work!$AA48-Work!$S48)&lt;=Setup!$B$20,"","check d15N off by "&amp;TEXT(Work!$AA48-Work!$S48,"+0.00;-0.00")&amp;"; "))))&amp;IF(Work!$D48&lt;&gt;"Check","",IF(Work!$AF48="","",IF(Work!$T48="","",IF(ABS(Work!$AF48-Work!$T48)&lt;=Setup!$B$20,"","check d13C off by "&amp;TEXT(Work!$AF48-Work!$T48,"+0.00;-0.00")&amp;"; "))))&amp;IF(Work!$D48&lt;&gt;"Drift","",IF(Work!$BX48=1,"excluded from N drift fit; ",IF(Work!$CB48="","",IF(ABS(Work!$CB48)&gt;Setup!$B$27,"N drift monitor outlier; ",""))))&amp;IF(Work!$D48&lt;&gt;"Drift","",IF(Work!$BY48=1,"excluded from C drift fit; ",IF(Work!$CC48="","",IF(ABS(Work!$CC48)&gt;Setup!$B$27,"C drift monitor outlier; ",""))))&amp;IF(Work!$D48="Blank","",IF(Work!$L48="","",IF(Setup!$B$25="","",IF(Fits!$B$6&lt;=0,"",IF(Work!$L48&gt;=Fits!$B$6*Setup!$B$25,"","N peak only "&amp;TEXT(Work!$L48/Fits!$B$6,"0.0")&amp;"x the blank; ")))))&amp;IF(Work!$D48="Blank","",IF(Work!$P48="","",IF(Setup!$B$25="","",IF(Fits!$B$10&lt;=0,"",IF(Work!$P48&gt;=Fits!$B$10*Setup!$B$25,"","C peak only "&amp;TEXT(Work!$P48/Fits!$B$10,"0.0")&amp;"x the blank; ")))))&amp;IF(Work!$A48&gt;=Fits!$B$86,"","ran before the background settled; ")&amp;IF(Work!$EN48=1,"possible carryover from an oversized sample; ",""))</f>
        <v>N below linearity range; C below linearity range; d15N outside anchor range; N peak only 1.6x the blank; </v>
      </c>
      <c r="L47" s="26" t="n">
        <f aca="false">IF(Work!$CN48="","",Work!$CN48)</f>
        <v>0.0373386404194756</v>
      </c>
      <c r="M47" s="26" t="n">
        <f aca="false">IF(Work!$CO48="","",Work!$CO48)</f>
        <v>0.0746772808389512</v>
      </c>
      <c r="N47" s="26" t="n">
        <f aca="false">IF(Work!$CL48="","",Work!$CL48)</f>
        <v>0.230152434952884</v>
      </c>
      <c r="O47" s="26" t="n">
        <f aca="false">IF(Work!$CM48="","",Work!$CM48)</f>
        <v>0.460304869905768</v>
      </c>
    </row>
    <row r="48" customFormat="false" ht="15" hidden="false" customHeight="false" outlineLevel="0" collapsed="false">
      <c r="A48" s="8" t="n">
        <f aca="false">IF(Work!$B49="","",Work!$A49)</f>
        <v>44</v>
      </c>
      <c r="B48" s="8" t="str">
        <f aca="false">IF(Work!$B49="","",Work!$B49)</f>
        <v>Random</v>
      </c>
      <c r="C48" s="8" t="str">
        <f aca="false">IF(Work!$B49="","",Work!$D49)</f>
        <v>Sample</v>
      </c>
      <c r="D48" s="16" t="str">
        <f aca="false">IF(Work!$G49="","",Work!$G49)</f>
        <v/>
      </c>
      <c r="E48" s="23" t="str">
        <f aca="false">IF(Work!$AJ49="","",Work!$AJ49)</f>
        <v/>
      </c>
      <c r="F48" s="23" t="str">
        <f aca="false">IF(Work!$AI49="","",Work!$AI49)</f>
        <v/>
      </c>
      <c r="G48" s="23" t="n">
        <f aca="false">IF(Work!$AK49="","",Work!$AK49)</f>
        <v>62.0417970047616</v>
      </c>
      <c r="H48" s="23" t="n">
        <f aca="false">IF(Work!$AL49="","",Work!$AL49)</f>
        <v>53.2008298582274</v>
      </c>
      <c r="I48" s="23" t="n">
        <f aca="false">IF(Work!$AF49="","",Work!$AF49)</f>
        <v>-27.7083704606865</v>
      </c>
      <c r="J48" s="23" t="n">
        <f aca="false">IF(Work!$AA49="","",Work!$AA49)</f>
        <v>3.13584784397863</v>
      </c>
      <c r="K48" s="8" t="str">
        <f aca="false">IF(Work!$B49="","",IF(Work!$L49="","no N peak; ","")&amp;IF(Work!$P49="","no C peak; ","")&amp;IF(Work!$L49="","",IF(Fits!$B$81&lt;=0,"",IF(Work!$L49&lt;Fits!$B$81,"N below linearity range; ",IF(Fits!$B$97&lt;=0,"",IF(Work!$L49&gt;Fits!$B$97,"N above linearity range; ","")))))&amp;IF(Work!$P49="","",IF(Fits!$B$82&lt;=0,"",IF(Work!$P49&lt;Fits!$B$82,"C below linearity range; ",IF(Fits!$B$104&lt;=0,"",IF(Work!$P49&gt;Fits!$B$104,"C above linearity range; ","")))))&amp;IF(OR(Work!$D49="Sample",Work!$D49="Check"),IF(Work!$AA49="","",IF(Fits!$B$138="","",IF(AND(Work!$AA49&gt;=Fits!$B$138,Work!$AA49&lt;=Fits!$B$139),"","d15N outside anchor range; "))),"")&amp;IF(OR(Work!$D49="Sample",Work!$D49="Check"),IF(Work!$AF49="","",IF(Fits!$B$158="","",IF(AND(Work!$AF49&gt;=Fits!$B$158,Work!$AF49&lt;=Fits!$B$159),"","d13C outside anchor range; "))),"")&amp;IF(Work!$D49&lt;&gt;"Check","",IF(Work!$AA49="","",IF(Work!$S49="","",IF(ABS(Work!$AA49-Work!$S49)&lt;=Setup!$B$20,"","check d15N off by "&amp;TEXT(Work!$AA49-Work!$S49,"+0.00;-0.00")&amp;"; "))))&amp;IF(Work!$D49&lt;&gt;"Check","",IF(Work!$AF49="","",IF(Work!$T49="","",IF(ABS(Work!$AF49-Work!$T49)&lt;=Setup!$B$20,"","check d13C off by "&amp;TEXT(Work!$AF49-Work!$T49,"+0.00;-0.00")&amp;"; "))))&amp;IF(Work!$D49&lt;&gt;"Drift","",IF(Work!$BX49=1,"excluded from N drift fit; ",IF(Work!$CB49="","",IF(ABS(Work!$CB49)&gt;Setup!$B$27,"N drift monitor outlier; ",""))))&amp;IF(Work!$D49&lt;&gt;"Drift","",IF(Work!$BY49=1,"excluded from C drift fit; ",IF(Work!$CC49="","",IF(ABS(Work!$CC49)&gt;Setup!$B$27,"C drift monitor outlier; ",""))))&amp;IF(Work!$D49="Blank","",IF(Work!$L49="","",IF(Setup!$B$25="","",IF(Fits!$B$6&lt;=0,"",IF(Work!$L49&gt;=Fits!$B$6*Setup!$B$25,"","N peak only "&amp;TEXT(Work!$L49/Fits!$B$6,"0.0")&amp;"x the blank; ")))))&amp;IF(Work!$D49="Blank","",IF(Work!$P49="","",IF(Setup!$B$25="","",IF(Fits!$B$10&lt;=0,"",IF(Work!$P49&gt;=Fits!$B$10*Setup!$B$25,"","C peak only "&amp;TEXT(Work!$P49/Fits!$B$10,"0.0")&amp;"x the blank; ")))))&amp;IF(Work!$A49&gt;=Fits!$B$86,"","ran before the background settled; ")&amp;IF(Work!$EN49=1,"possible carryover from an oversized sample; ",""))</f>
        <v>N below linearity range; C below linearity range; N peak only 1.3x the blank; </v>
      </c>
      <c r="L48" s="26" t="n">
        <f aca="false">IF(Work!$CN49="","",Work!$CN49)</f>
        <v>0.0370613396248734</v>
      </c>
      <c r="M48" s="26" t="n">
        <f aca="false">IF(Work!$CO49="","",Work!$CO49)</f>
        <v>0.0741226792497468</v>
      </c>
      <c r="N48" s="26" t="n">
        <f aca="false">IF(Work!$CL49="","",Work!$CL49)</f>
        <v>0.213944140377504</v>
      </c>
      <c r="O48" s="26" t="n">
        <f aca="false">IF(Work!$CM49="","",Work!$CM49)</f>
        <v>0.427888280755007</v>
      </c>
    </row>
    <row r="49" customFormat="false" ht="15" hidden="false" customHeight="false" outlineLevel="0" collapsed="false">
      <c r="A49" s="8" t="n">
        <f aca="false">IF(Work!$B50="","",Work!$A50)</f>
        <v>45</v>
      </c>
      <c r="B49" s="8" t="str">
        <f aca="false">IF(Work!$B50="","",Work!$B50)</f>
        <v>Random</v>
      </c>
      <c r="C49" s="8" t="str">
        <f aca="false">IF(Work!$B50="","",Work!$D50)</f>
        <v>Sample</v>
      </c>
      <c r="D49" s="16" t="str">
        <f aca="false">IF(Work!$G50="","",Work!$G50)</f>
        <v/>
      </c>
      <c r="E49" s="23" t="str">
        <f aca="false">IF(Work!$AJ50="","",Work!$AJ50)</f>
        <v/>
      </c>
      <c r="F49" s="23" t="str">
        <f aca="false">IF(Work!$AI50="","",Work!$AI50)</f>
        <v/>
      </c>
      <c r="G49" s="23" t="n">
        <f aca="false">IF(Work!$AK50="","",Work!$AK50)</f>
        <v>61.0198641829321</v>
      </c>
      <c r="H49" s="23" t="n">
        <f aca="false">IF(Work!$AL50="","",Work!$AL50)</f>
        <v>52.3245226459055</v>
      </c>
      <c r="I49" s="23" t="n">
        <f aca="false">IF(Work!$AF50="","",Work!$AF50)</f>
        <v>-27.8969900359127</v>
      </c>
      <c r="J49" s="23" t="n">
        <f aca="false">IF(Work!$AA50="","",Work!$AA50)</f>
        <v>3.22490966388229</v>
      </c>
      <c r="K49" s="8" t="str">
        <f aca="false">IF(Work!$B50="","",IF(Work!$L50="","no N peak; ","")&amp;IF(Work!$P50="","no C peak; ","")&amp;IF(Work!$L50="","",IF(Fits!$B$81&lt;=0,"",IF(Work!$L50&lt;Fits!$B$81,"N below linearity range; ",IF(Fits!$B$97&lt;=0,"",IF(Work!$L50&gt;Fits!$B$97,"N above linearity range; ","")))))&amp;IF(Work!$P50="","",IF(Fits!$B$82&lt;=0,"",IF(Work!$P50&lt;Fits!$B$82,"C below linearity range; ",IF(Fits!$B$104&lt;=0,"",IF(Work!$P50&gt;Fits!$B$104,"C above linearity range; ","")))))&amp;IF(OR(Work!$D50="Sample",Work!$D50="Check"),IF(Work!$AA50="","",IF(Fits!$B$138="","",IF(AND(Work!$AA50&gt;=Fits!$B$138,Work!$AA50&lt;=Fits!$B$139),"","d15N outside anchor range; "))),"")&amp;IF(OR(Work!$D50="Sample",Work!$D50="Check"),IF(Work!$AF50="","",IF(Fits!$B$158="","",IF(AND(Work!$AF50&gt;=Fits!$B$158,Work!$AF50&lt;=Fits!$B$159),"","d13C outside anchor range; "))),"")&amp;IF(Work!$D50&lt;&gt;"Check","",IF(Work!$AA50="","",IF(Work!$S50="","",IF(ABS(Work!$AA50-Work!$S50)&lt;=Setup!$B$20,"","check d15N off by "&amp;TEXT(Work!$AA50-Work!$S50,"+0.00;-0.00")&amp;"; "))))&amp;IF(Work!$D50&lt;&gt;"Check","",IF(Work!$AF50="","",IF(Work!$T50="","",IF(ABS(Work!$AF50-Work!$T50)&lt;=Setup!$B$20,"","check d13C off by "&amp;TEXT(Work!$AF50-Work!$T50,"+0.00;-0.00")&amp;"; "))))&amp;IF(Work!$D50&lt;&gt;"Drift","",IF(Work!$BX50=1,"excluded from N drift fit; ",IF(Work!$CB50="","",IF(ABS(Work!$CB50)&gt;Setup!$B$27,"N drift monitor outlier; ",""))))&amp;IF(Work!$D50&lt;&gt;"Drift","",IF(Work!$BY50=1,"excluded from C drift fit; ",IF(Work!$CC50="","",IF(ABS(Work!$CC50)&gt;Setup!$B$27,"C drift monitor outlier; ",""))))&amp;IF(Work!$D50="Blank","",IF(Work!$L50="","",IF(Setup!$B$25="","",IF(Fits!$B$6&lt;=0,"",IF(Work!$L50&gt;=Fits!$B$6*Setup!$B$25,"","N peak only "&amp;TEXT(Work!$L50/Fits!$B$6,"0.0")&amp;"x the blank; ")))))&amp;IF(Work!$D50="Blank","",IF(Work!$P50="","",IF(Setup!$B$25="","",IF(Fits!$B$10&lt;=0,"",IF(Work!$P50&gt;=Fits!$B$10*Setup!$B$25,"","C peak only "&amp;TEXT(Work!$P50/Fits!$B$10,"0.0")&amp;"x the blank; ")))))&amp;IF(Work!$A50&gt;=Fits!$B$86,"","ran before the background settled; ")&amp;IF(Work!$EN50=1,"possible carryover from an oversized sample; ",""))</f>
        <v>N below linearity range; C below linearity range; N peak only 1.3x the blank; </v>
      </c>
      <c r="L49" s="26" t="n">
        <f aca="false">IF(Work!$CN50="","",Work!$CN50)</f>
        <v>0.0369453275493973</v>
      </c>
      <c r="M49" s="26" t="n">
        <f aca="false">IF(Work!$CO50="","",Work!$CO50)</f>
        <v>0.0738906550987946</v>
      </c>
      <c r="N49" s="26" t="n">
        <f aca="false">IF(Work!$CL50="","",Work!$CL50)</f>
        <v>0.21358739666561</v>
      </c>
      <c r="O49" s="26" t="n">
        <f aca="false">IF(Work!$CM50="","",Work!$CM50)</f>
        <v>0.427174793331219</v>
      </c>
    </row>
    <row r="50" customFormat="false" ht="15" hidden="false" customHeight="false" outlineLevel="0" collapsed="false">
      <c r="A50" s="8" t="n">
        <f aca="false">IF(Work!$B51="","",Work!$A51)</f>
        <v>46</v>
      </c>
      <c r="B50" s="8" t="str">
        <f aca="false">IF(Work!$B51="","",Work!$B51)</f>
        <v>Ace Drift10</v>
      </c>
      <c r="C50" s="8" t="str">
        <f aca="false">IF(Work!$B51="","",Work!$D51)</f>
        <v>Drift</v>
      </c>
      <c r="D50" s="16" t="n">
        <f aca="false">IF(Work!$G51="","",Work!$G51)</f>
        <v>0.419</v>
      </c>
      <c r="E50" s="23" t="n">
        <f aca="false">IF(Work!$AJ51="","",Work!$AJ51)</f>
        <v>72.7664694031152</v>
      </c>
      <c r="F50" s="23" t="n">
        <f aca="false">IF(Work!$AI51="","",Work!$AI51)</f>
        <v>10.6692521912218</v>
      </c>
      <c r="G50" s="23" t="n">
        <f aca="false">IF(Work!$AK51="","",Work!$AK51)</f>
        <v>7.95359155343031</v>
      </c>
      <c r="H50" s="23" t="n">
        <f aca="false">IF(Work!$AL51="","",Work!$AL51)</f>
        <v>6.82020333749207</v>
      </c>
      <c r="I50" s="23" t="n">
        <f aca="false">IF(Work!$AF51="","",Work!$AF51)</f>
        <v>-26.578716441515</v>
      </c>
      <c r="J50" s="23" t="n">
        <f aca="false">IF(Work!$AA51="","",Work!$AA51)</f>
        <v>-5.18420463314124</v>
      </c>
      <c r="K50" s="8" t="str">
        <f aca="false">IF(Work!$B51="","",IF(Work!$L51="","no N peak; ","")&amp;IF(Work!$P51="","no C peak; ","")&amp;IF(Work!$L51="","",IF(Fits!$B$81&lt;=0,"",IF(Work!$L51&lt;Fits!$B$81,"N below linearity range; ",IF(Fits!$B$97&lt;=0,"",IF(Work!$L51&gt;Fits!$B$97,"N above linearity range; ","")))))&amp;IF(Work!$P51="","",IF(Fits!$B$82&lt;=0,"",IF(Work!$P51&lt;Fits!$B$82,"C below linearity range; ",IF(Fits!$B$104&lt;=0,"",IF(Work!$P51&gt;Fits!$B$104,"C above linearity range; ","")))))&amp;IF(OR(Work!$D51="Sample",Work!$D51="Check"),IF(Work!$AA51="","",IF(Fits!$B$138="","",IF(AND(Work!$AA51&gt;=Fits!$B$138,Work!$AA51&lt;=Fits!$B$139),"","d15N outside anchor range; "))),"")&amp;IF(OR(Work!$D51="Sample",Work!$D51="Check"),IF(Work!$AF51="","",IF(Fits!$B$158="","",IF(AND(Work!$AF51&gt;=Fits!$B$158,Work!$AF51&lt;=Fits!$B$159),"","d13C outside anchor range; "))),"")&amp;IF(Work!$D51&lt;&gt;"Check","",IF(Work!$AA51="","",IF(Work!$S51="","",IF(ABS(Work!$AA51-Work!$S51)&lt;=Setup!$B$20,"","check d15N off by "&amp;TEXT(Work!$AA51-Work!$S51,"+0.00;-0.00")&amp;"; "))))&amp;IF(Work!$D51&lt;&gt;"Check","",IF(Work!$AF51="","",IF(Work!$T51="","",IF(ABS(Work!$AF51-Work!$T51)&lt;=Setup!$B$20,"","check d13C off by "&amp;TEXT(Work!$AF51-Work!$T51,"+0.00;-0.00")&amp;"; "))))&amp;IF(Work!$D51&lt;&gt;"Drift","",IF(Work!$BX51=1,"excluded from N drift fit; ",IF(Work!$CB51="","",IF(ABS(Work!$CB51)&gt;Setup!$B$27,"N drift monitor outlier; ",""))))&amp;IF(Work!$D51&lt;&gt;"Drift","",IF(Work!$BY51=1,"excluded from C drift fit; ",IF(Work!$CC51="","",IF(ABS(Work!$CC51)&gt;Setup!$B$27,"C drift monitor outlier; ",""))))&amp;IF(Work!$D51="Blank","",IF(Work!$L51="","",IF(Setup!$B$25="","",IF(Fits!$B$6&lt;=0,"",IF(Work!$L51&gt;=Fits!$B$6*Setup!$B$25,"","N peak only "&amp;TEXT(Work!$L51/Fits!$B$6,"0.0")&amp;"x the blank; ")))))&amp;IF(Work!$D51="Blank","",IF(Work!$P51="","",IF(Setup!$B$25="","",IF(Fits!$B$10&lt;=0,"",IF(Work!$P51&gt;=Fits!$B$10*Setup!$B$25,"","C peak only "&amp;TEXT(Work!$P51/Fits!$B$10,"0.0")&amp;"x the blank; ")))))&amp;IF(Work!$A51&gt;=Fits!$B$86,"","ran before the background settled; ")&amp;IF(Work!$EN51=1,"possible carryover from an oversized sample; ",""))</f>
        <v/>
      </c>
      <c r="L50" s="26" t="n">
        <f aca="false">IF(Work!$CN51="","",Work!$CN51)</f>
        <v>0.0379117966371653</v>
      </c>
      <c r="M50" s="26" t="n">
        <f aca="false">IF(Work!$CO51="","",Work!$CO51)</f>
        <v>0.0758235932743305</v>
      </c>
      <c r="N50" s="26" t="n">
        <f aca="false">IF(Work!$CL51="","",Work!$CL51)</f>
        <v>0.255615716621816</v>
      </c>
      <c r="O50" s="26" t="n">
        <f aca="false">IF(Work!$CM51="","",Work!$CM51)</f>
        <v>0.511231433243631</v>
      </c>
    </row>
    <row r="51" customFormat="false" ht="15" hidden="false" customHeight="false" outlineLevel="0" collapsed="false">
      <c r="A51" s="8" t="n">
        <f aca="false">IF(Work!$B52="","",Work!$A52)</f>
        <v>47</v>
      </c>
      <c r="B51" s="8" t="str">
        <f aca="false">IF(Work!$B52="","",Work!$B52)</f>
        <v>Random</v>
      </c>
      <c r="C51" s="8" t="str">
        <f aca="false">IF(Work!$B52="","",Work!$D52)</f>
        <v>Sample</v>
      </c>
      <c r="D51" s="16" t="str">
        <f aca="false">IF(Work!$G52="","",Work!$G52)</f>
        <v/>
      </c>
      <c r="E51" s="23" t="str">
        <f aca="false">IF(Work!$AJ52="","",Work!$AJ52)</f>
        <v/>
      </c>
      <c r="F51" s="23" t="str">
        <f aca="false">IF(Work!$AI52="","",Work!$AI52)</f>
        <v/>
      </c>
      <c r="G51" s="23" t="n">
        <f aca="false">IF(Work!$AK52="","",Work!$AK52)</f>
        <v>61.957135940593</v>
      </c>
      <c r="H51" s="23" t="n">
        <f aca="false">IF(Work!$AL52="","",Work!$AL52)</f>
        <v>53.1282330108133</v>
      </c>
      <c r="I51" s="23" t="n">
        <f aca="false">IF(Work!$AF52="","",Work!$AF52)</f>
        <v>-27.6756604734608</v>
      </c>
      <c r="J51" s="23" t="n">
        <f aca="false">IF(Work!$AA52="","",Work!$AA52)</f>
        <v>2.88768123668097</v>
      </c>
      <c r="K51" s="8" t="str">
        <f aca="false">IF(Work!$B52="","",IF(Work!$L52="","no N peak; ","")&amp;IF(Work!$P52="","no C peak; ","")&amp;IF(Work!$L52="","",IF(Fits!$B$81&lt;=0,"",IF(Work!$L52&lt;Fits!$B$81,"N below linearity range; ",IF(Fits!$B$97&lt;=0,"",IF(Work!$L52&gt;Fits!$B$97,"N above linearity range; ","")))))&amp;IF(Work!$P52="","",IF(Fits!$B$82&lt;=0,"",IF(Work!$P52&lt;Fits!$B$82,"C below linearity range; ",IF(Fits!$B$104&lt;=0,"",IF(Work!$P52&gt;Fits!$B$104,"C above linearity range; ","")))))&amp;IF(OR(Work!$D52="Sample",Work!$D52="Check"),IF(Work!$AA52="","",IF(Fits!$B$138="","",IF(AND(Work!$AA52&gt;=Fits!$B$138,Work!$AA52&lt;=Fits!$B$139),"","d15N outside anchor range; "))),"")&amp;IF(OR(Work!$D52="Sample",Work!$D52="Check"),IF(Work!$AF52="","",IF(Fits!$B$158="","",IF(AND(Work!$AF52&gt;=Fits!$B$158,Work!$AF52&lt;=Fits!$B$159),"","d13C outside anchor range; "))),"")&amp;IF(Work!$D52&lt;&gt;"Check","",IF(Work!$AA52="","",IF(Work!$S52="","",IF(ABS(Work!$AA52-Work!$S52)&lt;=Setup!$B$20,"","check d15N off by "&amp;TEXT(Work!$AA52-Work!$S52,"+0.00;-0.00")&amp;"; "))))&amp;IF(Work!$D52&lt;&gt;"Check","",IF(Work!$AF52="","",IF(Work!$T52="","",IF(ABS(Work!$AF52-Work!$T52)&lt;=Setup!$B$20,"","check d13C off by "&amp;TEXT(Work!$AF52-Work!$T52,"+0.00;-0.00")&amp;"; "))))&amp;IF(Work!$D52&lt;&gt;"Drift","",IF(Work!$BX52=1,"excluded from N drift fit; ",IF(Work!$CB52="","",IF(ABS(Work!$CB52)&gt;Setup!$B$27,"N drift monitor outlier; ",""))))&amp;IF(Work!$D52&lt;&gt;"Drift","",IF(Work!$BY52=1,"excluded from C drift fit; ",IF(Work!$CC52="","",IF(ABS(Work!$CC52)&gt;Setup!$B$27,"C drift monitor outlier; ",""))))&amp;IF(Work!$D52="Blank","",IF(Work!$L52="","",IF(Setup!$B$25="","",IF(Fits!$B$6&lt;=0,"",IF(Work!$L52&gt;=Fits!$B$6*Setup!$B$25,"","N peak only "&amp;TEXT(Work!$L52/Fits!$B$6,"0.0")&amp;"x the blank; ")))))&amp;IF(Work!$D52="Blank","",IF(Work!$P52="","",IF(Setup!$B$25="","",IF(Fits!$B$10&lt;=0,"",IF(Work!$P52&gt;=Fits!$B$10*Setup!$B$25,"","C peak only "&amp;TEXT(Work!$P52/Fits!$B$10,"0.0")&amp;"x the blank; ")))))&amp;IF(Work!$A52&gt;=Fits!$B$86,"","ran before the background settled; ")&amp;IF(Work!$EN52=1,"possible carryover from an oversized sample; ",""))</f>
        <v>N below linearity range; C below linearity range; N peak only 1.3x the blank; </v>
      </c>
      <c r="L51" s="26" t="n">
        <f aca="false">IF(Work!$CN52="","",Work!$CN52)</f>
        <v>0.0370822302369861</v>
      </c>
      <c r="M51" s="26" t="n">
        <f aca="false">IF(Work!$CO52="","",Work!$CO52)</f>
        <v>0.0741644604739722</v>
      </c>
      <c r="N51" s="26" t="n">
        <f aca="false">IF(Work!$CL52="","",Work!$CL52)</f>
        <v>0.214949867100112</v>
      </c>
      <c r="O51" s="26" t="n">
        <f aca="false">IF(Work!$CM52="","",Work!$CM52)</f>
        <v>0.429899734200223</v>
      </c>
    </row>
    <row r="52" customFormat="false" ht="15" hidden="false" customHeight="false" outlineLevel="0" collapsed="false">
      <c r="A52" s="8" t="n">
        <f aca="false">IF(Work!$B53="","",Work!$A53)</f>
        <v>48</v>
      </c>
      <c r="B52" s="8" t="str">
        <f aca="false">IF(Work!$B53="","",Work!$B53)</f>
        <v>Random</v>
      </c>
      <c r="C52" s="8" t="str">
        <f aca="false">IF(Work!$B53="","",Work!$D53)</f>
        <v>Sample</v>
      </c>
      <c r="D52" s="16" t="str">
        <f aca="false">IF(Work!$G53="","",Work!$G53)</f>
        <v/>
      </c>
      <c r="E52" s="23" t="str">
        <f aca="false">IF(Work!$AJ53="","",Work!$AJ53)</f>
        <v/>
      </c>
      <c r="F52" s="23" t="str">
        <f aca="false">IF(Work!$AI53="","",Work!$AI53)</f>
        <v/>
      </c>
      <c r="G52" s="23" t="n">
        <f aca="false">IF(Work!$AK53="","",Work!$AK53)</f>
        <v>7.99873478332061</v>
      </c>
      <c r="H52" s="23" t="n">
        <f aca="false">IF(Work!$AL53="","",Work!$AL53)</f>
        <v>6.85891364906574</v>
      </c>
      <c r="I52" s="23" t="n">
        <f aca="false">IF(Work!$AF53="","",Work!$AF53)</f>
        <v>-26.7519927443081</v>
      </c>
      <c r="J52" s="23" t="n">
        <f aca="false">IF(Work!$AA53="","",Work!$AA53)</f>
        <v>-5.17341642545028</v>
      </c>
      <c r="K52" s="8" t="str">
        <f aca="false">IF(Work!$B53="","",IF(Work!$L53="","no N peak; ","")&amp;IF(Work!$P53="","no C peak; ","")&amp;IF(Work!$L53="","",IF(Fits!$B$81&lt;=0,"",IF(Work!$L53&lt;Fits!$B$81,"N below linearity range; ",IF(Fits!$B$97&lt;=0,"",IF(Work!$L53&gt;Fits!$B$97,"N above linearity range; ","")))))&amp;IF(Work!$P53="","",IF(Fits!$B$82&lt;=0,"",IF(Work!$P53&lt;Fits!$B$82,"C below linearity range; ",IF(Fits!$B$104&lt;=0,"",IF(Work!$P53&gt;Fits!$B$104,"C above linearity range; ","")))))&amp;IF(OR(Work!$D53="Sample",Work!$D53="Check"),IF(Work!$AA53="","",IF(Fits!$B$138="","",IF(AND(Work!$AA53&gt;=Fits!$B$138,Work!$AA53&lt;=Fits!$B$139),"","d15N outside anchor range; "))),"")&amp;IF(OR(Work!$D53="Sample",Work!$D53="Check"),IF(Work!$AF53="","",IF(Fits!$B$158="","",IF(AND(Work!$AF53&gt;=Fits!$B$158,Work!$AF53&lt;=Fits!$B$159),"","d13C outside anchor range; "))),"")&amp;IF(Work!$D53&lt;&gt;"Check","",IF(Work!$AA53="","",IF(Work!$S53="","",IF(ABS(Work!$AA53-Work!$S53)&lt;=Setup!$B$20,"","check d15N off by "&amp;TEXT(Work!$AA53-Work!$S53,"+0.00;-0.00")&amp;"; "))))&amp;IF(Work!$D53&lt;&gt;"Check","",IF(Work!$AF53="","",IF(Work!$T53="","",IF(ABS(Work!$AF53-Work!$T53)&lt;=Setup!$B$20,"","check d13C off by "&amp;TEXT(Work!$AF53-Work!$T53,"+0.00;-0.00")&amp;"; "))))&amp;IF(Work!$D53&lt;&gt;"Drift","",IF(Work!$BX53=1,"excluded from N drift fit; ",IF(Work!$CB53="","",IF(ABS(Work!$CB53)&gt;Setup!$B$27,"N drift monitor outlier; ",""))))&amp;IF(Work!$D53&lt;&gt;"Drift","",IF(Work!$BY53=1,"excluded from C drift fit; ",IF(Work!$CC53="","",IF(ABS(Work!$CC53)&gt;Setup!$B$27,"C drift monitor outlier; ",""))))&amp;IF(Work!$D53="Blank","",IF(Work!$L53="","",IF(Setup!$B$25="","",IF(Fits!$B$6&lt;=0,"",IF(Work!$L53&gt;=Fits!$B$6*Setup!$B$25,"","N peak only "&amp;TEXT(Work!$L53/Fits!$B$6,"0.0")&amp;"x the blank; ")))))&amp;IF(Work!$D53="Blank","",IF(Work!$P53="","",IF(Setup!$B$25="","",IF(Fits!$B$10&lt;=0,"",IF(Work!$P53&gt;=Fits!$B$10*Setup!$B$25,"","C peak only "&amp;TEXT(Work!$P53/Fits!$B$10,"0.0")&amp;"x the blank; ")))))&amp;IF(Work!$A53&gt;=Fits!$B$86,"","ran before the background settled; ")&amp;IF(Work!$EN53=1,"possible carryover from an oversized sample; ",""))</f>
        <v>d15N outside anchor range; </v>
      </c>
      <c r="L52" s="26" t="n">
        <f aca="false">IF(Work!$CN53="","",Work!$CN53)</f>
        <v>0.0377644103138141</v>
      </c>
      <c r="M52" s="26" t="n">
        <f aca="false">IF(Work!$CO53="","",Work!$CO53)</f>
        <v>0.0755288206276282</v>
      </c>
      <c r="N52" s="26" t="n">
        <f aca="false">IF(Work!$CL53="","",Work!$CL53)</f>
        <v>0.255552748865655</v>
      </c>
      <c r="O52" s="26" t="n">
        <f aca="false">IF(Work!$CM53="","",Work!$CM53)</f>
        <v>0.51110549773131</v>
      </c>
    </row>
    <row r="53" customFormat="false" ht="15" hidden="false" customHeight="false" outlineLevel="0" collapsed="false">
      <c r="A53" s="8" t="n">
        <f aca="false">IF(Work!$B54="","",Work!$A54)</f>
        <v>49</v>
      </c>
      <c r="B53" s="8" t="str">
        <f aca="false">IF(Work!$B54="","",Work!$B54)</f>
        <v>Random</v>
      </c>
      <c r="C53" s="8" t="str">
        <f aca="false">IF(Work!$B54="","",Work!$D54)</f>
        <v>Sample</v>
      </c>
      <c r="D53" s="16" t="str">
        <f aca="false">IF(Work!$G54="","",Work!$G54)</f>
        <v/>
      </c>
      <c r="E53" s="23" t="str">
        <f aca="false">IF(Work!$AJ54="","",Work!$AJ54)</f>
        <v/>
      </c>
      <c r="F53" s="23" t="str">
        <f aca="false">IF(Work!$AI54="","",Work!$AI54)</f>
        <v/>
      </c>
      <c r="G53" s="23" t="n">
        <f aca="false">IF(Work!$AK54="","",Work!$AK54)</f>
        <v>7.84289798451963</v>
      </c>
      <c r="H53" s="23" t="n">
        <f aca="false">IF(Work!$AL54="","",Work!$AL54)</f>
        <v>6.725283621908</v>
      </c>
      <c r="I53" s="23" t="n">
        <f aca="false">IF(Work!$AF54="","",Work!$AF54)</f>
        <v>-26.7562586697408</v>
      </c>
      <c r="J53" s="23" t="n">
        <f aca="false">IF(Work!$AA54="","",Work!$AA54)</f>
        <v>-4.87184887273629</v>
      </c>
      <c r="K53" s="8" t="str">
        <f aca="false">IF(Work!$B54="","",IF(Work!$L54="","no N peak; ","")&amp;IF(Work!$P54="","no C peak; ","")&amp;IF(Work!$L54="","",IF(Fits!$B$81&lt;=0,"",IF(Work!$L54&lt;Fits!$B$81,"N below linearity range; ",IF(Fits!$B$97&lt;=0,"",IF(Work!$L54&gt;Fits!$B$97,"N above linearity range; ","")))))&amp;IF(Work!$P54="","",IF(Fits!$B$82&lt;=0,"",IF(Work!$P54&lt;Fits!$B$82,"C below linearity range; ",IF(Fits!$B$104&lt;=0,"",IF(Work!$P54&gt;Fits!$B$104,"C above linearity range; ","")))))&amp;IF(OR(Work!$D54="Sample",Work!$D54="Check"),IF(Work!$AA54="","",IF(Fits!$B$138="","",IF(AND(Work!$AA54&gt;=Fits!$B$138,Work!$AA54&lt;=Fits!$B$139),"","d15N outside anchor range; "))),"")&amp;IF(OR(Work!$D54="Sample",Work!$D54="Check"),IF(Work!$AF54="","",IF(Fits!$B$158="","",IF(AND(Work!$AF54&gt;=Fits!$B$158,Work!$AF54&lt;=Fits!$B$159),"","d13C outside anchor range; "))),"")&amp;IF(Work!$D54&lt;&gt;"Check","",IF(Work!$AA54="","",IF(Work!$S54="","",IF(ABS(Work!$AA54-Work!$S54)&lt;=Setup!$B$20,"","check d15N off by "&amp;TEXT(Work!$AA54-Work!$S54,"+0.00;-0.00")&amp;"; "))))&amp;IF(Work!$D54&lt;&gt;"Check","",IF(Work!$AF54="","",IF(Work!$T54="","",IF(ABS(Work!$AF54-Work!$T54)&lt;=Setup!$B$20,"","check d13C off by "&amp;TEXT(Work!$AF54-Work!$T54,"+0.00;-0.00")&amp;"; "))))&amp;IF(Work!$D54&lt;&gt;"Drift","",IF(Work!$BX54=1,"excluded from N drift fit; ",IF(Work!$CB54="","",IF(ABS(Work!$CB54)&gt;Setup!$B$27,"N drift monitor outlier; ",""))))&amp;IF(Work!$D54&lt;&gt;"Drift","",IF(Work!$BY54=1,"excluded from C drift fit; ",IF(Work!$CC54="","",IF(ABS(Work!$CC54)&gt;Setup!$B$27,"C drift monitor outlier; ",""))))&amp;IF(Work!$D54="Blank","",IF(Work!$L54="","",IF(Setup!$B$25="","",IF(Fits!$B$6&lt;=0,"",IF(Work!$L54&gt;=Fits!$B$6*Setup!$B$25,"","N peak only "&amp;TEXT(Work!$L54/Fits!$B$6,"0.0")&amp;"x the blank; ")))))&amp;IF(Work!$D54="Blank","",IF(Work!$P54="","",IF(Setup!$B$25="","",IF(Fits!$B$10&lt;=0,"",IF(Work!$P54&gt;=Fits!$B$10*Setup!$B$25,"","C peak only "&amp;TEXT(Work!$P54/Fits!$B$10,"0.0")&amp;"x the blank; ")))))&amp;IF(Work!$A54&gt;=Fits!$B$86,"","ran before the background settled; ")&amp;IF(Work!$EN54=1,"possible carryover from an oversized sample; ",""))</f>
        <v>d15N outside anchor range; </v>
      </c>
      <c r="L53" s="26" t="n">
        <f aca="false">IF(Work!$CN54="","",Work!$CN54)</f>
        <v>0.0377608576338528</v>
      </c>
      <c r="M53" s="26" t="n">
        <f aca="false">IF(Work!$CO54="","",Work!$CO54)</f>
        <v>0.0755217152677055</v>
      </c>
      <c r="N53" s="26" t="n">
        <f aca="false">IF(Work!$CL54="","",Work!$CL54)</f>
        <v>0.253800369804437</v>
      </c>
      <c r="O53" s="26" t="n">
        <f aca="false">IF(Work!$CM54="","",Work!$CM54)</f>
        <v>0.507600739608873</v>
      </c>
    </row>
    <row r="54" customFormat="false" ht="15" hidden="false" customHeight="false" outlineLevel="0" collapsed="false">
      <c r="A54" s="8" t="n">
        <f aca="false">IF(Work!$B55="","",Work!$A55)</f>
        <v>50</v>
      </c>
      <c r="B54" s="8" t="str">
        <f aca="false">IF(Work!$B55="","",Work!$B55)</f>
        <v>Ace Drift11</v>
      </c>
      <c r="C54" s="8" t="str">
        <f aca="false">IF(Work!$B55="","",Work!$D55)</f>
        <v>Drift</v>
      </c>
      <c r="D54" s="16" t="n">
        <f aca="false">IF(Work!$G55="","",Work!$G55)</f>
        <v>0.424</v>
      </c>
      <c r="E54" s="23" t="n">
        <f aca="false">IF(Work!$AJ55="","",Work!$AJ55)</f>
        <v>70.6621108810737</v>
      </c>
      <c r="F54" s="23" t="n">
        <f aca="false">IF(Work!$AI55="","",Work!$AI55)</f>
        <v>10.4051271714074</v>
      </c>
      <c r="G54" s="23" t="n">
        <f aca="false">IF(Work!$AK55="","",Work!$AK55)</f>
        <v>7.91963517839479</v>
      </c>
      <c r="H54" s="23" t="n">
        <f aca="false">IF(Work!$AL55="","",Work!$AL55)</f>
        <v>6.79108575195972</v>
      </c>
      <c r="I54" s="23" t="n">
        <f aca="false">IF(Work!$AF55="","",Work!$AF55)</f>
        <v>-26.6673234749427</v>
      </c>
      <c r="J54" s="23" t="n">
        <f aca="false">IF(Work!$AA55="","",Work!$AA55)</f>
        <v>-5.05175566151045</v>
      </c>
      <c r="K54" s="8" t="str">
        <f aca="false">IF(Work!$B55="","",IF(Work!$L55="","no N peak; ","")&amp;IF(Work!$P55="","no C peak; ","")&amp;IF(Work!$L55="","",IF(Fits!$B$81&lt;=0,"",IF(Work!$L55&lt;Fits!$B$81,"N below linearity range; ",IF(Fits!$B$97&lt;=0,"",IF(Work!$L55&gt;Fits!$B$97,"N above linearity range; ","")))))&amp;IF(Work!$P55="","",IF(Fits!$B$82&lt;=0,"",IF(Work!$P55&lt;Fits!$B$82,"C below linearity range; ",IF(Fits!$B$104&lt;=0,"",IF(Work!$P55&gt;Fits!$B$104,"C above linearity range; ","")))))&amp;IF(OR(Work!$D55="Sample",Work!$D55="Check"),IF(Work!$AA55="","",IF(Fits!$B$138="","",IF(AND(Work!$AA55&gt;=Fits!$B$138,Work!$AA55&lt;=Fits!$B$139),"","d15N outside anchor range; "))),"")&amp;IF(OR(Work!$D55="Sample",Work!$D55="Check"),IF(Work!$AF55="","",IF(Fits!$B$158="","",IF(AND(Work!$AF55&gt;=Fits!$B$158,Work!$AF55&lt;=Fits!$B$159),"","d13C outside anchor range; "))),"")&amp;IF(Work!$D55&lt;&gt;"Check","",IF(Work!$AA55="","",IF(Work!$S55="","",IF(ABS(Work!$AA55-Work!$S55)&lt;=Setup!$B$20,"","check d15N off by "&amp;TEXT(Work!$AA55-Work!$S55,"+0.00;-0.00")&amp;"; "))))&amp;IF(Work!$D55&lt;&gt;"Check","",IF(Work!$AF55="","",IF(Work!$T55="","",IF(ABS(Work!$AF55-Work!$T55)&lt;=Setup!$B$20,"","check d13C off by "&amp;TEXT(Work!$AF55-Work!$T55,"+0.00;-0.00")&amp;"; "))))&amp;IF(Work!$D55&lt;&gt;"Drift","",IF(Work!$BX55=1,"excluded from N drift fit; ",IF(Work!$CB55="","",IF(ABS(Work!$CB55)&gt;Setup!$B$27,"N drift monitor outlier; ",""))))&amp;IF(Work!$D55&lt;&gt;"Drift","",IF(Work!$BY55=1,"excluded from C drift fit; ",IF(Work!$CC55="","",IF(ABS(Work!$CC55)&gt;Setup!$B$27,"C drift monitor outlier; ",""))))&amp;IF(Work!$D55="Blank","",IF(Work!$L55="","",IF(Setup!$B$25="","",IF(Fits!$B$6&lt;=0,"",IF(Work!$L55&gt;=Fits!$B$6*Setup!$B$25,"","N peak only "&amp;TEXT(Work!$L55/Fits!$B$6,"0.0")&amp;"x the blank; ")))))&amp;IF(Work!$D55="Blank","",IF(Work!$P55="","",IF(Setup!$B$25="","",IF(Fits!$B$10&lt;=0,"",IF(Work!$P55&gt;=Fits!$B$10*Setup!$B$25,"","C peak only "&amp;TEXT(Work!$P55/Fits!$B$10,"0.0")&amp;"x the blank; ")))))&amp;IF(Work!$A55&gt;=Fits!$B$86,"","ran before the background settled; ")&amp;IF(Work!$EN55=1,"possible carryover from an oversized sample; ",""))</f>
        <v/>
      </c>
      <c r="L54" s="26" t="n">
        <f aca="false">IF(Work!$CN55="","",Work!$CN55)</f>
        <v>0.0378356788838505</v>
      </c>
      <c r="M54" s="26" t="n">
        <f aca="false">IF(Work!$CO55="","",Work!$CO55)</f>
        <v>0.0756713577677009</v>
      </c>
      <c r="N54" s="26" t="n">
        <f aca="false">IF(Work!$CL55="","",Work!$CL55)</f>
        <v>0.254843975500342</v>
      </c>
      <c r="O54" s="26" t="n">
        <f aca="false">IF(Work!$CM55="","",Work!$CM55)</f>
        <v>0.509687951000684</v>
      </c>
    </row>
    <row r="55" customFormat="false" ht="15" hidden="false" customHeight="false" outlineLevel="0" collapsed="false">
      <c r="A55" s="8" t="n">
        <f aca="false">IF(Work!$B56="","",Work!$A56)</f>
        <v>51</v>
      </c>
      <c r="B55" s="8" t="str">
        <f aca="false">IF(Work!$B56="","",Work!$B56)</f>
        <v>Random</v>
      </c>
      <c r="C55" s="8" t="str">
        <f aca="false">IF(Work!$B56="","",Work!$D56)</f>
        <v>Sample</v>
      </c>
      <c r="D55" s="16" t="str">
        <f aca="false">IF(Work!$G56="","",Work!$G56)</f>
        <v/>
      </c>
      <c r="E55" s="23" t="str">
        <f aca="false">IF(Work!$AJ56="","",Work!$AJ56)</f>
        <v/>
      </c>
      <c r="F55" s="23" t="str">
        <f aca="false">IF(Work!$AI56="","",Work!$AI56)</f>
        <v/>
      </c>
      <c r="G55" s="23" t="n">
        <f aca="false">IF(Work!$AK56="","",Work!$AK56)</f>
        <v>7.94937278075004</v>
      </c>
      <c r="H55" s="23" t="n">
        <f aca="false">IF(Work!$AL56="","",Work!$AL56)</f>
        <v>6.81658574067172</v>
      </c>
      <c r="I55" s="23" t="n">
        <f aca="false">IF(Work!$AF56="","",Work!$AF56)</f>
        <v>-26.6941279709507</v>
      </c>
      <c r="J55" s="23" t="n">
        <f aca="false">IF(Work!$AA56="","",Work!$AA56)</f>
        <v>-4.98322579646769</v>
      </c>
      <c r="K55" s="8" t="str">
        <f aca="false">IF(Work!$B56="","",IF(Work!$L56="","no N peak; ","")&amp;IF(Work!$P56="","no C peak; ","")&amp;IF(Work!$L56="","",IF(Fits!$B$81&lt;=0,"",IF(Work!$L56&lt;Fits!$B$81,"N below linearity range; ",IF(Fits!$B$97&lt;=0,"",IF(Work!$L56&gt;Fits!$B$97,"N above linearity range; ","")))))&amp;IF(Work!$P56="","",IF(Fits!$B$82&lt;=0,"",IF(Work!$P56&lt;Fits!$B$82,"C below linearity range; ",IF(Fits!$B$104&lt;=0,"",IF(Work!$P56&gt;Fits!$B$104,"C above linearity range; ","")))))&amp;IF(OR(Work!$D56="Sample",Work!$D56="Check"),IF(Work!$AA56="","",IF(Fits!$B$138="","",IF(AND(Work!$AA56&gt;=Fits!$B$138,Work!$AA56&lt;=Fits!$B$139),"","d15N outside anchor range; "))),"")&amp;IF(OR(Work!$D56="Sample",Work!$D56="Check"),IF(Work!$AF56="","",IF(Fits!$B$158="","",IF(AND(Work!$AF56&gt;=Fits!$B$158,Work!$AF56&lt;=Fits!$B$159),"","d13C outside anchor range; "))),"")&amp;IF(Work!$D56&lt;&gt;"Check","",IF(Work!$AA56="","",IF(Work!$S56="","",IF(ABS(Work!$AA56-Work!$S56)&lt;=Setup!$B$20,"","check d15N off by "&amp;TEXT(Work!$AA56-Work!$S56,"+0.00;-0.00")&amp;"; "))))&amp;IF(Work!$D56&lt;&gt;"Check","",IF(Work!$AF56="","",IF(Work!$T56="","",IF(ABS(Work!$AF56-Work!$T56)&lt;=Setup!$B$20,"","check d13C off by "&amp;TEXT(Work!$AF56-Work!$T56,"+0.00;-0.00")&amp;"; "))))&amp;IF(Work!$D56&lt;&gt;"Drift","",IF(Work!$BX56=1,"excluded from N drift fit; ",IF(Work!$CB56="","",IF(ABS(Work!$CB56)&gt;Setup!$B$27,"N drift monitor outlier; ",""))))&amp;IF(Work!$D56&lt;&gt;"Drift","",IF(Work!$BY56=1,"excluded from C drift fit; ",IF(Work!$CC56="","",IF(ABS(Work!$CC56)&gt;Setup!$B$27,"C drift monitor outlier; ",""))))&amp;IF(Work!$D56="Blank","",IF(Work!$L56="","",IF(Setup!$B$25="","",IF(Fits!$B$6&lt;=0,"",IF(Work!$L56&gt;=Fits!$B$6*Setup!$B$25,"","N peak only "&amp;TEXT(Work!$L56/Fits!$B$6,"0.0")&amp;"x the blank; ")))))&amp;IF(Work!$D56="Blank","",IF(Work!$P56="","",IF(Setup!$B$25="","",IF(Fits!$B$10&lt;=0,"",IF(Work!$P56&gt;=Fits!$B$10*Setup!$B$25,"","C peak only "&amp;TEXT(Work!$P56/Fits!$B$10,"0.0")&amp;"x the blank; ")))))&amp;IF(Work!$A56&gt;=Fits!$B$86,"","ran before the background settled; ")&amp;IF(Work!$EN56=1,"possible carryover from an oversized sample; ",""))</f>
        <v>d15N outside anchor range; </v>
      </c>
      <c r="L55" s="26" t="n">
        <f aca="false">IF(Work!$CN56="","",Work!$CN56)</f>
        <v>0.0378129613301891</v>
      </c>
      <c r="M55" s="26" t="n">
        <f aca="false">IF(Work!$CO56="","",Work!$CO56)</f>
        <v>0.0756259226603782</v>
      </c>
      <c r="N55" s="26" t="n">
        <f aca="false">IF(Work!$CL56="","",Work!$CL56)</f>
        <v>0.254445810953455</v>
      </c>
      <c r="O55" s="26" t="n">
        <f aca="false">IF(Work!$CM56="","",Work!$CM56)</f>
        <v>0.508891621906911</v>
      </c>
    </row>
    <row r="56" customFormat="false" ht="15" hidden="false" customHeight="false" outlineLevel="0" collapsed="false">
      <c r="A56" s="8" t="n">
        <f aca="false">IF(Work!$B57="","",Work!$A57)</f>
        <v>52</v>
      </c>
      <c r="B56" s="8" t="str">
        <f aca="false">IF(Work!$B57="","",Work!$B57)</f>
        <v>Random</v>
      </c>
      <c r="C56" s="8" t="str">
        <f aca="false">IF(Work!$B57="","",Work!$D57)</f>
        <v>Sample</v>
      </c>
      <c r="D56" s="16" t="str">
        <f aca="false">IF(Work!$G57="","",Work!$G57)</f>
        <v/>
      </c>
      <c r="E56" s="23" t="str">
        <f aca="false">IF(Work!$AJ57="","",Work!$AJ57)</f>
        <v/>
      </c>
      <c r="F56" s="23" t="str">
        <f aca="false">IF(Work!$AI57="","",Work!$AI57)</f>
        <v/>
      </c>
      <c r="G56" s="23" t="n">
        <f aca="false">IF(Work!$AK57="","",Work!$AK57)</f>
        <v>7.849449675852</v>
      </c>
      <c r="H56" s="23" t="n">
        <f aca="false">IF(Work!$AL57="","",Work!$AL57)</f>
        <v>6.73090169605614</v>
      </c>
      <c r="I56" s="23" t="n">
        <f aca="false">IF(Work!$AF57="","",Work!$AF57)</f>
        <v>-26.7447541794178</v>
      </c>
      <c r="J56" s="23" t="n">
        <f aca="false">IF(Work!$AA57="","",Work!$AA57)</f>
        <v>-4.7360679241351</v>
      </c>
      <c r="K56" s="8" t="str">
        <f aca="false">IF(Work!$B57="","",IF(Work!$L57="","no N peak; ","")&amp;IF(Work!$P57="","no C peak; ","")&amp;IF(Work!$L57="","",IF(Fits!$B$81&lt;=0,"",IF(Work!$L57&lt;Fits!$B$81,"N below linearity range; ",IF(Fits!$B$97&lt;=0,"",IF(Work!$L57&gt;Fits!$B$97,"N above linearity range; ","")))))&amp;IF(Work!$P57="","",IF(Fits!$B$82&lt;=0,"",IF(Work!$P57&lt;Fits!$B$82,"C below linearity range; ",IF(Fits!$B$104&lt;=0,"",IF(Work!$P57&gt;Fits!$B$104,"C above linearity range; ","")))))&amp;IF(OR(Work!$D57="Sample",Work!$D57="Check"),IF(Work!$AA57="","",IF(Fits!$B$138="","",IF(AND(Work!$AA57&gt;=Fits!$B$138,Work!$AA57&lt;=Fits!$B$139),"","d15N outside anchor range; "))),"")&amp;IF(OR(Work!$D57="Sample",Work!$D57="Check"),IF(Work!$AF57="","",IF(Fits!$B$158="","",IF(AND(Work!$AF57&gt;=Fits!$B$158,Work!$AF57&lt;=Fits!$B$159),"","d13C outside anchor range; "))),"")&amp;IF(Work!$D57&lt;&gt;"Check","",IF(Work!$AA57="","",IF(Work!$S57="","",IF(ABS(Work!$AA57-Work!$S57)&lt;=Setup!$B$20,"","check d15N off by "&amp;TEXT(Work!$AA57-Work!$S57,"+0.00;-0.00")&amp;"; "))))&amp;IF(Work!$D57&lt;&gt;"Check","",IF(Work!$AF57="","",IF(Work!$T57="","",IF(ABS(Work!$AF57-Work!$T57)&lt;=Setup!$B$20,"","check d13C off by "&amp;TEXT(Work!$AF57-Work!$T57,"+0.00;-0.00")&amp;"; "))))&amp;IF(Work!$D57&lt;&gt;"Drift","",IF(Work!$BX57=1,"excluded from N drift fit; ",IF(Work!$CB57="","",IF(ABS(Work!$CB57)&gt;Setup!$B$27,"N drift monitor outlier; ",""))))&amp;IF(Work!$D57&lt;&gt;"Drift","",IF(Work!$BY57=1,"excluded from C drift fit; ",IF(Work!$CC57="","",IF(ABS(Work!$CC57)&gt;Setup!$B$27,"C drift monitor outlier; ",""))))&amp;IF(Work!$D57="Blank","",IF(Work!$L57="","",IF(Setup!$B$25="","",IF(Fits!$B$6&lt;=0,"",IF(Work!$L57&gt;=Fits!$B$6*Setup!$B$25,"","N peak only "&amp;TEXT(Work!$L57/Fits!$B$6,"0.0")&amp;"x the blank; ")))))&amp;IF(Work!$D57="Blank","",IF(Work!$P57="","",IF(Setup!$B$25="","",IF(Fits!$B$10&lt;=0,"",IF(Work!$P57&gt;=Fits!$B$10*Setup!$B$25,"","C peak only "&amp;TEXT(Work!$P57/Fits!$B$10,"0.0")&amp;"x the blank; ")))))&amp;IF(Work!$A57&gt;=Fits!$B$86,"","ran before the background settled; ")&amp;IF(Work!$EN57=1,"possible carryover from an oversized sample; ",""))</f>
        <v>d15N outside anchor range; </v>
      </c>
      <c r="L56" s="26" t="n">
        <f aca="false">IF(Work!$CN57="","",Work!$CN57)</f>
        <v>0.0377704469912241</v>
      </c>
      <c r="M56" s="26" t="n">
        <f aca="false">IF(Work!$CO57="","",Work!$CO57)</f>
        <v>0.0755408939824482</v>
      </c>
      <c r="N56" s="26" t="n">
        <f aca="false">IF(Work!$CL57="","",Work!$CL57)</f>
        <v>0.253016319511533</v>
      </c>
      <c r="O56" s="26" t="n">
        <f aca="false">IF(Work!$CM57="","",Work!$CM57)</f>
        <v>0.506032639023065</v>
      </c>
    </row>
    <row r="57" customFormat="false" ht="15" hidden="false" customHeight="false" outlineLevel="0" collapsed="false">
      <c r="A57" s="8" t="n">
        <f aca="false">IF(Work!$B58="","",Work!$A58)</f>
        <v>53</v>
      </c>
      <c r="B57" s="8" t="str">
        <f aca="false">IF(Work!$B58="","",Work!$B58)</f>
        <v>Random</v>
      </c>
      <c r="C57" s="8" t="str">
        <f aca="false">IF(Work!$B58="","",Work!$D58)</f>
        <v>Sample</v>
      </c>
      <c r="D57" s="16" t="str">
        <f aca="false">IF(Work!$G58="","",Work!$G58)</f>
        <v/>
      </c>
      <c r="E57" s="23" t="str">
        <f aca="false">IF(Work!$AJ58="","",Work!$AJ58)</f>
        <v/>
      </c>
      <c r="F57" s="23" t="str">
        <f aca="false">IF(Work!$AI58="","",Work!$AI58)</f>
        <v/>
      </c>
      <c r="G57" s="23" t="str">
        <f aca="false">IF(Work!$AK58="","",Work!$AK58)</f>
        <v/>
      </c>
      <c r="H57" s="23" t="str">
        <f aca="false">IF(Work!$AL58="","",Work!$AL58)</f>
        <v/>
      </c>
      <c r="I57" s="23" t="str">
        <f aca="false">IF(Work!$AF58="","",Work!$AF58)</f>
        <v/>
      </c>
      <c r="J57" s="23" t="n">
        <f aca="false">IF(Work!$AA58="","",Work!$AA58)</f>
        <v>-8.27705572363885</v>
      </c>
      <c r="K57" s="8" t="str">
        <f aca="false">IF(Work!$B58="","",IF(Work!$L58="","no N peak; ","")&amp;IF(Work!$P58="","no C peak; ","")&amp;IF(Work!$L58="","",IF(Fits!$B$81&lt;=0,"",IF(Work!$L58&lt;Fits!$B$81,"N below linearity range; ",IF(Fits!$B$97&lt;=0,"",IF(Work!$L58&gt;Fits!$B$97,"N above linearity range; ","")))))&amp;IF(Work!$P58="","",IF(Fits!$B$82&lt;=0,"",IF(Work!$P58&lt;Fits!$B$82,"C below linearity range; ",IF(Fits!$B$104&lt;=0,"",IF(Work!$P58&gt;Fits!$B$104,"C above linearity range; ","")))))&amp;IF(OR(Work!$D58="Sample",Work!$D58="Check"),IF(Work!$AA58="","",IF(Fits!$B$138="","",IF(AND(Work!$AA58&gt;=Fits!$B$138,Work!$AA58&lt;=Fits!$B$139),"","d15N outside anchor range; "))),"")&amp;IF(OR(Work!$D58="Sample",Work!$D58="Check"),IF(Work!$AF58="","",IF(Fits!$B$158="","",IF(AND(Work!$AF58&gt;=Fits!$B$158,Work!$AF58&lt;=Fits!$B$159),"","d13C outside anchor range; "))),"")&amp;IF(Work!$D58&lt;&gt;"Check","",IF(Work!$AA58="","",IF(Work!$S58="","",IF(ABS(Work!$AA58-Work!$S58)&lt;=Setup!$B$20,"","check d15N off by "&amp;TEXT(Work!$AA58-Work!$S58,"+0.00;-0.00")&amp;"; "))))&amp;IF(Work!$D58&lt;&gt;"Check","",IF(Work!$AF58="","",IF(Work!$T58="","",IF(ABS(Work!$AF58-Work!$T58)&lt;=Setup!$B$20,"","check d13C off by "&amp;TEXT(Work!$AF58-Work!$T58,"+0.00;-0.00")&amp;"; "))))&amp;IF(Work!$D58&lt;&gt;"Drift","",IF(Work!$BX58=1,"excluded from N drift fit; ",IF(Work!$CB58="","",IF(ABS(Work!$CB58)&gt;Setup!$B$27,"N drift monitor outlier; ",""))))&amp;IF(Work!$D58&lt;&gt;"Drift","",IF(Work!$BY58=1,"excluded from C drift fit; ",IF(Work!$CC58="","",IF(ABS(Work!$CC58)&gt;Setup!$B$27,"C drift monitor outlier; ",""))))&amp;IF(Work!$D58="Blank","",IF(Work!$L58="","",IF(Setup!$B$25="","",IF(Fits!$B$6&lt;=0,"",IF(Work!$L58&gt;=Fits!$B$6*Setup!$B$25,"","N peak only "&amp;TEXT(Work!$L58/Fits!$B$6,"0.0")&amp;"x the blank; ")))))&amp;IF(Work!$D58="Blank","",IF(Work!$P58="","",IF(Setup!$B$25="","",IF(Fits!$B$10&lt;=0,"",IF(Work!$P58&gt;=Fits!$B$10*Setup!$B$25,"","C peak only "&amp;TEXT(Work!$P58/Fits!$B$10,"0.0")&amp;"x the blank; ")))))&amp;IF(Work!$A58&gt;=Fits!$B$86,"","ran before the background settled; ")&amp;IF(Work!$EN58=1,"possible carryover from an oversized sample; ",""))</f>
        <v>no C peak; N below linearity range; d15N outside anchor range; N peak only 0.7x the blank; </v>
      </c>
      <c r="L57" s="26" t="str">
        <f aca="false">IF(Work!$CN58="","",Work!$CN58)</f>
        <v/>
      </c>
      <c r="M57" s="26" t="str">
        <f aca="false">IF(Work!$CO58="","",Work!$CO58)</f>
        <v/>
      </c>
      <c r="N57" s="26" t="n">
        <f aca="false">IF(Work!$CL58="","",Work!$CL58)</f>
        <v>0.274402710977006</v>
      </c>
      <c r="O57" s="26" t="n">
        <f aca="false">IF(Work!$CM58="","",Work!$CM58)</f>
        <v>0.548805421954013</v>
      </c>
    </row>
    <row r="58" customFormat="false" ht="15" hidden="false" customHeight="false" outlineLevel="0" collapsed="false">
      <c r="A58" s="8" t="n">
        <f aca="false">IF(Work!$B59="","",Work!$A59)</f>
        <v>54</v>
      </c>
      <c r="B58" s="8" t="str">
        <f aca="false">IF(Work!$B59="","",Work!$B59)</f>
        <v>Ace Drift12</v>
      </c>
      <c r="C58" s="8" t="str">
        <f aca="false">IF(Work!$B59="","",Work!$D59)</f>
        <v>Drift</v>
      </c>
      <c r="D58" s="16" t="n">
        <f aca="false">IF(Work!$G59="","",Work!$G59)</f>
        <v>0.38</v>
      </c>
      <c r="E58" s="23" t="n">
        <f aca="false">IF(Work!$AJ59="","",Work!$AJ59)</f>
        <v>72.5685040891779</v>
      </c>
      <c r="F58" s="23" t="n">
        <f aca="false">IF(Work!$AI59="","",Work!$AI59)</f>
        <v>10.8904817999886</v>
      </c>
      <c r="G58" s="23" t="n">
        <f aca="false">IF(Work!$AK59="","",Work!$AK59)</f>
        <v>7.77082339200882</v>
      </c>
      <c r="H58" s="23" t="n">
        <f aca="false">IF(Work!$AL59="","",Work!$AL59)</f>
        <v>6.663479671694</v>
      </c>
      <c r="I58" s="23" t="n">
        <f aca="false">IF(Work!$AF59="","",Work!$AF59)</f>
        <v>-26.5763022086713</v>
      </c>
      <c r="J58" s="23" t="n">
        <f aca="false">IF(Work!$AA59="","",Work!$AA59)</f>
        <v>-5.13078582494694</v>
      </c>
      <c r="K58" s="8" t="str">
        <f aca="false">IF(Work!$B59="","",IF(Work!$L59="","no N peak; ","")&amp;IF(Work!$P59="","no C peak; ","")&amp;IF(Work!$L59="","",IF(Fits!$B$81&lt;=0,"",IF(Work!$L59&lt;Fits!$B$81,"N below linearity range; ",IF(Fits!$B$97&lt;=0,"",IF(Work!$L59&gt;Fits!$B$97,"N above linearity range; ","")))))&amp;IF(Work!$P59="","",IF(Fits!$B$82&lt;=0,"",IF(Work!$P59&lt;Fits!$B$82,"C below linearity range; ",IF(Fits!$B$104&lt;=0,"",IF(Work!$P59&gt;Fits!$B$104,"C above linearity range; ","")))))&amp;IF(OR(Work!$D59="Sample",Work!$D59="Check"),IF(Work!$AA59="","",IF(Fits!$B$138="","",IF(AND(Work!$AA59&gt;=Fits!$B$138,Work!$AA59&lt;=Fits!$B$139),"","d15N outside anchor range; "))),"")&amp;IF(OR(Work!$D59="Sample",Work!$D59="Check"),IF(Work!$AF59="","",IF(Fits!$B$158="","",IF(AND(Work!$AF59&gt;=Fits!$B$158,Work!$AF59&lt;=Fits!$B$159),"","d13C outside anchor range; "))),"")&amp;IF(Work!$D59&lt;&gt;"Check","",IF(Work!$AA59="","",IF(Work!$S59="","",IF(ABS(Work!$AA59-Work!$S59)&lt;=Setup!$B$20,"","check d15N off by "&amp;TEXT(Work!$AA59-Work!$S59,"+0.00;-0.00")&amp;"; "))))&amp;IF(Work!$D59&lt;&gt;"Check","",IF(Work!$AF59="","",IF(Work!$T59="","",IF(ABS(Work!$AF59-Work!$T59)&lt;=Setup!$B$20,"","check d13C off by "&amp;TEXT(Work!$AF59-Work!$T59,"+0.00;-0.00")&amp;"; "))))&amp;IF(Work!$D59&lt;&gt;"Drift","",IF(Work!$BX59=1,"excluded from N drift fit; ",IF(Work!$CB59="","",IF(ABS(Work!$CB59)&gt;Setup!$B$27,"N drift monitor outlier; ",""))))&amp;IF(Work!$D59&lt;&gt;"Drift","",IF(Work!$BY59=1,"excluded from C drift fit; ",IF(Work!$CC59="","",IF(ABS(Work!$CC59)&gt;Setup!$B$27,"C drift monitor outlier; ",""))))&amp;IF(Work!$D59="Blank","",IF(Work!$L59="","",IF(Setup!$B$25="","",IF(Fits!$B$6&lt;=0,"",IF(Work!$L59&gt;=Fits!$B$6*Setup!$B$25,"","N peak only "&amp;TEXT(Work!$L59/Fits!$B$6,"0.0")&amp;"x the blank; ")))))&amp;IF(Work!$D59="Blank","",IF(Work!$P59="","",IF(Setup!$B$25="","",IF(Fits!$B$10&lt;=0,"",IF(Work!$P59&gt;=Fits!$B$10*Setup!$B$25,"","C peak only "&amp;TEXT(Work!$P59/Fits!$B$10,"0.0")&amp;"x the blank; ")))))&amp;IF(Work!$A59&gt;=Fits!$B$86,"","ran before the background settled; ")&amp;IF(Work!$EN59=1,"possible carryover from an oversized sample; ",""))</f>
        <v/>
      </c>
      <c r="L58" s="26" t="n">
        <f aca="false">IF(Work!$CN59="","",Work!$CN59)</f>
        <v>0.0379138924583218</v>
      </c>
      <c r="M58" s="26" t="n">
        <f aca="false">IF(Work!$CO59="","",Work!$CO59)</f>
        <v>0.0758277849166436</v>
      </c>
      <c r="N58" s="26" t="n">
        <f aca="false">IF(Work!$CL59="","",Work!$CL59)</f>
        <v>0.255304113087888</v>
      </c>
      <c r="O58" s="26" t="n">
        <f aca="false">IF(Work!$CM59="","",Work!$CM59)</f>
        <v>0.510608226175775</v>
      </c>
    </row>
    <row r="59" customFormat="false" ht="15" hidden="false" customHeight="false" outlineLevel="0" collapsed="false">
      <c r="A59" s="8" t="n">
        <f aca="false">IF(Work!$B60="","",Work!$A60)</f>
        <v>55</v>
      </c>
      <c r="B59" s="8" t="str">
        <f aca="false">IF(Work!$B60="","",Work!$B60)</f>
        <v>Ace Drift 13</v>
      </c>
      <c r="C59" s="8" t="str">
        <f aca="false">IF(Work!$B60="","",Work!$D60)</f>
        <v>Drift</v>
      </c>
      <c r="D59" s="16" t="n">
        <f aca="false">IF(Work!$G60="","",Work!$G60)</f>
        <v>0.397</v>
      </c>
      <c r="E59" s="23" t="n">
        <f aca="false">IF(Work!$AJ60="","",Work!$AJ60)</f>
        <v>72.4828004425209</v>
      </c>
      <c r="F59" s="23" t="n">
        <f aca="false">IF(Work!$AI60="","",Work!$AI60)</f>
        <v>10.9554956774823</v>
      </c>
      <c r="G59" s="23" t="n">
        <f aca="false">IF(Work!$AK60="","",Work!$AK60)</f>
        <v>7.71558560612728</v>
      </c>
      <c r="H59" s="23" t="n">
        <f aca="false">IF(Work!$AL60="","",Work!$AL60)</f>
        <v>6.61611328015954</v>
      </c>
      <c r="I59" s="23" t="n">
        <f aca="false">IF(Work!$AF60="","",Work!$AF60)</f>
        <v>-26.6186166950685</v>
      </c>
      <c r="J59" s="23" t="n">
        <f aca="false">IF(Work!$AA60="","",Work!$AA60)</f>
        <v>-5.21624562136095</v>
      </c>
      <c r="K59" s="8" t="str">
        <f aca="false">IF(Work!$B60="","",IF(Work!$L60="","no N peak; ","")&amp;IF(Work!$P60="","no C peak; ","")&amp;IF(Work!$L60="","",IF(Fits!$B$81&lt;=0,"",IF(Work!$L60&lt;Fits!$B$81,"N below linearity range; ",IF(Fits!$B$97&lt;=0,"",IF(Work!$L60&gt;Fits!$B$97,"N above linearity range; ","")))))&amp;IF(Work!$P60="","",IF(Fits!$B$82&lt;=0,"",IF(Work!$P60&lt;Fits!$B$82,"C below linearity range; ",IF(Fits!$B$104&lt;=0,"",IF(Work!$P60&gt;Fits!$B$104,"C above linearity range; ","")))))&amp;IF(OR(Work!$D60="Sample",Work!$D60="Check"),IF(Work!$AA60="","",IF(Fits!$B$138="","",IF(AND(Work!$AA60&gt;=Fits!$B$138,Work!$AA60&lt;=Fits!$B$139),"","d15N outside anchor range; "))),"")&amp;IF(OR(Work!$D60="Sample",Work!$D60="Check"),IF(Work!$AF60="","",IF(Fits!$B$158="","",IF(AND(Work!$AF60&gt;=Fits!$B$158,Work!$AF60&lt;=Fits!$B$159),"","d13C outside anchor range; "))),"")&amp;IF(Work!$D60&lt;&gt;"Check","",IF(Work!$AA60="","",IF(Work!$S60="","",IF(ABS(Work!$AA60-Work!$S60)&lt;=Setup!$B$20,"","check d15N off by "&amp;TEXT(Work!$AA60-Work!$S60,"+0.00;-0.00")&amp;"; "))))&amp;IF(Work!$D60&lt;&gt;"Check","",IF(Work!$AF60="","",IF(Work!$T60="","",IF(ABS(Work!$AF60-Work!$T60)&lt;=Setup!$B$20,"","check d13C off by "&amp;TEXT(Work!$AF60-Work!$T60,"+0.00;-0.00")&amp;"; "))))&amp;IF(Work!$D60&lt;&gt;"Drift","",IF(Work!$BX60=1,"excluded from N drift fit; ",IF(Work!$CB60="","",IF(ABS(Work!$CB60)&gt;Setup!$B$27,"N drift monitor outlier; ",""))))&amp;IF(Work!$D60&lt;&gt;"Drift","",IF(Work!$BY60=1,"excluded from C drift fit; ",IF(Work!$CC60="","",IF(ABS(Work!$CC60)&gt;Setup!$B$27,"C drift monitor outlier; ",""))))&amp;IF(Work!$D60="Blank","",IF(Work!$L60="","",IF(Setup!$B$25="","",IF(Fits!$B$6&lt;=0,"",IF(Work!$L60&gt;=Fits!$B$6*Setup!$B$25,"","N peak only "&amp;TEXT(Work!$L60/Fits!$B$6,"0.0")&amp;"x the blank; ")))))&amp;IF(Work!$D60="Blank","",IF(Work!$P60="","",IF(Setup!$B$25="","",IF(Fits!$B$10&lt;=0,"",IF(Work!$P60&gt;=Fits!$B$10*Setup!$B$25,"","C peak only "&amp;TEXT(Work!$P60/Fits!$B$10,"0.0")&amp;"x the blank; ")))))&amp;IF(Work!$A60&gt;=Fits!$B$86,"","ran before the background settled; ")&amp;IF(Work!$EN60=1,"possible carryover from an oversized sample; ",""))</f>
        <v/>
      </c>
      <c r="L59" s="26" t="n">
        <f aca="false">IF(Work!$CN60="","",Work!$CN60)</f>
        <v>0.0378773267080325</v>
      </c>
      <c r="M59" s="26" t="n">
        <f aca="false">IF(Work!$CO60="","",Work!$CO60)</f>
        <v>0.075754653416065</v>
      </c>
      <c r="N59" s="26" t="n">
        <f aca="false">IF(Work!$CL60="","",Work!$CL60)</f>
        <v>0.255802843471761</v>
      </c>
      <c r="O59" s="26" t="n">
        <f aca="false">IF(Work!$CM60="","",Work!$CM60)</f>
        <v>0.511605686943522</v>
      </c>
    </row>
    <row r="60" customFormat="false" ht="15" hidden="false" customHeight="false" outlineLevel="0" collapsed="false">
      <c r="A60" s="8" t="n">
        <f aca="false">IF(Work!$B61="","",Work!$A61)</f>
        <v>56</v>
      </c>
      <c r="B60" s="8" t="str">
        <f aca="false">IF(Work!$B61="","",Work!$B61)</f>
        <v>blank capsule</v>
      </c>
      <c r="C60" s="8" t="str">
        <f aca="false">IF(Work!$B61="","",Work!$D61)</f>
        <v>Blank</v>
      </c>
      <c r="D60" s="16" t="n">
        <f aca="false">IF(Work!$G61="","",Work!$G61)</f>
        <v>0.397</v>
      </c>
      <c r="E60" s="23" t="str">
        <f aca="false">IF(Work!$AJ61="","",Work!$AJ61)</f>
        <v/>
      </c>
      <c r="F60" s="23" t="n">
        <f aca="false">IF(Work!$AI61="","",Work!$AI61)</f>
        <v>0.0304310950815915</v>
      </c>
      <c r="G60" s="23" t="str">
        <f aca="false">IF(Work!$AK61="","",Work!$AK61)</f>
        <v/>
      </c>
      <c r="H60" s="23" t="str">
        <f aca="false">IF(Work!$AL61="","",Work!$AL61)</f>
        <v/>
      </c>
      <c r="I60" s="23" t="str">
        <f aca="false">IF(Work!$AF61="","",Work!$AF61)</f>
        <v/>
      </c>
      <c r="J60" s="23" t="n">
        <f aca="false">IF(Work!$AA61="","",Work!$AA61)</f>
        <v>-5.59325917679977</v>
      </c>
      <c r="K60" s="8" t="str">
        <f aca="false">IF(Work!$B61="","",IF(Work!$L61="","no N peak; ","")&amp;IF(Work!$P61="","no C peak; ","")&amp;IF(Work!$L61="","",IF(Fits!$B$81&lt;=0,"",IF(Work!$L61&lt;Fits!$B$81,"N below linearity range; ",IF(Fits!$B$97&lt;=0,"",IF(Work!$L61&gt;Fits!$B$97,"N above linearity range; ","")))))&amp;IF(Work!$P61="","",IF(Fits!$B$82&lt;=0,"",IF(Work!$P61&lt;Fits!$B$82,"C below linearity range; ",IF(Fits!$B$104&lt;=0,"",IF(Work!$P61&gt;Fits!$B$104,"C above linearity range; ","")))))&amp;IF(OR(Work!$D61="Sample",Work!$D61="Check"),IF(Work!$AA61="","",IF(Fits!$B$138="","",IF(AND(Work!$AA61&gt;=Fits!$B$138,Work!$AA61&lt;=Fits!$B$139),"","d15N outside anchor range; "))),"")&amp;IF(OR(Work!$D61="Sample",Work!$D61="Check"),IF(Work!$AF61="","",IF(Fits!$B$158="","",IF(AND(Work!$AF61&gt;=Fits!$B$158,Work!$AF61&lt;=Fits!$B$159),"","d13C outside anchor range; "))),"")&amp;IF(Work!$D61&lt;&gt;"Check","",IF(Work!$AA61="","",IF(Work!$S61="","",IF(ABS(Work!$AA61-Work!$S61)&lt;=Setup!$B$20,"","check d15N off by "&amp;TEXT(Work!$AA61-Work!$S61,"+0.00;-0.00")&amp;"; "))))&amp;IF(Work!$D61&lt;&gt;"Check","",IF(Work!$AF61="","",IF(Work!$T61="","",IF(ABS(Work!$AF61-Work!$T61)&lt;=Setup!$B$20,"","check d13C off by "&amp;TEXT(Work!$AF61-Work!$T61,"+0.00;-0.00")&amp;"; "))))&amp;IF(Work!$D61&lt;&gt;"Drift","",IF(Work!$BX61=1,"excluded from N drift fit; ",IF(Work!$CB61="","",IF(ABS(Work!$CB61)&gt;Setup!$B$27,"N drift monitor outlier; ",""))))&amp;IF(Work!$D61&lt;&gt;"Drift","",IF(Work!$BY61=1,"excluded from C drift fit; ",IF(Work!$CC61="","",IF(ABS(Work!$CC61)&gt;Setup!$B$27,"C drift monitor outlier; ",""))))&amp;IF(Work!$D61="Blank","",IF(Work!$L61="","",IF(Setup!$B$25="","",IF(Fits!$B$6&lt;=0,"",IF(Work!$L61&gt;=Fits!$B$6*Setup!$B$25,"","N peak only "&amp;TEXT(Work!$L61/Fits!$B$6,"0.0")&amp;"x the blank; ")))))&amp;IF(Work!$D61="Blank","",IF(Work!$P61="","",IF(Setup!$B$25="","",IF(Fits!$B$10&lt;=0,"",IF(Work!$P61&gt;=Fits!$B$10*Setup!$B$25,"","C peak only "&amp;TEXT(Work!$P61/Fits!$B$10,"0.0")&amp;"x the blank; ")))))&amp;IF(Work!$A61&gt;=Fits!$B$86,"","ran before the background settled; ")&amp;IF(Work!$EN61=1,"possible carryover from an oversized sample; ",""))</f>
        <v>no C peak; N below linearity range; </v>
      </c>
      <c r="L60" s="26" t="str">
        <f aca="false">IF(Work!$CN61="","",Work!$CN61)</f>
        <v/>
      </c>
      <c r="M60" s="26" t="str">
        <f aca="false">IF(Work!$CO61="","",Work!$CO61)</f>
        <v/>
      </c>
      <c r="N60" s="26" t="n">
        <f aca="false">IF(Work!$CL61="","",Work!$CL61)</f>
        <v>0.258017218340033</v>
      </c>
      <c r="O60" s="26" t="n">
        <f aca="false">IF(Work!$CM61="","",Work!$CM61)</f>
        <v>0.516034436680065</v>
      </c>
    </row>
    <row r="61" customFormat="false" ht="15" hidden="false" customHeight="false" outlineLevel="0" collapsed="false">
      <c r="A61" s="8" t="str">
        <f aca="false">IF(Work!$B62="","",Work!$A62)</f>
        <v/>
      </c>
      <c r="B61" s="8" t="str">
        <f aca="false">IF(Work!$B62="","",Work!$B62)</f>
        <v/>
      </c>
      <c r="C61" s="8" t="str">
        <f aca="false">IF(Work!$B62="","",Work!$D62)</f>
        <v/>
      </c>
      <c r="D61" s="16" t="str">
        <f aca="false">IF(Work!$G62="","",Work!$G62)</f>
        <v/>
      </c>
      <c r="E61" s="23" t="str">
        <f aca="false">IF(Work!$AJ62="","",Work!$AJ62)</f>
        <v/>
      </c>
      <c r="F61" s="23" t="str">
        <f aca="false">IF(Work!$AI62="","",Work!$AI62)</f>
        <v/>
      </c>
      <c r="G61" s="23" t="str">
        <f aca="false">IF(Work!$AK62="","",Work!$AK62)</f>
        <v/>
      </c>
      <c r="H61" s="23" t="str">
        <f aca="false">IF(Work!$AL62="","",Work!$AL62)</f>
        <v/>
      </c>
      <c r="I61" s="23" t="str">
        <f aca="false">IF(Work!$AF62="","",Work!$AF62)</f>
        <v/>
      </c>
      <c r="J61" s="23" t="str">
        <f aca="false">IF(Work!$AA62="","",Work!$AA62)</f>
        <v/>
      </c>
      <c r="K61" s="8" t="str">
        <f aca="false">IF(Work!$B62="","",IF(Work!$L62="","no N peak; ","")&amp;IF(Work!$P62="","no C peak; ","")&amp;IF(Work!$L62="","",IF(Fits!$B$81&lt;=0,"",IF(Work!$L62&lt;Fits!$B$81,"N below linearity range; ",IF(Fits!$B$97&lt;=0,"",IF(Work!$L62&gt;Fits!$B$97,"N above linearity range; ","")))))&amp;IF(Work!$P62="","",IF(Fits!$B$82&lt;=0,"",IF(Work!$P62&lt;Fits!$B$82,"C below linearity range; ",IF(Fits!$B$104&lt;=0,"",IF(Work!$P62&gt;Fits!$B$104,"C above linearity range; ","")))))&amp;IF(OR(Work!$D62="Sample",Work!$D62="Check"),IF(Work!$AA62="","",IF(Fits!$B$138="","",IF(AND(Work!$AA62&gt;=Fits!$B$138,Work!$AA62&lt;=Fits!$B$139),"","d15N outside anchor range; "))),"")&amp;IF(OR(Work!$D62="Sample",Work!$D62="Check"),IF(Work!$AF62="","",IF(Fits!$B$158="","",IF(AND(Work!$AF62&gt;=Fits!$B$158,Work!$AF62&lt;=Fits!$B$159),"","d13C outside anchor range; "))),"")&amp;IF(Work!$D62&lt;&gt;"Check","",IF(Work!$AA62="","",IF(Work!$S62="","",IF(ABS(Work!$AA62-Work!$S62)&lt;=Setup!$B$20,"","check d15N off by "&amp;TEXT(Work!$AA62-Work!$S62,"+0.00;-0.00")&amp;"; "))))&amp;IF(Work!$D62&lt;&gt;"Check","",IF(Work!$AF62="","",IF(Work!$T62="","",IF(ABS(Work!$AF62-Work!$T62)&lt;=Setup!$B$20,"","check d13C off by "&amp;TEXT(Work!$AF62-Work!$T62,"+0.00;-0.00")&amp;"; "))))&amp;IF(Work!$D62&lt;&gt;"Drift","",IF(Work!$BX62=1,"excluded from N drift fit; ",IF(Work!$CB62="","",IF(ABS(Work!$CB62)&gt;Setup!$B$27,"N drift monitor outlier; ",""))))&amp;IF(Work!$D62&lt;&gt;"Drift","",IF(Work!$BY62=1,"excluded from C drift fit; ",IF(Work!$CC62="","",IF(ABS(Work!$CC62)&gt;Setup!$B$27,"C drift monitor outlier; ",""))))&amp;IF(Work!$D62="Blank","",IF(Work!$L62="","",IF(Setup!$B$25="","",IF(Fits!$B$6&lt;=0,"",IF(Work!$L62&gt;=Fits!$B$6*Setup!$B$25,"","N peak only "&amp;TEXT(Work!$L62/Fits!$B$6,"0.0")&amp;"x the blank; ")))))&amp;IF(Work!$D62="Blank","",IF(Work!$P62="","",IF(Setup!$B$25="","",IF(Fits!$B$10&lt;=0,"",IF(Work!$P62&gt;=Fits!$B$10*Setup!$B$25,"","C peak only "&amp;TEXT(Work!$P62/Fits!$B$10,"0.0")&amp;"x the blank; ")))))&amp;IF(Work!$A62&gt;=Fits!$B$86,"","ran before the background settled; ")&amp;IF(Work!$EN62=1,"possible carryover from an oversized sample; ",""))</f>
        <v/>
      </c>
      <c r="L61" s="26" t="str">
        <f aca="false">IF(Work!$CN62="","",Work!$CN62)</f>
        <v/>
      </c>
      <c r="M61" s="26" t="str">
        <f aca="false">IF(Work!$CO62="","",Work!$CO62)</f>
        <v/>
      </c>
      <c r="N61" s="26" t="str">
        <f aca="false">IF(Work!$CL62="","",Work!$CL62)</f>
        <v/>
      </c>
      <c r="O61" s="26" t="str">
        <f aca="false">IF(Work!$CM62="","",Work!$CM62)</f>
        <v/>
      </c>
    </row>
    <row r="62" customFormat="false" ht="15" hidden="false" customHeight="false" outlineLevel="0" collapsed="false">
      <c r="A62" s="8" t="str">
        <f aca="false">IF(Work!$B63="","",Work!$A63)</f>
        <v/>
      </c>
      <c r="B62" s="8" t="str">
        <f aca="false">IF(Work!$B63="","",Work!$B63)</f>
        <v/>
      </c>
      <c r="C62" s="8" t="str">
        <f aca="false">IF(Work!$B63="","",Work!$D63)</f>
        <v/>
      </c>
      <c r="D62" s="16" t="str">
        <f aca="false">IF(Work!$G63="","",Work!$G63)</f>
        <v/>
      </c>
      <c r="E62" s="23" t="str">
        <f aca="false">IF(Work!$AJ63="","",Work!$AJ63)</f>
        <v/>
      </c>
      <c r="F62" s="23" t="str">
        <f aca="false">IF(Work!$AI63="","",Work!$AI63)</f>
        <v/>
      </c>
      <c r="G62" s="23" t="str">
        <f aca="false">IF(Work!$AK63="","",Work!$AK63)</f>
        <v/>
      </c>
      <c r="H62" s="23" t="str">
        <f aca="false">IF(Work!$AL63="","",Work!$AL63)</f>
        <v/>
      </c>
      <c r="I62" s="23" t="str">
        <f aca="false">IF(Work!$AF63="","",Work!$AF63)</f>
        <v/>
      </c>
      <c r="J62" s="23" t="str">
        <f aca="false">IF(Work!$AA63="","",Work!$AA63)</f>
        <v/>
      </c>
      <c r="K62" s="8" t="str">
        <f aca="false">IF(Work!$B63="","",IF(Work!$L63="","no N peak; ","")&amp;IF(Work!$P63="","no C peak; ","")&amp;IF(Work!$L63="","",IF(Fits!$B$81&lt;=0,"",IF(Work!$L63&lt;Fits!$B$81,"N below linearity range; ",IF(Fits!$B$97&lt;=0,"",IF(Work!$L63&gt;Fits!$B$97,"N above linearity range; ","")))))&amp;IF(Work!$P63="","",IF(Fits!$B$82&lt;=0,"",IF(Work!$P63&lt;Fits!$B$82,"C below linearity range; ",IF(Fits!$B$104&lt;=0,"",IF(Work!$P63&gt;Fits!$B$104,"C above linearity range; ","")))))&amp;IF(OR(Work!$D63="Sample",Work!$D63="Check"),IF(Work!$AA63="","",IF(Fits!$B$138="","",IF(AND(Work!$AA63&gt;=Fits!$B$138,Work!$AA63&lt;=Fits!$B$139),"","d15N outside anchor range; "))),"")&amp;IF(OR(Work!$D63="Sample",Work!$D63="Check"),IF(Work!$AF63="","",IF(Fits!$B$158="","",IF(AND(Work!$AF63&gt;=Fits!$B$158,Work!$AF63&lt;=Fits!$B$159),"","d13C outside anchor range; "))),"")&amp;IF(Work!$D63&lt;&gt;"Check","",IF(Work!$AA63="","",IF(Work!$S63="","",IF(ABS(Work!$AA63-Work!$S63)&lt;=Setup!$B$20,"","check d15N off by "&amp;TEXT(Work!$AA63-Work!$S63,"+0.00;-0.00")&amp;"; "))))&amp;IF(Work!$D63&lt;&gt;"Check","",IF(Work!$AF63="","",IF(Work!$T63="","",IF(ABS(Work!$AF63-Work!$T63)&lt;=Setup!$B$20,"","check d13C off by "&amp;TEXT(Work!$AF63-Work!$T63,"+0.00;-0.00")&amp;"; "))))&amp;IF(Work!$D63&lt;&gt;"Drift","",IF(Work!$BX63=1,"excluded from N drift fit; ",IF(Work!$CB63="","",IF(ABS(Work!$CB63)&gt;Setup!$B$27,"N drift monitor outlier; ",""))))&amp;IF(Work!$D63&lt;&gt;"Drift","",IF(Work!$BY63=1,"excluded from C drift fit; ",IF(Work!$CC63="","",IF(ABS(Work!$CC63)&gt;Setup!$B$27,"C drift monitor outlier; ",""))))&amp;IF(Work!$D63="Blank","",IF(Work!$L63="","",IF(Setup!$B$25="","",IF(Fits!$B$6&lt;=0,"",IF(Work!$L63&gt;=Fits!$B$6*Setup!$B$25,"","N peak only "&amp;TEXT(Work!$L63/Fits!$B$6,"0.0")&amp;"x the blank; ")))))&amp;IF(Work!$D63="Blank","",IF(Work!$P63="","",IF(Setup!$B$25="","",IF(Fits!$B$10&lt;=0,"",IF(Work!$P63&gt;=Fits!$B$10*Setup!$B$25,"","C peak only "&amp;TEXT(Work!$P63/Fits!$B$10,"0.0")&amp;"x the blank; ")))))&amp;IF(Work!$A63&gt;=Fits!$B$86,"","ran before the background settled; ")&amp;IF(Work!$EN63=1,"possible carryover from an oversized sample; ",""))</f>
        <v/>
      </c>
      <c r="L62" s="26" t="str">
        <f aca="false">IF(Work!$CN63="","",Work!$CN63)</f>
        <v/>
      </c>
      <c r="M62" s="26" t="str">
        <f aca="false">IF(Work!$CO63="","",Work!$CO63)</f>
        <v/>
      </c>
      <c r="N62" s="26" t="str">
        <f aca="false">IF(Work!$CL63="","",Work!$CL63)</f>
        <v/>
      </c>
      <c r="O62" s="26" t="str">
        <f aca="false">IF(Work!$CM63="","",Work!$CM63)</f>
        <v/>
      </c>
    </row>
    <row r="63" customFormat="false" ht="15" hidden="false" customHeight="false" outlineLevel="0" collapsed="false">
      <c r="A63" s="8" t="str">
        <f aca="false">IF(Work!$B64="","",Work!$A64)</f>
        <v/>
      </c>
      <c r="B63" s="8" t="str">
        <f aca="false">IF(Work!$B64="","",Work!$B64)</f>
        <v/>
      </c>
      <c r="C63" s="8" t="str">
        <f aca="false">IF(Work!$B64="","",Work!$D64)</f>
        <v/>
      </c>
      <c r="D63" s="16" t="str">
        <f aca="false">IF(Work!$G64="","",Work!$G64)</f>
        <v/>
      </c>
      <c r="E63" s="23" t="str">
        <f aca="false">IF(Work!$AJ64="","",Work!$AJ64)</f>
        <v/>
      </c>
      <c r="F63" s="23" t="str">
        <f aca="false">IF(Work!$AI64="","",Work!$AI64)</f>
        <v/>
      </c>
      <c r="G63" s="23" t="str">
        <f aca="false">IF(Work!$AK64="","",Work!$AK64)</f>
        <v/>
      </c>
      <c r="H63" s="23" t="str">
        <f aca="false">IF(Work!$AL64="","",Work!$AL64)</f>
        <v/>
      </c>
      <c r="I63" s="23" t="str">
        <f aca="false">IF(Work!$AF64="","",Work!$AF64)</f>
        <v/>
      </c>
      <c r="J63" s="23" t="str">
        <f aca="false">IF(Work!$AA64="","",Work!$AA64)</f>
        <v/>
      </c>
      <c r="K63" s="8" t="str">
        <f aca="false">IF(Work!$B64="","",IF(Work!$L64="","no N peak; ","")&amp;IF(Work!$P64="","no C peak; ","")&amp;IF(Work!$L64="","",IF(Fits!$B$81&lt;=0,"",IF(Work!$L64&lt;Fits!$B$81,"N below linearity range; ",IF(Fits!$B$97&lt;=0,"",IF(Work!$L64&gt;Fits!$B$97,"N above linearity range; ","")))))&amp;IF(Work!$P64="","",IF(Fits!$B$82&lt;=0,"",IF(Work!$P64&lt;Fits!$B$82,"C below linearity range; ",IF(Fits!$B$104&lt;=0,"",IF(Work!$P64&gt;Fits!$B$104,"C above linearity range; ","")))))&amp;IF(OR(Work!$D64="Sample",Work!$D64="Check"),IF(Work!$AA64="","",IF(Fits!$B$138="","",IF(AND(Work!$AA64&gt;=Fits!$B$138,Work!$AA64&lt;=Fits!$B$139),"","d15N outside anchor range; "))),"")&amp;IF(OR(Work!$D64="Sample",Work!$D64="Check"),IF(Work!$AF64="","",IF(Fits!$B$158="","",IF(AND(Work!$AF64&gt;=Fits!$B$158,Work!$AF64&lt;=Fits!$B$159),"","d13C outside anchor range; "))),"")&amp;IF(Work!$D64&lt;&gt;"Check","",IF(Work!$AA64="","",IF(Work!$S64="","",IF(ABS(Work!$AA64-Work!$S64)&lt;=Setup!$B$20,"","check d15N off by "&amp;TEXT(Work!$AA64-Work!$S64,"+0.00;-0.00")&amp;"; "))))&amp;IF(Work!$D64&lt;&gt;"Check","",IF(Work!$AF64="","",IF(Work!$T64="","",IF(ABS(Work!$AF64-Work!$T64)&lt;=Setup!$B$20,"","check d13C off by "&amp;TEXT(Work!$AF64-Work!$T64,"+0.00;-0.00")&amp;"; "))))&amp;IF(Work!$D64&lt;&gt;"Drift","",IF(Work!$BX64=1,"excluded from N drift fit; ",IF(Work!$CB64="","",IF(ABS(Work!$CB64)&gt;Setup!$B$27,"N drift monitor outlier; ",""))))&amp;IF(Work!$D64&lt;&gt;"Drift","",IF(Work!$BY64=1,"excluded from C drift fit; ",IF(Work!$CC64="","",IF(ABS(Work!$CC64)&gt;Setup!$B$27,"C drift monitor outlier; ",""))))&amp;IF(Work!$D64="Blank","",IF(Work!$L64="","",IF(Setup!$B$25="","",IF(Fits!$B$6&lt;=0,"",IF(Work!$L64&gt;=Fits!$B$6*Setup!$B$25,"","N peak only "&amp;TEXT(Work!$L64/Fits!$B$6,"0.0")&amp;"x the blank; ")))))&amp;IF(Work!$D64="Blank","",IF(Work!$P64="","",IF(Setup!$B$25="","",IF(Fits!$B$10&lt;=0,"",IF(Work!$P64&gt;=Fits!$B$10*Setup!$B$25,"","C peak only "&amp;TEXT(Work!$P64/Fits!$B$10,"0.0")&amp;"x the blank; ")))))&amp;IF(Work!$A64&gt;=Fits!$B$86,"","ran before the background settled; ")&amp;IF(Work!$EN64=1,"possible carryover from an oversized sample; ",""))</f>
        <v/>
      </c>
      <c r="L63" s="26" t="str">
        <f aca="false">IF(Work!$CN64="","",Work!$CN64)</f>
        <v/>
      </c>
      <c r="M63" s="26" t="str">
        <f aca="false">IF(Work!$CO64="","",Work!$CO64)</f>
        <v/>
      </c>
      <c r="N63" s="26" t="str">
        <f aca="false">IF(Work!$CL64="","",Work!$CL64)</f>
        <v/>
      </c>
      <c r="O63" s="26" t="str">
        <f aca="false">IF(Work!$CM64="","",Work!$CM64)</f>
        <v/>
      </c>
    </row>
    <row r="64" customFormat="false" ht="15" hidden="false" customHeight="false" outlineLevel="0" collapsed="false">
      <c r="A64" s="8" t="str">
        <f aca="false">IF(Work!$B65="","",Work!$A65)</f>
        <v/>
      </c>
      <c r="B64" s="8" t="str">
        <f aca="false">IF(Work!$B65="","",Work!$B65)</f>
        <v/>
      </c>
      <c r="C64" s="8" t="str">
        <f aca="false">IF(Work!$B65="","",Work!$D65)</f>
        <v/>
      </c>
      <c r="D64" s="16" t="str">
        <f aca="false">IF(Work!$G65="","",Work!$G65)</f>
        <v/>
      </c>
      <c r="E64" s="23" t="str">
        <f aca="false">IF(Work!$AJ65="","",Work!$AJ65)</f>
        <v/>
      </c>
      <c r="F64" s="23" t="str">
        <f aca="false">IF(Work!$AI65="","",Work!$AI65)</f>
        <v/>
      </c>
      <c r="G64" s="23" t="str">
        <f aca="false">IF(Work!$AK65="","",Work!$AK65)</f>
        <v/>
      </c>
      <c r="H64" s="23" t="str">
        <f aca="false">IF(Work!$AL65="","",Work!$AL65)</f>
        <v/>
      </c>
      <c r="I64" s="23" t="str">
        <f aca="false">IF(Work!$AF65="","",Work!$AF65)</f>
        <v/>
      </c>
      <c r="J64" s="23" t="str">
        <f aca="false">IF(Work!$AA65="","",Work!$AA65)</f>
        <v/>
      </c>
      <c r="K64" s="8" t="str">
        <f aca="false">IF(Work!$B65="","",IF(Work!$L65="","no N peak; ","")&amp;IF(Work!$P65="","no C peak; ","")&amp;IF(Work!$L65="","",IF(Fits!$B$81&lt;=0,"",IF(Work!$L65&lt;Fits!$B$81,"N below linearity range; ",IF(Fits!$B$97&lt;=0,"",IF(Work!$L65&gt;Fits!$B$97,"N above linearity range; ","")))))&amp;IF(Work!$P65="","",IF(Fits!$B$82&lt;=0,"",IF(Work!$P65&lt;Fits!$B$82,"C below linearity range; ",IF(Fits!$B$104&lt;=0,"",IF(Work!$P65&gt;Fits!$B$104,"C above linearity range; ","")))))&amp;IF(OR(Work!$D65="Sample",Work!$D65="Check"),IF(Work!$AA65="","",IF(Fits!$B$138="","",IF(AND(Work!$AA65&gt;=Fits!$B$138,Work!$AA65&lt;=Fits!$B$139),"","d15N outside anchor range; "))),"")&amp;IF(OR(Work!$D65="Sample",Work!$D65="Check"),IF(Work!$AF65="","",IF(Fits!$B$158="","",IF(AND(Work!$AF65&gt;=Fits!$B$158,Work!$AF65&lt;=Fits!$B$159),"","d13C outside anchor range; "))),"")&amp;IF(Work!$D65&lt;&gt;"Check","",IF(Work!$AA65="","",IF(Work!$S65="","",IF(ABS(Work!$AA65-Work!$S65)&lt;=Setup!$B$20,"","check d15N off by "&amp;TEXT(Work!$AA65-Work!$S65,"+0.00;-0.00")&amp;"; "))))&amp;IF(Work!$D65&lt;&gt;"Check","",IF(Work!$AF65="","",IF(Work!$T65="","",IF(ABS(Work!$AF65-Work!$T65)&lt;=Setup!$B$20,"","check d13C off by "&amp;TEXT(Work!$AF65-Work!$T65,"+0.00;-0.00")&amp;"; "))))&amp;IF(Work!$D65&lt;&gt;"Drift","",IF(Work!$BX65=1,"excluded from N drift fit; ",IF(Work!$CB65="","",IF(ABS(Work!$CB65)&gt;Setup!$B$27,"N drift monitor outlier; ",""))))&amp;IF(Work!$D65&lt;&gt;"Drift","",IF(Work!$BY65=1,"excluded from C drift fit; ",IF(Work!$CC65="","",IF(ABS(Work!$CC65)&gt;Setup!$B$27,"C drift monitor outlier; ",""))))&amp;IF(Work!$D65="Blank","",IF(Work!$L65="","",IF(Setup!$B$25="","",IF(Fits!$B$6&lt;=0,"",IF(Work!$L65&gt;=Fits!$B$6*Setup!$B$25,"","N peak only "&amp;TEXT(Work!$L65/Fits!$B$6,"0.0")&amp;"x the blank; ")))))&amp;IF(Work!$D65="Blank","",IF(Work!$P65="","",IF(Setup!$B$25="","",IF(Fits!$B$10&lt;=0,"",IF(Work!$P65&gt;=Fits!$B$10*Setup!$B$25,"","C peak only "&amp;TEXT(Work!$P65/Fits!$B$10,"0.0")&amp;"x the blank; ")))))&amp;IF(Work!$A65&gt;=Fits!$B$86,"","ran before the background settled; ")&amp;IF(Work!$EN65=1,"possible carryover from an oversized sample; ",""))</f>
        <v/>
      </c>
      <c r="L64" s="26" t="str">
        <f aca="false">IF(Work!$CN65="","",Work!$CN65)</f>
        <v/>
      </c>
      <c r="M64" s="26" t="str">
        <f aca="false">IF(Work!$CO65="","",Work!$CO65)</f>
        <v/>
      </c>
      <c r="N64" s="26" t="str">
        <f aca="false">IF(Work!$CL65="","",Work!$CL65)</f>
        <v/>
      </c>
      <c r="O64" s="26" t="str">
        <f aca="false">IF(Work!$CM65="","",Work!$CM65)</f>
        <v/>
      </c>
    </row>
    <row r="65" customFormat="false" ht="15" hidden="false" customHeight="false" outlineLevel="0" collapsed="false">
      <c r="A65" s="8" t="str">
        <f aca="false">IF(Work!$B66="","",Work!$A66)</f>
        <v/>
      </c>
      <c r="B65" s="8" t="str">
        <f aca="false">IF(Work!$B66="","",Work!$B66)</f>
        <v/>
      </c>
      <c r="C65" s="8" t="str">
        <f aca="false">IF(Work!$B66="","",Work!$D66)</f>
        <v/>
      </c>
      <c r="D65" s="16" t="str">
        <f aca="false">IF(Work!$G66="","",Work!$G66)</f>
        <v/>
      </c>
      <c r="E65" s="23" t="str">
        <f aca="false">IF(Work!$AJ66="","",Work!$AJ66)</f>
        <v/>
      </c>
      <c r="F65" s="23" t="str">
        <f aca="false">IF(Work!$AI66="","",Work!$AI66)</f>
        <v/>
      </c>
      <c r="G65" s="23" t="str">
        <f aca="false">IF(Work!$AK66="","",Work!$AK66)</f>
        <v/>
      </c>
      <c r="H65" s="23" t="str">
        <f aca="false">IF(Work!$AL66="","",Work!$AL66)</f>
        <v/>
      </c>
      <c r="I65" s="23" t="str">
        <f aca="false">IF(Work!$AF66="","",Work!$AF66)</f>
        <v/>
      </c>
      <c r="J65" s="23" t="str">
        <f aca="false">IF(Work!$AA66="","",Work!$AA66)</f>
        <v/>
      </c>
      <c r="K65" s="8" t="str">
        <f aca="false">IF(Work!$B66="","",IF(Work!$L66="","no N peak; ","")&amp;IF(Work!$P66="","no C peak; ","")&amp;IF(Work!$L66="","",IF(Fits!$B$81&lt;=0,"",IF(Work!$L66&lt;Fits!$B$81,"N below linearity range; ",IF(Fits!$B$97&lt;=0,"",IF(Work!$L66&gt;Fits!$B$97,"N above linearity range; ","")))))&amp;IF(Work!$P66="","",IF(Fits!$B$82&lt;=0,"",IF(Work!$P66&lt;Fits!$B$82,"C below linearity range; ",IF(Fits!$B$104&lt;=0,"",IF(Work!$P66&gt;Fits!$B$104,"C above linearity range; ","")))))&amp;IF(OR(Work!$D66="Sample",Work!$D66="Check"),IF(Work!$AA66="","",IF(Fits!$B$138="","",IF(AND(Work!$AA66&gt;=Fits!$B$138,Work!$AA66&lt;=Fits!$B$139),"","d15N outside anchor range; "))),"")&amp;IF(OR(Work!$D66="Sample",Work!$D66="Check"),IF(Work!$AF66="","",IF(Fits!$B$158="","",IF(AND(Work!$AF66&gt;=Fits!$B$158,Work!$AF66&lt;=Fits!$B$159),"","d13C outside anchor range; "))),"")&amp;IF(Work!$D66&lt;&gt;"Check","",IF(Work!$AA66="","",IF(Work!$S66="","",IF(ABS(Work!$AA66-Work!$S66)&lt;=Setup!$B$20,"","check d15N off by "&amp;TEXT(Work!$AA66-Work!$S66,"+0.00;-0.00")&amp;"; "))))&amp;IF(Work!$D66&lt;&gt;"Check","",IF(Work!$AF66="","",IF(Work!$T66="","",IF(ABS(Work!$AF66-Work!$T66)&lt;=Setup!$B$20,"","check d13C off by "&amp;TEXT(Work!$AF66-Work!$T66,"+0.00;-0.00")&amp;"; "))))&amp;IF(Work!$D66&lt;&gt;"Drift","",IF(Work!$BX66=1,"excluded from N drift fit; ",IF(Work!$CB66="","",IF(ABS(Work!$CB66)&gt;Setup!$B$27,"N drift monitor outlier; ",""))))&amp;IF(Work!$D66&lt;&gt;"Drift","",IF(Work!$BY66=1,"excluded from C drift fit; ",IF(Work!$CC66="","",IF(ABS(Work!$CC66)&gt;Setup!$B$27,"C drift monitor outlier; ",""))))&amp;IF(Work!$D66="Blank","",IF(Work!$L66="","",IF(Setup!$B$25="","",IF(Fits!$B$6&lt;=0,"",IF(Work!$L66&gt;=Fits!$B$6*Setup!$B$25,"","N peak only "&amp;TEXT(Work!$L66/Fits!$B$6,"0.0")&amp;"x the blank; ")))))&amp;IF(Work!$D66="Blank","",IF(Work!$P66="","",IF(Setup!$B$25="","",IF(Fits!$B$10&lt;=0,"",IF(Work!$P66&gt;=Fits!$B$10*Setup!$B$25,"","C peak only "&amp;TEXT(Work!$P66/Fits!$B$10,"0.0")&amp;"x the blank; ")))))&amp;IF(Work!$A66&gt;=Fits!$B$86,"","ran before the background settled; ")&amp;IF(Work!$EN66=1,"possible carryover from an oversized sample; ",""))</f>
        <v/>
      </c>
      <c r="L65" s="26" t="str">
        <f aca="false">IF(Work!$CN66="","",Work!$CN66)</f>
        <v/>
      </c>
      <c r="M65" s="26" t="str">
        <f aca="false">IF(Work!$CO66="","",Work!$CO66)</f>
        <v/>
      </c>
      <c r="N65" s="26" t="str">
        <f aca="false">IF(Work!$CL66="","",Work!$CL66)</f>
        <v/>
      </c>
      <c r="O65" s="26" t="str">
        <f aca="false">IF(Work!$CM66="","",Work!$CM66)</f>
        <v/>
      </c>
    </row>
    <row r="66" customFormat="false" ht="15" hidden="false" customHeight="false" outlineLevel="0" collapsed="false">
      <c r="A66" s="8" t="str">
        <f aca="false">IF(Work!$B67="","",Work!$A67)</f>
        <v/>
      </c>
      <c r="B66" s="8" t="str">
        <f aca="false">IF(Work!$B67="","",Work!$B67)</f>
        <v/>
      </c>
      <c r="C66" s="8" t="str">
        <f aca="false">IF(Work!$B67="","",Work!$D67)</f>
        <v/>
      </c>
      <c r="D66" s="16" t="str">
        <f aca="false">IF(Work!$G67="","",Work!$G67)</f>
        <v/>
      </c>
      <c r="E66" s="23" t="str">
        <f aca="false">IF(Work!$AJ67="","",Work!$AJ67)</f>
        <v/>
      </c>
      <c r="F66" s="23" t="str">
        <f aca="false">IF(Work!$AI67="","",Work!$AI67)</f>
        <v/>
      </c>
      <c r="G66" s="23" t="str">
        <f aca="false">IF(Work!$AK67="","",Work!$AK67)</f>
        <v/>
      </c>
      <c r="H66" s="23" t="str">
        <f aca="false">IF(Work!$AL67="","",Work!$AL67)</f>
        <v/>
      </c>
      <c r="I66" s="23" t="str">
        <f aca="false">IF(Work!$AF67="","",Work!$AF67)</f>
        <v/>
      </c>
      <c r="J66" s="23" t="str">
        <f aca="false">IF(Work!$AA67="","",Work!$AA67)</f>
        <v/>
      </c>
      <c r="K66" s="8" t="str">
        <f aca="false">IF(Work!$B67="","",IF(Work!$L67="","no N peak; ","")&amp;IF(Work!$P67="","no C peak; ","")&amp;IF(Work!$L67="","",IF(Fits!$B$81&lt;=0,"",IF(Work!$L67&lt;Fits!$B$81,"N below linearity range; ",IF(Fits!$B$97&lt;=0,"",IF(Work!$L67&gt;Fits!$B$97,"N above linearity range; ","")))))&amp;IF(Work!$P67="","",IF(Fits!$B$82&lt;=0,"",IF(Work!$P67&lt;Fits!$B$82,"C below linearity range; ",IF(Fits!$B$104&lt;=0,"",IF(Work!$P67&gt;Fits!$B$104,"C above linearity range; ","")))))&amp;IF(OR(Work!$D67="Sample",Work!$D67="Check"),IF(Work!$AA67="","",IF(Fits!$B$138="","",IF(AND(Work!$AA67&gt;=Fits!$B$138,Work!$AA67&lt;=Fits!$B$139),"","d15N outside anchor range; "))),"")&amp;IF(OR(Work!$D67="Sample",Work!$D67="Check"),IF(Work!$AF67="","",IF(Fits!$B$158="","",IF(AND(Work!$AF67&gt;=Fits!$B$158,Work!$AF67&lt;=Fits!$B$159),"","d13C outside anchor range; "))),"")&amp;IF(Work!$D67&lt;&gt;"Check","",IF(Work!$AA67="","",IF(Work!$S67="","",IF(ABS(Work!$AA67-Work!$S67)&lt;=Setup!$B$20,"","check d15N off by "&amp;TEXT(Work!$AA67-Work!$S67,"+0.00;-0.00")&amp;"; "))))&amp;IF(Work!$D67&lt;&gt;"Check","",IF(Work!$AF67="","",IF(Work!$T67="","",IF(ABS(Work!$AF67-Work!$T67)&lt;=Setup!$B$20,"","check d13C off by "&amp;TEXT(Work!$AF67-Work!$T67,"+0.00;-0.00")&amp;"; "))))&amp;IF(Work!$D67&lt;&gt;"Drift","",IF(Work!$BX67=1,"excluded from N drift fit; ",IF(Work!$CB67="","",IF(ABS(Work!$CB67)&gt;Setup!$B$27,"N drift monitor outlier; ",""))))&amp;IF(Work!$D67&lt;&gt;"Drift","",IF(Work!$BY67=1,"excluded from C drift fit; ",IF(Work!$CC67="","",IF(ABS(Work!$CC67)&gt;Setup!$B$27,"C drift monitor outlier; ",""))))&amp;IF(Work!$D67="Blank","",IF(Work!$L67="","",IF(Setup!$B$25="","",IF(Fits!$B$6&lt;=0,"",IF(Work!$L67&gt;=Fits!$B$6*Setup!$B$25,"","N peak only "&amp;TEXT(Work!$L67/Fits!$B$6,"0.0")&amp;"x the blank; ")))))&amp;IF(Work!$D67="Blank","",IF(Work!$P67="","",IF(Setup!$B$25="","",IF(Fits!$B$10&lt;=0,"",IF(Work!$P67&gt;=Fits!$B$10*Setup!$B$25,"","C peak only "&amp;TEXT(Work!$P67/Fits!$B$10,"0.0")&amp;"x the blank; ")))))&amp;IF(Work!$A67&gt;=Fits!$B$86,"","ran before the background settled; ")&amp;IF(Work!$EN67=1,"possible carryover from an oversized sample; ",""))</f>
        <v/>
      </c>
      <c r="L66" s="26" t="str">
        <f aca="false">IF(Work!$CN67="","",Work!$CN67)</f>
        <v/>
      </c>
      <c r="M66" s="26" t="str">
        <f aca="false">IF(Work!$CO67="","",Work!$CO67)</f>
        <v/>
      </c>
      <c r="N66" s="26" t="str">
        <f aca="false">IF(Work!$CL67="","",Work!$CL67)</f>
        <v/>
      </c>
      <c r="O66" s="26" t="str">
        <f aca="false">IF(Work!$CM67="","",Work!$CM67)</f>
        <v/>
      </c>
    </row>
    <row r="67" customFormat="false" ht="15" hidden="false" customHeight="false" outlineLevel="0" collapsed="false">
      <c r="A67" s="8" t="str">
        <f aca="false">IF(Work!$B68="","",Work!$A68)</f>
        <v/>
      </c>
      <c r="B67" s="8" t="str">
        <f aca="false">IF(Work!$B68="","",Work!$B68)</f>
        <v/>
      </c>
      <c r="C67" s="8" t="str">
        <f aca="false">IF(Work!$B68="","",Work!$D68)</f>
        <v/>
      </c>
      <c r="D67" s="16" t="str">
        <f aca="false">IF(Work!$G68="","",Work!$G68)</f>
        <v/>
      </c>
      <c r="E67" s="23" t="str">
        <f aca="false">IF(Work!$AJ68="","",Work!$AJ68)</f>
        <v/>
      </c>
      <c r="F67" s="23" t="str">
        <f aca="false">IF(Work!$AI68="","",Work!$AI68)</f>
        <v/>
      </c>
      <c r="G67" s="23" t="str">
        <f aca="false">IF(Work!$AK68="","",Work!$AK68)</f>
        <v/>
      </c>
      <c r="H67" s="23" t="str">
        <f aca="false">IF(Work!$AL68="","",Work!$AL68)</f>
        <v/>
      </c>
      <c r="I67" s="23" t="str">
        <f aca="false">IF(Work!$AF68="","",Work!$AF68)</f>
        <v/>
      </c>
      <c r="J67" s="23" t="str">
        <f aca="false">IF(Work!$AA68="","",Work!$AA68)</f>
        <v/>
      </c>
      <c r="K67" s="8" t="str">
        <f aca="false">IF(Work!$B68="","",IF(Work!$L68="","no N peak; ","")&amp;IF(Work!$P68="","no C peak; ","")&amp;IF(Work!$L68="","",IF(Fits!$B$81&lt;=0,"",IF(Work!$L68&lt;Fits!$B$81,"N below linearity range; ",IF(Fits!$B$97&lt;=0,"",IF(Work!$L68&gt;Fits!$B$97,"N above linearity range; ","")))))&amp;IF(Work!$P68="","",IF(Fits!$B$82&lt;=0,"",IF(Work!$P68&lt;Fits!$B$82,"C below linearity range; ",IF(Fits!$B$104&lt;=0,"",IF(Work!$P68&gt;Fits!$B$104,"C above linearity range; ","")))))&amp;IF(OR(Work!$D68="Sample",Work!$D68="Check"),IF(Work!$AA68="","",IF(Fits!$B$138="","",IF(AND(Work!$AA68&gt;=Fits!$B$138,Work!$AA68&lt;=Fits!$B$139),"","d15N outside anchor range; "))),"")&amp;IF(OR(Work!$D68="Sample",Work!$D68="Check"),IF(Work!$AF68="","",IF(Fits!$B$158="","",IF(AND(Work!$AF68&gt;=Fits!$B$158,Work!$AF68&lt;=Fits!$B$159),"","d13C outside anchor range; "))),"")&amp;IF(Work!$D68&lt;&gt;"Check","",IF(Work!$AA68="","",IF(Work!$S68="","",IF(ABS(Work!$AA68-Work!$S68)&lt;=Setup!$B$20,"","check d15N off by "&amp;TEXT(Work!$AA68-Work!$S68,"+0.00;-0.00")&amp;"; "))))&amp;IF(Work!$D68&lt;&gt;"Check","",IF(Work!$AF68="","",IF(Work!$T68="","",IF(ABS(Work!$AF68-Work!$T68)&lt;=Setup!$B$20,"","check d13C off by "&amp;TEXT(Work!$AF68-Work!$T68,"+0.00;-0.00")&amp;"; "))))&amp;IF(Work!$D68&lt;&gt;"Drift","",IF(Work!$BX68=1,"excluded from N drift fit; ",IF(Work!$CB68="","",IF(ABS(Work!$CB68)&gt;Setup!$B$27,"N drift monitor outlier; ",""))))&amp;IF(Work!$D68&lt;&gt;"Drift","",IF(Work!$BY68=1,"excluded from C drift fit; ",IF(Work!$CC68="","",IF(ABS(Work!$CC68)&gt;Setup!$B$27,"C drift monitor outlier; ",""))))&amp;IF(Work!$D68="Blank","",IF(Work!$L68="","",IF(Setup!$B$25="","",IF(Fits!$B$6&lt;=0,"",IF(Work!$L68&gt;=Fits!$B$6*Setup!$B$25,"","N peak only "&amp;TEXT(Work!$L68/Fits!$B$6,"0.0")&amp;"x the blank; ")))))&amp;IF(Work!$D68="Blank","",IF(Work!$P68="","",IF(Setup!$B$25="","",IF(Fits!$B$10&lt;=0,"",IF(Work!$P68&gt;=Fits!$B$10*Setup!$B$25,"","C peak only "&amp;TEXT(Work!$P68/Fits!$B$10,"0.0")&amp;"x the blank; ")))))&amp;IF(Work!$A68&gt;=Fits!$B$86,"","ran before the background settled; ")&amp;IF(Work!$EN68=1,"possible carryover from an oversized sample; ",""))</f>
        <v/>
      </c>
      <c r="L67" s="26" t="str">
        <f aca="false">IF(Work!$CN68="","",Work!$CN68)</f>
        <v/>
      </c>
      <c r="M67" s="26" t="str">
        <f aca="false">IF(Work!$CO68="","",Work!$CO68)</f>
        <v/>
      </c>
      <c r="N67" s="26" t="str">
        <f aca="false">IF(Work!$CL68="","",Work!$CL68)</f>
        <v/>
      </c>
      <c r="O67" s="26" t="str">
        <f aca="false">IF(Work!$CM68="","",Work!$CM68)</f>
        <v/>
      </c>
    </row>
    <row r="68" customFormat="false" ht="15" hidden="false" customHeight="false" outlineLevel="0" collapsed="false">
      <c r="A68" s="8" t="str">
        <f aca="false">IF(Work!$B69="","",Work!$A69)</f>
        <v/>
      </c>
      <c r="B68" s="8" t="str">
        <f aca="false">IF(Work!$B69="","",Work!$B69)</f>
        <v/>
      </c>
      <c r="C68" s="8" t="str">
        <f aca="false">IF(Work!$B69="","",Work!$D69)</f>
        <v/>
      </c>
      <c r="D68" s="16" t="str">
        <f aca="false">IF(Work!$G69="","",Work!$G69)</f>
        <v/>
      </c>
      <c r="E68" s="23" t="str">
        <f aca="false">IF(Work!$AJ69="","",Work!$AJ69)</f>
        <v/>
      </c>
      <c r="F68" s="23" t="str">
        <f aca="false">IF(Work!$AI69="","",Work!$AI69)</f>
        <v/>
      </c>
      <c r="G68" s="23" t="str">
        <f aca="false">IF(Work!$AK69="","",Work!$AK69)</f>
        <v/>
      </c>
      <c r="H68" s="23" t="str">
        <f aca="false">IF(Work!$AL69="","",Work!$AL69)</f>
        <v/>
      </c>
      <c r="I68" s="23" t="str">
        <f aca="false">IF(Work!$AF69="","",Work!$AF69)</f>
        <v/>
      </c>
      <c r="J68" s="23" t="str">
        <f aca="false">IF(Work!$AA69="","",Work!$AA69)</f>
        <v/>
      </c>
      <c r="K68" s="8" t="str">
        <f aca="false">IF(Work!$B69="","",IF(Work!$L69="","no N peak; ","")&amp;IF(Work!$P69="","no C peak; ","")&amp;IF(Work!$L69="","",IF(Fits!$B$81&lt;=0,"",IF(Work!$L69&lt;Fits!$B$81,"N below linearity range; ",IF(Fits!$B$97&lt;=0,"",IF(Work!$L69&gt;Fits!$B$97,"N above linearity range; ","")))))&amp;IF(Work!$P69="","",IF(Fits!$B$82&lt;=0,"",IF(Work!$P69&lt;Fits!$B$82,"C below linearity range; ",IF(Fits!$B$104&lt;=0,"",IF(Work!$P69&gt;Fits!$B$104,"C above linearity range; ","")))))&amp;IF(OR(Work!$D69="Sample",Work!$D69="Check"),IF(Work!$AA69="","",IF(Fits!$B$138="","",IF(AND(Work!$AA69&gt;=Fits!$B$138,Work!$AA69&lt;=Fits!$B$139),"","d15N outside anchor range; "))),"")&amp;IF(OR(Work!$D69="Sample",Work!$D69="Check"),IF(Work!$AF69="","",IF(Fits!$B$158="","",IF(AND(Work!$AF69&gt;=Fits!$B$158,Work!$AF69&lt;=Fits!$B$159),"","d13C outside anchor range; "))),"")&amp;IF(Work!$D69&lt;&gt;"Check","",IF(Work!$AA69="","",IF(Work!$S69="","",IF(ABS(Work!$AA69-Work!$S69)&lt;=Setup!$B$20,"","check d15N off by "&amp;TEXT(Work!$AA69-Work!$S69,"+0.00;-0.00")&amp;"; "))))&amp;IF(Work!$D69&lt;&gt;"Check","",IF(Work!$AF69="","",IF(Work!$T69="","",IF(ABS(Work!$AF69-Work!$T69)&lt;=Setup!$B$20,"","check d13C off by "&amp;TEXT(Work!$AF69-Work!$T69,"+0.00;-0.00")&amp;"; "))))&amp;IF(Work!$D69&lt;&gt;"Drift","",IF(Work!$BX69=1,"excluded from N drift fit; ",IF(Work!$CB69="","",IF(ABS(Work!$CB69)&gt;Setup!$B$27,"N drift monitor outlier; ",""))))&amp;IF(Work!$D69&lt;&gt;"Drift","",IF(Work!$BY69=1,"excluded from C drift fit; ",IF(Work!$CC69="","",IF(ABS(Work!$CC69)&gt;Setup!$B$27,"C drift monitor outlier; ",""))))&amp;IF(Work!$D69="Blank","",IF(Work!$L69="","",IF(Setup!$B$25="","",IF(Fits!$B$6&lt;=0,"",IF(Work!$L69&gt;=Fits!$B$6*Setup!$B$25,"","N peak only "&amp;TEXT(Work!$L69/Fits!$B$6,"0.0")&amp;"x the blank; ")))))&amp;IF(Work!$D69="Blank","",IF(Work!$P69="","",IF(Setup!$B$25="","",IF(Fits!$B$10&lt;=0,"",IF(Work!$P69&gt;=Fits!$B$10*Setup!$B$25,"","C peak only "&amp;TEXT(Work!$P69/Fits!$B$10,"0.0")&amp;"x the blank; ")))))&amp;IF(Work!$A69&gt;=Fits!$B$86,"","ran before the background settled; ")&amp;IF(Work!$EN69=1,"possible carryover from an oversized sample; ",""))</f>
        <v/>
      </c>
      <c r="L68" s="26" t="str">
        <f aca="false">IF(Work!$CN69="","",Work!$CN69)</f>
        <v/>
      </c>
      <c r="M68" s="26" t="str">
        <f aca="false">IF(Work!$CO69="","",Work!$CO69)</f>
        <v/>
      </c>
      <c r="N68" s="26" t="str">
        <f aca="false">IF(Work!$CL69="","",Work!$CL69)</f>
        <v/>
      </c>
      <c r="O68" s="26" t="str">
        <f aca="false">IF(Work!$CM69="","",Work!$CM69)</f>
        <v/>
      </c>
    </row>
    <row r="69" customFormat="false" ht="15" hidden="false" customHeight="false" outlineLevel="0" collapsed="false">
      <c r="A69" s="8" t="str">
        <f aca="false">IF(Work!$B70="","",Work!$A70)</f>
        <v/>
      </c>
      <c r="B69" s="8" t="str">
        <f aca="false">IF(Work!$B70="","",Work!$B70)</f>
        <v/>
      </c>
      <c r="C69" s="8" t="str">
        <f aca="false">IF(Work!$B70="","",Work!$D70)</f>
        <v/>
      </c>
      <c r="D69" s="16" t="str">
        <f aca="false">IF(Work!$G70="","",Work!$G70)</f>
        <v/>
      </c>
      <c r="E69" s="23" t="str">
        <f aca="false">IF(Work!$AJ70="","",Work!$AJ70)</f>
        <v/>
      </c>
      <c r="F69" s="23" t="str">
        <f aca="false">IF(Work!$AI70="","",Work!$AI70)</f>
        <v/>
      </c>
      <c r="G69" s="23" t="str">
        <f aca="false">IF(Work!$AK70="","",Work!$AK70)</f>
        <v/>
      </c>
      <c r="H69" s="23" t="str">
        <f aca="false">IF(Work!$AL70="","",Work!$AL70)</f>
        <v/>
      </c>
      <c r="I69" s="23" t="str">
        <f aca="false">IF(Work!$AF70="","",Work!$AF70)</f>
        <v/>
      </c>
      <c r="J69" s="23" t="str">
        <f aca="false">IF(Work!$AA70="","",Work!$AA70)</f>
        <v/>
      </c>
      <c r="K69" s="8" t="str">
        <f aca="false">IF(Work!$B70="","",IF(Work!$L70="","no N peak; ","")&amp;IF(Work!$P70="","no C peak; ","")&amp;IF(Work!$L70="","",IF(Fits!$B$81&lt;=0,"",IF(Work!$L70&lt;Fits!$B$81,"N below linearity range; ",IF(Fits!$B$97&lt;=0,"",IF(Work!$L70&gt;Fits!$B$97,"N above linearity range; ","")))))&amp;IF(Work!$P70="","",IF(Fits!$B$82&lt;=0,"",IF(Work!$P70&lt;Fits!$B$82,"C below linearity range; ",IF(Fits!$B$104&lt;=0,"",IF(Work!$P70&gt;Fits!$B$104,"C above linearity range; ","")))))&amp;IF(OR(Work!$D70="Sample",Work!$D70="Check"),IF(Work!$AA70="","",IF(Fits!$B$138="","",IF(AND(Work!$AA70&gt;=Fits!$B$138,Work!$AA70&lt;=Fits!$B$139),"","d15N outside anchor range; "))),"")&amp;IF(OR(Work!$D70="Sample",Work!$D70="Check"),IF(Work!$AF70="","",IF(Fits!$B$158="","",IF(AND(Work!$AF70&gt;=Fits!$B$158,Work!$AF70&lt;=Fits!$B$159),"","d13C outside anchor range; "))),"")&amp;IF(Work!$D70&lt;&gt;"Check","",IF(Work!$AA70="","",IF(Work!$S70="","",IF(ABS(Work!$AA70-Work!$S70)&lt;=Setup!$B$20,"","check d15N off by "&amp;TEXT(Work!$AA70-Work!$S70,"+0.00;-0.00")&amp;"; "))))&amp;IF(Work!$D70&lt;&gt;"Check","",IF(Work!$AF70="","",IF(Work!$T70="","",IF(ABS(Work!$AF70-Work!$T70)&lt;=Setup!$B$20,"","check d13C off by "&amp;TEXT(Work!$AF70-Work!$T70,"+0.00;-0.00")&amp;"; "))))&amp;IF(Work!$D70&lt;&gt;"Drift","",IF(Work!$BX70=1,"excluded from N drift fit; ",IF(Work!$CB70="","",IF(ABS(Work!$CB70)&gt;Setup!$B$27,"N drift monitor outlier; ",""))))&amp;IF(Work!$D70&lt;&gt;"Drift","",IF(Work!$BY70=1,"excluded from C drift fit; ",IF(Work!$CC70="","",IF(ABS(Work!$CC70)&gt;Setup!$B$27,"C drift monitor outlier; ",""))))&amp;IF(Work!$D70="Blank","",IF(Work!$L70="","",IF(Setup!$B$25="","",IF(Fits!$B$6&lt;=0,"",IF(Work!$L70&gt;=Fits!$B$6*Setup!$B$25,"","N peak only "&amp;TEXT(Work!$L70/Fits!$B$6,"0.0")&amp;"x the blank; ")))))&amp;IF(Work!$D70="Blank","",IF(Work!$P70="","",IF(Setup!$B$25="","",IF(Fits!$B$10&lt;=0,"",IF(Work!$P70&gt;=Fits!$B$10*Setup!$B$25,"","C peak only "&amp;TEXT(Work!$P70/Fits!$B$10,"0.0")&amp;"x the blank; ")))))&amp;IF(Work!$A70&gt;=Fits!$B$86,"","ran before the background settled; ")&amp;IF(Work!$EN70=1,"possible carryover from an oversized sample; ",""))</f>
        <v/>
      </c>
      <c r="L69" s="26" t="str">
        <f aca="false">IF(Work!$CN70="","",Work!$CN70)</f>
        <v/>
      </c>
      <c r="M69" s="26" t="str">
        <f aca="false">IF(Work!$CO70="","",Work!$CO70)</f>
        <v/>
      </c>
      <c r="N69" s="26" t="str">
        <f aca="false">IF(Work!$CL70="","",Work!$CL70)</f>
        <v/>
      </c>
      <c r="O69" s="26" t="str">
        <f aca="false">IF(Work!$CM70="","",Work!$CM70)</f>
        <v/>
      </c>
    </row>
    <row r="70" customFormat="false" ht="15" hidden="false" customHeight="false" outlineLevel="0" collapsed="false">
      <c r="A70" s="8" t="str">
        <f aca="false">IF(Work!$B71="","",Work!$A71)</f>
        <v/>
      </c>
      <c r="B70" s="8" t="str">
        <f aca="false">IF(Work!$B71="","",Work!$B71)</f>
        <v/>
      </c>
      <c r="C70" s="8" t="str">
        <f aca="false">IF(Work!$B71="","",Work!$D71)</f>
        <v/>
      </c>
      <c r="D70" s="16" t="str">
        <f aca="false">IF(Work!$G71="","",Work!$G71)</f>
        <v/>
      </c>
      <c r="E70" s="23" t="str">
        <f aca="false">IF(Work!$AJ71="","",Work!$AJ71)</f>
        <v/>
      </c>
      <c r="F70" s="23" t="str">
        <f aca="false">IF(Work!$AI71="","",Work!$AI71)</f>
        <v/>
      </c>
      <c r="G70" s="23" t="str">
        <f aca="false">IF(Work!$AK71="","",Work!$AK71)</f>
        <v/>
      </c>
      <c r="H70" s="23" t="str">
        <f aca="false">IF(Work!$AL71="","",Work!$AL71)</f>
        <v/>
      </c>
      <c r="I70" s="23" t="str">
        <f aca="false">IF(Work!$AF71="","",Work!$AF71)</f>
        <v/>
      </c>
      <c r="J70" s="23" t="str">
        <f aca="false">IF(Work!$AA71="","",Work!$AA71)</f>
        <v/>
      </c>
      <c r="K70" s="8" t="str">
        <f aca="false">IF(Work!$B71="","",IF(Work!$L71="","no N peak; ","")&amp;IF(Work!$P71="","no C peak; ","")&amp;IF(Work!$L71="","",IF(Fits!$B$81&lt;=0,"",IF(Work!$L71&lt;Fits!$B$81,"N below linearity range; ",IF(Fits!$B$97&lt;=0,"",IF(Work!$L71&gt;Fits!$B$97,"N above linearity range; ","")))))&amp;IF(Work!$P71="","",IF(Fits!$B$82&lt;=0,"",IF(Work!$P71&lt;Fits!$B$82,"C below linearity range; ",IF(Fits!$B$104&lt;=0,"",IF(Work!$P71&gt;Fits!$B$104,"C above linearity range; ","")))))&amp;IF(OR(Work!$D71="Sample",Work!$D71="Check"),IF(Work!$AA71="","",IF(Fits!$B$138="","",IF(AND(Work!$AA71&gt;=Fits!$B$138,Work!$AA71&lt;=Fits!$B$139),"","d15N outside anchor range; "))),"")&amp;IF(OR(Work!$D71="Sample",Work!$D71="Check"),IF(Work!$AF71="","",IF(Fits!$B$158="","",IF(AND(Work!$AF71&gt;=Fits!$B$158,Work!$AF71&lt;=Fits!$B$159),"","d13C outside anchor range; "))),"")&amp;IF(Work!$D71&lt;&gt;"Check","",IF(Work!$AA71="","",IF(Work!$S71="","",IF(ABS(Work!$AA71-Work!$S71)&lt;=Setup!$B$20,"","check d15N off by "&amp;TEXT(Work!$AA71-Work!$S71,"+0.00;-0.00")&amp;"; "))))&amp;IF(Work!$D71&lt;&gt;"Check","",IF(Work!$AF71="","",IF(Work!$T71="","",IF(ABS(Work!$AF71-Work!$T71)&lt;=Setup!$B$20,"","check d13C off by "&amp;TEXT(Work!$AF71-Work!$T71,"+0.00;-0.00")&amp;"; "))))&amp;IF(Work!$D71&lt;&gt;"Drift","",IF(Work!$BX71=1,"excluded from N drift fit; ",IF(Work!$CB71="","",IF(ABS(Work!$CB71)&gt;Setup!$B$27,"N drift monitor outlier; ",""))))&amp;IF(Work!$D71&lt;&gt;"Drift","",IF(Work!$BY71=1,"excluded from C drift fit; ",IF(Work!$CC71="","",IF(ABS(Work!$CC71)&gt;Setup!$B$27,"C drift monitor outlier; ",""))))&amp;IF(Work!$D71="Blank","",IF(Work!$L71="","",IF(Setup!$B$25="","",IF(Fits!$B$6&lt;=0,"",IF(Work!$L71&gt;=Fits!$B$6*Setup!$B$25,"","N peak only "&amp;TEXT(Work!$L71/Fits!$B$6,"0.0")&amp;"x the blank; ")))))&amp;IF(Work!$D71="Blank","",IF(Work!$P71="","",IF(Setup!$B$25="","",IF(Fits!$B$10&lt;=0,"",IF(Work!$P71&gt;=Fits!$B$10*Setup!$B$25,"","C peak only "&amp;TEXT(Work!$P71/Fits!$B$10,"0.0")&amp;"x the blank; ")))))&amp;IF(Work!$A71&gt;=Fits!$B$86,"","ran before the background settled; ")&amp;IF(Work!$EN71=1,"possible carryover from an oversized sample; ",""))</f>
        <v/>
      </c>
      <c r="L70" s="26" t="str">
        <f aca="false">IF(Work!$CN71="","",Work!$CN71)</f>
        <v/>
      </c>
      <c r="M70" s="26" t="str">
        <f aca="false">IF(Work!$CO71="","",Work!$CO71)</f>
        <v/>
      </c>
      <c r="N70" s="26" t="str">
        <f aca="false">IF(Work!$CL71="","",Work!$CL71)</f>
        <v/>
      </c>
      <c r="O70" s="26" t="str">
        <f aca="false">IF(Work!$CM71="","",Work!$CM71)</f>
        <v/>
      </c>
    </row>
    <row r="71" customFormat="false" ht="15" hidden="false" customHeight="false" outlineLevel="0" collapsed="false">
      <c r="A71" s="8" t="str">
        <f aca="false">IF(Work!$B72="","",Work!$A72)</f>
        <v/>
      </c>
      <c r="B71" s="8" t="str">
        <f aca="false">IF(Work!$B72="","",Work!$B72)</f>
        <v/>
      </c>
      <c r="C71" s="8" t="str">
        <f aca="false">IF(Work!$B72="","",Work!$D72)</f>
        <v/>
      </c>
      <c r="D71" s="16" t="str">
        <f aca="false">IF(Work!$G72="","",Work!$G72)</f>
        <v/>
      </c>
      <c r="E71" s="23" t="str">
        <f aca="false">IF(Work!$AJ72="","",Work!$AJ72)</f>
        <v/>
      </c>
      <c r="F71" s="23" t="str">
        <f aca="false">IF(Work!$AI72="","",Work!$AI72)</f>
        <v/>
      </c>
      <c r="G71" s="23" t="str">
        <f aca="false">IF(Work!$AK72="","",Work!$AK72)</f>
        <v/>
      </c>
      <c r="H71" s="23" t="str">
        <f aca="false">IF(Work!$AL72="","",Work!$AL72)</f>
        <v/>
      </c>
      <c r="I71" s="23" t="str">
        <f aca="false">IF(Work!$AF72="","",Work!$AF72)</f>
        <v/>
      </c>
      <c r="J71" s="23" t="str">
        <f aca="false">IF(Work!$AA72="","",Work!$AA72)</f>
        <v/>
      </c>
      <c r="K71" s="8" t="str">
        <f aca="false">IF(Work!$B72="","",IF(Work!$L72="","no N peak; ","")&amp;IF(Work!$P72="","no C peak; ","")&amp;IF(Work!$L72="","",IF(Fits!$B$81&lt;=0,"",IF(Work!$L72&lt;Fits!$B$81,"N below linearity range; ",IF(Fits!$B$97&lt;=0,"",IF(Work!$L72&gt;Fits!$B$97,"N above linearity range; ","")))))&amp;IF(Work!$P72="","",IF(Fits!$B$82&lt;=0,"",IF(Work!$P72&lt;Fits!$B$82,"C below linearity range; ",IF(Fits!$B$104&lt;=0,"",IF(Work!$P72&gt;Fits!$B$104,"C above linearity range; ","")))))&amp;IF(OR(Work!$D72="Sample",Work!$D72="Check"),IF(Work!$AA72="","",IF(Fits!$B$138="","",IF(AND(Work!$AA72&gt;=Fits!$B$138,Work!$AA72&lt;=Fits!$B$139),"","d15N outside anchor range; "))),"")&amp;IF(OR(Work!$D72="Sample",Work!$D72="Check"),IF(Work!$AF72="","",IF(Fits!$B$158="","",IF(AND(Work!$AF72&gt;=Fits!$B$158,Work!$AF72&lt;=Fits!$B$159),"","d13C outside anchor range; "))),"")&amp;IF(Work!$D72&lt;&gt;"Check","",IF(Work!$AA72="","",IF(Work!$S72="","",IF(ABS(Work!$AA72-Work!$S72)&lt;=Setup!$B$20,"","check d15N off by "&amp;TEXT(Work!$AA72-Work!$S72,"+0.00;-0.00")&amp;"; "))))&amp;IF(Work!$D72&lt;&gt;"Check","",IF(Work!$AF72="","",IF(Work!$T72="","",IF(ABS(Work!$AF72-Work!$T72)&lt;=Setup!$B$20,"","check d13C off by "&amp;TEXT(Work!$AF72-Work!$T72,"+0.00;-0.00")&amp;"; "))))&amp;IF(Work!$D72&lt;&gt;"Drift","",IF(Work!$BX72=1,"excluded from N drift fit; ",IF(Work!$CB72="","",IF(ABS(Work!$CB72)&gt;Setup!$B$27,"N drift monitor outlier; ",""))))&amp;IF(Work!$D72&lt;&gt;"Drift","",IF(Work!$BY72=1,"excluded from C drift fit; ",IF(Work!$CC72="","",IF(ABS(Work!$CC72)&gt;Setup!$B$27,"C drift monitor outlier; ",""))))&amp;IF(Work!$D72="Blank","",IF(Work!$L72="","",IF(Setup!$B$25="","",IF(Fits!$B$6&lt;=0,"",IF(Work!$L72&gt;=Fits!$B$6*Setup!$B$25,"","N peak only "&amp;TEXT(Work!$L72/Fits!$B$6,"0.0")&amp;"x the blank; ")))))&amp;IF(Work!$D72="Blank","",IF(Work!$P72="","",IF(Setup!$B$25="","",IF(Fits!$B$10&lt;=0,"",IF(Work!$P72&gt;=Fits!$B$10*Setup!$B$25,"","C peak only "&amp;TEXT(Work!$P72/Fits!$B$10,"0.0")&amp;"x the blank; ")))))&amp;IF(Work!$A72&gt;=Fits!$B$86,"","ran before the background settled; ")&amp;IF(Work!$EN72=1,"possible carryover from an oversized sample; ",""))</f>
        <v/>
      </c>
      <c r="L71" s="26" t="str">
        <f aca="false">IF(Work!$CN72="","",Work!$CN72)</f>
        <v/>
      </c>
      <c r="M71" s="26" t="str">
        <f aca="false">IF(Work!$CO72="","",Work!$CO72)</f>
        <v/>
      </c>
      <c r="N71" s="26" t="str">
        <f aca="false">IF(Work!$CL72="","",Work!$CL72)</f>
        <v/>
      </c>
      <c r="O71" s="26" t="str">
        <f aca="false">IF(Work!$CM72="","",Work!$CM72)</f>
        <v/>
      </c>
    </row>
    <row r="72" customFormat="false" ht="15" hidden="false" customHeight="false" outlineLevel="0" collapsed="false">
      <c r="A72" s="8" t="str">
        <f aca="false">IF(Work!$B73="","",Work!$A73)</f>
        <v/>
      </c>
      <c r="B72" s="8" t="str">
        <f aca="false">IF(Work!$B73="","",Work!$B73)</f>
        <v/>
      </c>
      <c r="C72" s="8" t="str">
        <f aca="false">IF(Work!$B73="","",Work!$D73)</f>
        <v/>
      </c>
      <c r="D72" s="16" t="str">
        <f aca="false">IF(Work!$G73="","",Work!$G73)</f>
        <v/>
      </c>
      <c r="E72" s="23" t="str">
        <f aca="false">IF(Work!$AJ73="","",Work!$AJ73)</f>
        <v/>
      </c>
      <c r="F72" s="23" t="str">
        <f aca="false">IF(Work!$AI73="","",Work!$AI73)</f>
        <v/>
      </c>
      <c r="G72" s="23" t="str">
        <f aca="false">IF(Work!$AK73="","",Work!$AK73)</f>
        <v/>
      </c>
      <c r="H72" s="23" t="str">
        <f aca="false">IF(Work!$AL73="","",Work!$AL73)</f>
        <v/>
      </c>
      <c r="I72" s="23" t="str">
        <f aca="false">IF(Work!$AF73="","",Work!$AF73)</f>
        <v/>
      </c>
      <c r="J72" s="23" t="str">
        <f aca="false">IF(Work!$AA73="","",Work!$AA73)</f>
        <v/>
      </c>
      <c r="K72" s="8" t="str">
        <f aca="false">IF(Work!$B73="","",IF(Work!$L73="","no N peak; ","")&amp;IF(Work!$P73="","no C peak; ","")&amp;IF(Work!$L73="","",IF(Fits!$B$81&lt;=0,"",IF(Work!$L73&lt;Fits!$B$81,"N below linearity range; ",IF(Fits!$B$97&lt;=0,"",IF(Work!$L73&gt;Fits!$B$97,"N above linearity range; ","")))))&amp;IF(Work!$P73="","",IF(Fits!$B$82&lt;=0,"",IF(Work!$P73&lt;Fits!$B$82,"C below linearity range; ",IF(Fits!$B$104&lt;=0,"",IF(Work!$P73&gt;Fits!$B$104,"C above linearity range; ","")))))&amp;IF(OR(Work!$D73="Sample",Work!$D73="Check"),IF(Work!$AA73="","",IF(Fits!$B$138="","",IF(AND(Work!$AA73&gt;=Fits!$B$138,Work!$AA73&lt;=Fits!$B$139),"","d15N outside anchor range; "))),"")&amp;IF(OR(Work!$D73="Sample",Work!$D73="Check"),IF(Work!$AF73="","",IF(Fits!$B$158="","",IF(AND(Work!$AF73&gt;=Fits!$B$158,Work!$AF73&lt;=Fits!$B$159),"","d13C outside anchor range; "))),"")&amp;IF(Work!$D73&lt;&gt;"Check","",IF(Work!$AA73="","",IF(Work!$S73="","",IF(ABS(Work!$AA73-Work!$S73)&lt;=Setup!$B$20,"","check d15N off by "&amp;TEXT(Work!$AA73-Work!$S73,"+0.00;-0.00")&amp;"; "))))&amp;IF(Work!$D73&lt;&gt;"Check","",IF(Work!$AF73="","",IF(Work!$T73="","",IF(ABS(Work!$AF73-Work!$T73)&lt;=Setup!$B$20,"","check d13C off by "&amp;TEXT(Work!$AF73-Work!$T73,"+0.00;-0.00")&amp;"; "))))&amp;IF(Work!$D73&lt;&gt;"Drift","",IF(Work!$BX73=1,"excluded from N drift fit; ",IF(Work!$CB73="","",IF(ABS(Work!$CB73)&gt;Setup!$B$27,"N drift monitor outlier; ",""))))&amp;IF(Work!$D73&lt;&gt;"Drift","",IF(Work!$BY73=1,"excluded from C drift fit; ",IF(Work!$CC73="","",IF(ABS(Work!$CC73)&gt;Setup!$B$27,"C drift monitor outlier; ",""))))&amp;IF(Work!$D73="Blank","",IF(Work!$L73="","",IF(Setup!$B$25="","",IF(Fits!$B$6&lt;=0,"",IF(Work!$L73&gt;=Fits!$B$6*Setup!$B$25,"","N peak only "&amp;TEXT(Work!$L73/Fits!$B$6,"0.0")&amp;"x the blank; ")))))&amp;IF(Work!$D73="Blank","",IF(Work!$P73="","",IF(Setup!$B$25="","",IF(Fits!$B$10&lt;=0,"",IF(Work!$P73&gt;=Fits!$B$10*Setup!$B$25,"","C peak only "&amp;TEXT(Work!$P73/Fits!$B$10,"0.0")&amp;"x the blank; ")))))&amp;IF(Work!$A73&gt;=Fits!$B$86,"","ran before the background settled; ")&amp;IF(Work!$EN73=1,"possible carryover from an oversized sample; ",""))</f>
        <v/>
      </c>
      <c r="L72" s="26" t="str">
        <f aca="false">IF(Work!$CN73="","",Work!$CN73)</f>
        <v/>
      </c>
      <c r="M72" s="26" t="str">
        <f aca="false">IF(Work!$CO73="","",Work!$CO73)</f>
        <v/>
      </c>
      <c r="N72" s="26" t="str">
        <f aca="false">IF(Work!$CL73="","",Work!$CL73)</f>
        <v/>
      </c>
      <c r="O72" s="26" t="str">
        <f aca="false">IF(Work!$CM73="","",Work!$CM73)</f>
        <v/>
      </c>
    </row>
    <row r="73" customFormat="false" ht="15" hidden="false" customHeight="false" outlineLevel="0" collapsed="false">
      <c r="A73" s="8" t="str">
        <f aca="false">IF(Work!$B74="","",Work!$A74)</f>
        <v/>
      </c>
      <c r="B73" s="8" t="str">
        <f aca="false">IF(Work!$B74="","",Work!$B74)</f>
        <v/>
      </c>
      <c r="C73" s="8" t="str">
        <f aca="false">IF(Work!$B74="","",Work!$D74)</f>
        <v/>
      </c>
      <c r="D73" s="16" t="str">
        <f aca="false">IF(Work!$G74="","",Work!$G74)</f>
        <v/>
      </c>
      <c r="E73" s="23" t="str">
        <f aca="false">IF(Work!$AJ74="","",Work!$AJ74)</f>
        <v/>
      </c>
      <c r="F73" s="23" t="str">
        <f aca="false">IF(Work!$AI74="","",Work!$AI74)</f>
        <v/>
      </c>
      <c r="G73" s="23" t="str">
        <f aca="false">IF(Work!$AK74="","",Work!$AK74)</f>
        <v/>
      </c>
      <c r="H73" s="23" t="str">
        <f aca="false">IF(Work!$AL74="","",Work!$AL74)</f>
        <v/>
      </c>
      <c r="I73" s="23" t="str">
        <f aca="false">IF(Work!$AF74="","",Work!$AF74)</f>
        <v/>
      </c>
      <c r="J73" s="23" t="str">
        <f aca="false">IF(Work!$AA74="","",Work!$AA74)</f>
        <v/>
      </c>
      <c r="K73" s="8" t="str">
        <f aca="false">IF(Work!$B74="","",IF(Work!$L74="","no N peak; ","")&amp;IF(Work!$P74="","no C peak; ","")&amp;IF(Work!$L74="","",IF(Fits!$B$81&lt;=0,"",IF(Work!$L74&lt;Fits!$B$81,"N below linearity range; ",IF(Fits!$B$97&lt;=0,"",IF(Work!$L74&gt;Fits!$B$97,"N above linearity range; ","")))))&amp;IF(Work!$P74="","",IF(Fits!$B$82&lt;=0,"",IF(Work!$P74&lt;Fits!$B$82,"C below linearity range; ",IF(Fits!$B$104&lt;=0,"",IF(Work!$P74&gt;Fits!$B$104,"C above linearity range; ","")))))&amp;IF(OR(Work!$D74="Sample",Work!$D74="Check"),IF(Work!$AA74="","",IF(Fits!$B$138="","",IF(AND(Work!$AA74&gt;=Fits!$B$138,Work!$AA74&lt;=Fits!$B$139),"","d15N outside anchor range; "))),"")&amp;IF(OR(Work!$D74="Sample",Work!$D74="Check"),IF(Work!$AF74="","",IF(Fits!$B$158="","",IF(AND(Work!$AF74&gt;=Fits!$B$158,Work!$AF74&lt;=Fits!$B$159),"","d13C outside anchor range; "))),"")&amp;IF(Work!$D74&lt;&gt;"Check","",IF(Work!$AA74="","",IF(Work!$S74="","",IF(ABS(Work!$AA74-Work!$S74)&lt;=Setup!$B$20,"","check d15N off by "&amp;TEXT(Work!$AA74-Work!$S74,"+0.00;-0.00")&amp;"; "))))&amp;IF(Work!$D74&lt;&gt;"Check","",IF(Work!$AF74="","",IF(Work!$T74="","",IF(ABS(Work!$AF74-Work!$T74)&lt;=Setup!$B$20,"","check d13C off by "&amp;TEXT(Work!$AF74-Work!$T74,"+0.00;-0.00")&amp;"; "))))&amp;IF(Work!$D74&lt;&gt;"Drift","",IF(Work!$BX74=1,"excluded from N drift fit; ",IF(Work!$CB74="","",IF(ABS(Work!$CB74)&gt;Setup!$B$27,"N drift monitor outlier; ",""))))&amp;IF(Work!$D74&lt;&gt;"Drift","",IF(Work!$BY74=1,"excluded from C drift fit; ",IF(Work!$CC74="","",IF(ABS(Work!$CC74)&gt;Setup!$B$27,"C drift monitor outlier; ",""))))&amp;IF(Work!$D74="Blank","",IF(Work!$L74="","",IF(Setup!$B$25="","",IF(Fits!$B$6&lt;=0,"",IF(Work!$L74&gt;=Fits!$B$6*Setup!$B$25,"","N peak only "&amp;TEXT(Work!$L74/Fits!$B$6,"0.0")&amp;"x the blank; ")))))&amp;IF(Work!$D74="Blank","",IF(Work!$P74="","",IF(Setup!$B$25="","",IF(Fits!$B$10&lt;=0,"",IF(Work!$P74&gt;=Fits!$B$10*Setup!$B$25,"","C peak only "&amp;TEXT(Work!$P74/Fits!$B$10,"0.0")&amp;"x the blank; ")))))&amp;IF(Work!$A74&gt;=Fits!$B$86,"","ran before the background settled; ")&amp;IF(Work!$EN74=1,"possible carryover from an oversized sample; ",""))</f>
        <v/>
      </c>
      <c r="L73" s="26" t="str">
        <f aca="false">IF(Work!$CN74="","",Work!$CN74)</f>
        <v/>
      </c>
      <c r="M73" s="26" t="str">
        <f aca="false">IF(Work!$CO74="","",Work!$CO74)</f>
        <v/>
      </c>
      <c r="N73" s="26" t="str">
        <f aca="false">IF(Work!$CL74="","",Work!$CL74)</f>
        <v/>
      </c>
      <c r="O73" s="26" t="str">
        <f aca="false">IF(Work!$CM74="","",Work!$CM74)</f>
        <v/>
      </c>
    </row>
    <row r="74" customFormat="false" ht="15" hidden="false" customHeight="false" outlineLevel="0" collapsed="false">
      <c r="A74" s="8" t="str">
        <f aca="false">IF(Work!$B75="","",Work!$A75)</f>
        <v/>
      </c>
      <c r="B74" s="8" t="str">
        <f aca="false">IF(Work!$B75="","",Work!$B75)</f>
        <v/>
      </c>
      <c r="C74" s="8" t="str">
        <f aca="false">IF(Work!$B75="","",Work!$D75)</f>
        <v/>
      </c>
      <c r="D74" s="16" t="str">
        <f aca="false">IF(Work!$G75="","",Work!$G75)</f>
        <v/>
      </c>
      <c r="E74" s="23" t="str">
        <f aca="false">IF(Work!$AJ75="","",Work!$AJ75)</f>
        <v/>
      </c>
      <c r="F74" s="23" t="str">
        <f aca="false">IF(Work!$AI75="","",Work!$AI75)</f>
        <v/>
      </c>
      <c r="G74" s="23" t="str">
        <f aca="false">IF(Work!$AK75="","",Work!$AK75)</f>
        <v/>
      </c>
      <c r="H74" s="23" t="str">
        <f aca="false">IF(Work!$AL75="","",Work!$AL75)</f>
        <v/>
      </c>
      <c r="I74" s="23" t="str">
        <f aca="false">IF(Work!$AF75="","",Work!$AF75)</f>
        <v/>
      </c>
      <c r="J74" s="23" t="str">
        <f aca="false">IF(Work!$AA75="","",Work!$AA75)</f>
        <v/>
      </c>
      <c r="K74" s="8" t="str">
        <f aca="false">IF(Work!$B75="","",IF(Work!$L75="","no N peak; ","")&amp;IF(Work!$P75="","no C peak; ","")&amp;IF(Work!$L75="","",IF(Fits!$B$81&lt;=0,"",IF(Work!$L75&lt;Fits!$B$81,"N below linearity range; ",IF(Fits!$B$97&lt;=0,"",IF(Work!$L75&gt;Fits!$B$97,"N above linearity range; ","")))))&amp;IF(Work!$P75="","",IF(Fits!$B$82&lt;=0,"",IF(Work!$P75&lt;Fits!$B$82,"C below linearity range; ",IF(Fits!$B$104&lt;=0,"",IF(Work!$P75&gt;Fits!$B$104,"C above linearity range; ","")))))&amp;IF(OR(Work!$D75="Sample",Work!$D75="Check"),IF(Work!$AA75="","",IF(Fits!$B$138="","",IF(AND(Work!$AA75&gt;=Fits!$B$138,Work!$AA75&lt;=Fits!$B$139),"","d15N outside anchor range; "))),"")&amp;IF(OR(Work!$D75="Sample",Work!$D75="Check"),IF(Work!$AF75="","",IF(Fits!$B$158="","",IF(AND(Work!$AF75&gt;=Fits!$B$158,Work!$AF75&lt;=Fits!$B$159),"","d13C outside anchor range; "))),"")&amp;IF(Work!$D75&lt;&gt;"Check","",IF(Work!$AA75="","",IF(Work!$S75="","",IF(ABS(Work!$AA75-Work!$S75)&lt;=Setup!$B$20,"","check d15N off by "&amp;TEXT(Work!$AA75-Work!$S75,"+0.00;-0.00")&amp;"; "))))&amp;IF(Work!$D75&lt;&gt;"Check","",IF(Work!$AF75="","",IF(Work!$T75="","",IF(ABS(Work!$AF75-Work!$T75)&lt;=Setup!$B$20,"","check d13C off by "&amp;TEXT(Work!$AF75-Work!$T75,"+0.00;-0.00")&amp;"; "))))&amp;IF(Work!$D75&lt;&gt;"Drift","",IF(Work!$BX75=1,"excluded from N drift fit; ",IF(Work!$CB75="","",IF(ABS(Work!$CB75)&gt;Setup!$B$27,"N drift monitor outlier; ",""))))&amp;IF(Work!$D75&lt;&gt;"Drift","",IF(Work!$BY75=1,"excluded from C drift fit; ",IF(Work!$CC75="","",IF(ABS(Work!$CC75)&gt;Setup!$B$27,"C drift monitor outlier; ",""))))&amp;IF(Work!$D75="Blank","",IF(Work!$L75="","",IF(Setup!$B$25="","",IF(Fits!$B$6&lt;=0,"",IF(Work!$L75&gt;=Fits!$B$6*Setup!$B$25,"","N peak only "&amp;TEXT(Work!$L75/Fits!$B$6,"0.0")&amp;"x the blank; ")))))&amp;IF(Work!$D75="Blank","",IF(Work!$P75="","",IF(Setup!$B$25="","",IF(Fits!$B$10&lt;=0,"",IF(Work!$P75&gt;=Fits!$B$10*Setup!$B$25,"","C peak only "&amp;TEXT(Work!$P75/Fits!$B$10,"0.0")&amp;"x the blank; ")))))&amp;IF(Work!$A75&gt;=Fits!$B$86,"","ran before the background settled; ")&amp;IF(Work!$EN75=1,"possible carryover from an oversized sample; ",""))</f>
        <v/>
      </c>
      <c r="L74" s="26" t="str">
        <f aca="false">IF(Work!$CN75="","",Work!$CN75)</f>
        <v/>
      </c>
      <c r="M74" s="26" t="str">
        <f aca="false">IF(Work!$CO75="","",Work!$CO75)</f>
        <v/>
      </c>
      <c r="N74" s="26" t="str">
        <f aca="false">IF(Work!$CL75="","",Work!$CL75)</f>
        <v/>
      </c>
      <c r="O74" s="26" t="str">
        <f aca="false">IF(Work!$CM75="","",Work!$CM75)</f>
        <v/>
      </c>
    </row>
    <row r="75" customFormat="false" ht="15" hidden="false" customHeight="false" outlineLevel="0" collapsed="false">
      <c r="A75" s="8" t="str">
        <f aca="false">IF(Work!$B76="","",Work!$A76)</f>
        <v/>
      </c>
      <c r="B75" s="8" t="str">
        <f aca="false">IF(Work!$B76="","",Work!$B76)</f>
        <v/>
      </c>
      <c r="C75" s="8" t="str">
        <f aca="false">IF(Work!$B76="","",Work!$D76)</f>
        <v/>
      </c>
      <c r="D75" s="16" t="str">
        <f aca="false">IF(Work!$G76="","",Work!$G76)</f>
        <v/>
      </c>
      <c r="E75" s="23" t="str">
        <f aca="false">IF(Work!$AJ76="","",Work!$AJ76)</f>
        <v/>
      </c>
      <c r="F75" s="23" t="str">
        <f aca="false">IF(Work!$AI76="","",Work!$AI76)</f>
        <v/>
      </c>
      <c r="G75" s="23" t="str">
        <f aca="false">IF(Work!$AK76="","",Work!$AK76)</f>
        <v/>
      </c>
      <c r="H75" s="23" t="str">
        <f aca="false">IF(Work!$AL76="","",Work!$AL76)</f>
        <v/>
      </c>
      <c r="I75" s="23" t="str">
        <f aca="false">IF(Work!$AF76="","",Work!$AF76)</f>
        <v/>
      </c>
      <c r="J75" s="23" t="str">
        <f aca="false">IF(Work!$AA76="","",Work!$AA76)</f>
        <v/>
      </c>
      <c r="K75" s="8" t="str">
        <f aca="false">IF(Work!$B76="","",IF(Work!$L76="","no N peak; ","")&amp;IF(Work!$P76="","no C peak; ","")&amp;IF(Work!$L76="","",IF(Fits!$B$81&lt;=0,"",IF(Work!$L76&lt;Fits!$B$81,"N below linearity range; ",IF(Fits!$B$97&lt;=0,"",IF(Work!$L76&gt;Fits!$B$97,"N above linearity range; ","")))))&amp;IF(Work!$P76="","",IF(Fits!$B$82&lt;=0,"",IF(Work!$P76&lt;Fits!$B$82,"C below linearity range; ",IF(Fits!$B$104&lt;=0,"",IF(Work!$P76&gt;Fits!$B$104,"C above linearity range; ","")))))&amp;IF(OR(Work!$D76="Sample",Work!$D76="Check"),IF(Work!$AA76="","",IF(Fits!$B$138="","",IF(AND(Work!$AA76&gt;=Fits!$B$138,Work!$AA76&lt;=Fits!$B$139),"","d15N outside anchor range; "))),"")&amp;IF(OR(Work!$D76="Sample",Work!$D76="Check"),IF(Work!$AF76="","",IF(Fits!$B$158="","",IF(AND(Work!$AF76&gt;=Fits!$B$158,Work!$AF76&lt;=Fits!$B$159),"","d13C outside anchor range; "))),"")&amp;IF(Work!$D76&lt;&gt;"Check","",IF(Work!$AA76="","",IF(Work!$S76="","",IF(ABS(Work!$AA76-Work!$S76)&lt;=Setup!$B$20,"","check d15N off by "&amp;TEXT(Work!$AA76-Work!$S76,"+0.00;-0.00")&amp;"; "))))&amp;IF(Work!$D76&lt;&gt;"Check","",IF(Work!$AF76="","",IF(Work!$T76="","",IF(ABS(Work!$AF76-Work!$T76)&lt;=Setup!$B$20,"","check d13C off by "&amp;TEXT(Work!$AF76-Work!$T76,"+0.00;-0.00")&amp;"; "))))&amp;IF(Work!$D76&lt;&gt;"Drift","",IF(Work!$BX76=1,"excluded from N drift fit; ",IF(Work!$CB76="","",IF(ABS(Work!$CB76)&gt;Setup!$B$27,"N drift monitor outlier; ",""))))&amp;IF(Work!$D76&lt;&gt;"Drift","",IF(Work!$BY76=1,"excluded from C drift fit; ",IF(Work!$CC76="","",IF(ABS(Work!$CC76)&gt;Setup!$B$27,"C drift monitor outlier; ",""))))&amp;IF(Work!$D76="Blank","",IF(Work!$L76="","",IF(Setup!$B$25="","",IF(Fits!$B$6&lt;=0,"",IF(Work!$L76&gt;=Fits!$B$6*Setup!$B$25,"","N peak only "&amp;TEXT(Work!$L76/Fits!$B$6,"0.0")&amp;"x the blank; ")))))&amp;IF(Work!$D76="Blank","",IF(Work!$P76="","",IF(Setup!$B$25="","",IF(Fits!$B$10&lt;=0,"",IF(Work!$P76&gt;=Fits!$B$10*Setup!$B$25,"","C peak only "&amp;TEXT(Work!$P76/Fits!$B$10,"0.0")&amp;"x the blank; ")))))&amp;IF(Work!$A76&gt;=Fits!$B$86,"","ran before the background settled; ")&amp;IF(Work!$EN76=1,"possible carryover from an oversized sample; ",""))</f>
        <v/>
      </c>
      <c r="L75" s="26" t="str">
        <f aca="false">IF(Work!$CN76="","",Work!$CN76)</f>
        <v/>
      </c>
      <c r="M75" s="26" t="str">
        <f aca="false">IF(Work!$CO76="","",Work!$CO76)</f>
        <v/>
      </c>
      <c r="N75" s="26" t="str">
        <f aca="false">IF(Work!$CL76="","",Work!$CL76)</f>
        <v/>
      </c>
      <c r="O75" s="26" t="str">
        <f aca="false">IF(Work!$CM76="","",Work!$CM76)</f>
        <v/>
      </c>
    </row>
    <row r="76" customFormat="false" ht="15" hidden="false" customHeight="false" outlineLevel="0" collapsed="false">
      <c r="A76" s="8" t="str">
        <f aca="false">IF(Work!$B77="","",Work!$A77)</f>
        <v/>
      </c>
      <c r="B76" s="8" t="str">
        <f aca="false">IF(Work!$B77="","",Work!$B77)</f>
        <v/>
      </c>
      <c r="C76" s="8" t="str">
        <f aca="false">IF(Work!$B77="","",Work!$D77)</f>
        <v/>
      </c>
      <c r="D76" s="16" t="str">
        <f aca="false">IF(Work!$G77="","",Work!$G77)</f>
        <v/>
      </c>
      <c r="E76" s="23" t="str">
        <f aca="false">IF(Work!$AJ77="","",Work!$AJ77)</f>
        <v/>
      </c>
      <c r="F76" s="23" t="str">
        <f aca="false">IF(Work!$AI77="","",Work!$AI77)</f>
        <v/>
      </c>
      <c r="G76" s="23" t="str">
        <f aca="false">IF(Work!$AK77="","",Work!$AK77)</f>
        <v/>
      </c>
      <c r="H76" s="23" t="str">
        <f aca="false">IF(Work!$AL77="","",Work!$AL77)</f>
        <v/>
      </c>
      <c r="I76" s="23" t="str">
        <f aca="false">IF(Work!$AF77="","",Work!$AF77)</f>
        <v/>
      </c>
      <c r="J76" s="23" t="str">
        <f aca="false">IF(Work!$AA77="","",Work!$AA77)</f>
        <v/>
      </c>
      <c r="K76" s="8" t="str">
        <f aca="false">IF(Work!$B77="","",IF(Work!$L77="","no N peak; ","")&amp;IF(Work!$P77="","no C peak; ","")&amp;IF(Work!$L77="","",IF(Fits!$B$81&lt;=0,"",IF(Work!$L77&lt;Fits!$B$81,"N below linearity range; ",IF(Fits!$B$97&lt;=0,"",IF(Work!$L77&gt;Fits!$B$97,"N above linearity range; ","")))))&amp;IF(Work!$P77="","",IF(Fits!$B$82&lt;=0,"",IF(Work!$P77&lt;Fits!$B$82,"C below linearity range; ",IF(Fits!$B$104&lt;=0,"",IF(Work!$P77&gt;Fits!$B$104,"C above linearity range; ","")))))&amp;IF(OR(Work!$D77="Sample",Work!$D77="Check"),IF(Work!$AA77="","",IF(Fits!$B$138="","",IF(AND(Work!$AA77&gt;=Fits!$B$138,Work!$AA77&lt;=Fits!$B$139),"","d15N outside anchor range; "))),"")&amp;IF(OR(Work!$D77="Sample",Work!$D77="Check"),IF(Work!$AF77="","",IF(Fits!$B$158="","",IF(AND(Work!$AF77&gt;=Fits!$B$158,Work!$AF77&lt;=Fits!$B$159),"","d13C outside anchor range; "))),"")&amp;IF(Work!$D77&lt;&gt;"Check","",IF(Work!$AA77="","",IF(Work!$S77="","",IF(ABS(Work!$AA77-Work!$S77)&lt;=Setup!$B$20,"","check d15N off by "&amp;TEXT(Work!$AA77-Work!$S77,"+0.00;-0.00")&amp;"; "))))&amp;IF(Work!$D77&lt;&gt;"Check","",IF(Work!$AF77="","",IF(Work!$T77="","",IF(ABS(Work!$AF77-Work!$T77)&lt;=Setup!$B$20,"","check d13C off by "&amp;TEXT(Work!$AF77-Work!$T77,"+0.00;-0.00")&amp;"; "))))&amp;IF(Work!$D77&lt;&gt;"Drift","",IF(Work!$BX77=1,"excluded from N drift fit; ",IF(Work!$CB77="","",IF(ABS(Work!$CB77)&gt;Setup!$B$27,"N drift monitor outlier; ",""))))&amp;IF(Work!$D77&lt;&gt;"Drift","",IF(Work!$BY77=1,"excluded from C drift fit; ",IF(Work!$CC77="","",IF(ABS(Work!$CC77)&gt;Setup!$B$27,"C drift monitor outlier; ",""))))&amp;IF(Work!$D77="Blank","",IF(Work!$L77="","",IF(Setup!$B$25="","",IF(Fits!$B$6&lt;=0,"",IF(Work!$L77&gt;=Fits!$B$6*Setup!$B$25,"","N peak only "&amp;TEXT(Work!$L77/Fits!$B$6,"0.0")&amp;"x the blank; ")))))&amp;IF(Work!$D77="Blank","",IF(Work!$P77="","",IF(Setup!$B$25="","",IF(Fits!$B$10&lt;=0,"",IF(Work!$P77&gt;=Fits!$B$10*Setup!$B$25,"","C peak only "&amp;TEXT(Work!$P77/Fits!$B$10,"0.0")&amp;"x the blank; ")))))&amp;IF(Work!$A77&gt;=Fits!$B$86,"","ran before the background settled; ")&amp;IF(Work!$EN77=1,"possible carryover from an oversized sample; ",""))</f>
        <v/>
      </c>
      <c r="L76" s="26" t="str">
        <f aca="false">IF(Work!$CN77="","",Work!$CN77)</f>
        <v/>
      </c>
      <c r="M76" s="26" t="str">
        <f aca="false">IF(Work!$CO77="","",Work!$CO77)</f>
        <v/>
      </c>
      <c r="N76" s="26" t="str">
        <f aca="false">IF(Work!$CL77="","",Work!$CL77)</f>
        <v/>
      </c>
      <c r="O76" s="26" t="str">
        <f aca="false">IF(Work!$CM77="","",Work!$CM77)</f>
        <v/>
      </c>
    </row>
    <row r="77" customFormat="false" ht="15" hidden="false" customHeight="false" outlineLevel="0" collapsed="false">
      <c r="A77" s="8" t="str">
        <f aca="false">IF(Work!$B78="","",Work!$A78)</f>
        <v/>
      </c>
      <c r="B77" s="8" t="str">
        <f aca="false">IF(Work!$B78="","",Work!$B78)</f>
        <v/>
      </c>
      <c r="C77" s="8" t="str">
        <f aca="false">IF(Work!$B78="","",Work!$D78)</f>
        <v/>
      </c>
      <c r="D77" s="16" t="str">
        <f aca="false">IF(Work!$G78="","",Work!$G78)</f>
        <v/>
      </c>
      <c r="E77" s="23" t="str">
        <f aca="false">IF(Work!$AJ78="","",Work!$AJ78)</f>
        <v/>
      </c>
      <c r="F77" s="23" t="str">
        <f aca="false">IF(Work!$AI78="","",Work!$AI78)</f>
        <v/>
      </c>
      <c r="G77" s="23" t="str">
        <f aca="false">IF(Work!$AK78="","",Work!$AK78)</f>
        <v/>
      </c>
      <c r="H77" s="23" t="str">
        <f aca="false">IF(Work!$AL78="","",Work!$AL78)</f>
        <v/>
      </c>
      <c r="I77" s="23" t="str">
        <f aca="false">IF(Work!$AF78="","",Work!$AF78)</f>
        <v/>
      </c>
      <c r="J77" s="23" t="str">
        <f aca="false">IF(Work!$AA78="","",Work!$AA78)</f>
        <v/>
      </c>
      <c r="K77" s="8" t="str">
        <f aca="false">IF(Work!$B78="","",IF(Work!$L78="","no N peak; ","")&amp;IF(Work!$P78="","no C peak; ","")&amp;IF(Work!$L78="","",IF(Fits!$B$81&lt;=0,"",IF(Work!$L78&lt;Fits!$B$81,"N below linearity range; ",IF(Fits!$B$97&lt;=0,"",IF(Work!$L78&gt;Fits!$B$97,"N above linearity range; ","")))))&amp;IF(Work!$P78="","",IF(Fits!$B$82&lt;=0,"",IF(Work!$P78&lt;Fits!$B$82,"C below linearity range; ",IF(Fits!$B$104&lt;=0,"",IF(Work!$P78&gt;Fits!$B$104,"C above linearity range; ","")))))&amp;IF(OR(Work!$D78="Sample",Work!$D78="Check"),IF(Work!$AA78="","",IF(Fits!$B$138="","",IF(AND(Work!$AA78&gt;=Fits!$B$138,Work!$AA78&lt;=Fits!$B$139),"","d15N outside anchor range; "))),"")&amp;IF(OR(Work!$D78="Sample",Work!$D78="Check"),IF(Work!$AF78="","",IF(Fits!$B$158="","",IF(AND(Work!$AF78&gt;=Fits!$B$158,Work!$AF78&lt;=Fits!$B$159),"","d13C outside anchor range; "))),"")&amp;IF(Work!$D78&lt;&gt;"Check","",IF(Work!$AA78="","",IF(Work!$S78="","",IF(ABS(Work!$AA78-Work!$S78)&lt;=Setup!$B$20,"","check d15N off by "&amp;TEXT(Work!$AA78-Work!$S78,"+0.00;-0.00")&amp;"; "))))&amp;IF(Work!$D78&lt;&gt;"Check","",IF(Work!$AF78="","",IF(Work!$T78="","",IF(ABS(Work!$AF78-Work!$T78)&lt;=Setup!$B$20,"","check d13C off by "&amp;TEXT(Work!$AF78-Work!$T78,"+0.00;-0.00")&amp;"; "))))&amp;IF(Work!$D78&lt;&gt;"Drift","",IF(Work!$BX78=1,"excluded from N drift fit; ",IF(Work!$CB78="","",IF(ABS(Work!$CB78)&gt;Setup!$B$27,"N drift monitor outlier; ",""))))&amp;IF(Work!$D78&lt;&gt;"Drift","",IF(Work!$BY78=1,"excluded from C drift fit; ",IF(Work!$CC78="","",IF(ABS(Work!$CC78)&gt;Setup!$B$27,"C drift monitor outlier; ",""))))&amp;IF(Work!$D78="Blank","",IF(Work!$L78="","",IF(Setup!$B$25="","",IF(Fits!$B$6&lt;=0,"",IF(Work!$L78&gt;=Fits!$B$6*Setup!$B$25,"","N peak only "&amp;TEXT(Work!$L78/Fits!$B$6,"0.0")&amp;"x the blank; ")))))&amp;IF(Work!$D78="Blank","",IF(Work!$P78="","",IF(Setup!$B$25="","",IF(Fits!$B$10&lt;=0,"",IF(Work!$P78&gt;=Fits!$B$10*Setup!$B$25,"","C peak only "&amp;TEXT(Work!$P78/Fits!$B$10,"0.0")&amp;"x the blank; ")))))&amp;IF(Work!$A78&gt;=Fits!$B$86,"","ran before the background settled; ")&amp;IF(Work!$EN78=1,"possible carryover from an oversized sample; ",""))</f>
        <v/>
      </c>
      <c r="L77" s="26" t="str">
        <f aca="false">IF(Work!$CN78="","",Work!$CN78)</f>
        <v/>
      </c>
      <c r="M77" s="26" t="str">
        <f aca="false">IF(Work!$CO78="","",Work!$CO78)</f>
        <v/>
      </c>
      <c r="N77" s="26" t="str">
        <f aca="false">IF(Work!$CL78="","",Work!$CL78)</f>
        <v/>
      </c>
      <c r="O77" s="26" t="str">
        <f aca="false">IF(Work!$CM78="","",Work!$CM78)</f>
        <v/>
      </c>
    </row>
    <row r="78" customFormat="false" ht="15" hidden="false" customHeight="false" outlineLevel="0" collapsed="false">
      <c r="A78" s="8" t="str">
        <f aca="false">IF(Work!$B79="","",Work!$A79)</f>
        <v/>
      </c>
      <c r="B78" s="8" t="str">
        <f aca="false">IF(Work!$B79="","",Work!$B79)</f>
        <v/>
      </c>
      <c r="C78" s="8" t="str">
        <f aca="false">IF(Work!$B79="","",Work!$D79)</f>
        <v/>
      </c>
      <c r="D78" s="16" t="str">
        <f aca="false">IF(Work!$G79="","",Work!$G79)</f>
        <v/>
      </c>
      <c r="E78" s="23" t="str">
        <f aca="false">IF(Work!$AJ79="","",Work!$AJ79)</f>
        <v/>
      </c>
      <c r="F78" s="23" t="str">
        <f aca="false">IF(Work!$AI79="","",Work!$AI79)</f>
        <v/>
      </c>
      <c r="G78" s="23" t="str">
        <f aca="false">IF(Work!$AK79="","",Work!$AK79)</f>
        <v/>
      </c>
      <c r="H78" s="23" t="str">
        <f aca="false">IF(Work!$AL79="","",Work!$AL79)</f>
        <v/>
      </c>
      <c r="I78" s="23" t="str">
        <f aca="false">IF(Work!$AF79="","",Work!$AF79)</f>
        <v/>
      </c>
      <c r="J78" s="23" t="str">
        <f aca="false">IF(Work!$AA79="","",Work!$AA79)</f>
        <v/>
      </c>
      <c r="K78" s="8" t="str">
        <f aca="false">IF(Work!$B79="","",IF(Work!$L79="","no N peak; ","")&amp;IF(Work!$P79="","no C peak; ","")&amp;IF(Work!$L79="","",IF(Fits!$B$81&lt;=0,"",IF(Work!$L79&lt;Fits!$B$81,"N below linearity range; ",IF(Fits!$B$97&lt;=0,"",IF(Work!$L79&gt;Fits!$B$97,"N above linearity range; ","")))))&amp;IF(Work!$P79="","",IF(Fits!$B$82&lt;=0,"",IF(Work!$P79&lt;Fits!$B$82,"C below linearity range; ",IF(Fits!$B$104&lt;=0,"",IF(Work!$P79&gt;Fits!$B$104,"C above linearity range; ","")))))&amp;IF(OR(Work!$D79="Sample",Work!$D79="Check"),IF(Work!$AA79="","",IF(Fits!$B$138="","",IF(AND(Work!$AA79&gt;=Fits!$B$138,Work!$AA79&lt;=Fits!$B$139),"","d15N outside anchor range; "))),"")&amp;IF(OR(Work!$D79="Sample",Work!$D79="Check"),IF(Work!$AF79="","",IF(Fits!$B$158="","",IF(AND(Work!$AF79&gt;=Fits!$B$158,Work!$AF79&lt;=Fits!$B$159),"","d13C outside anchor range; "))),"")&amp;IF(Work!$D79&lt;&gt;"Check","",IF(Work!$AA79="","",IF(Work!$S79="","",IF(ABS(Work!$AA79-Work!$S79)&lt;=Setup!$B$20,"","check d15N off by "&amp;TEXT(Work!$AA79-Work!$S79,"+0.00;-0.00")&amp;"; "))))&amp;IF(Work!$D79&lt;&gt;"Check","",IF(Work!$AF79="","",IF(Work!$T79="","",IF(ABS(Work!$AF79-Work!$T79)&lt;=Setup!$B$20,"","check d13C off by "&amp;TEXT(Work!$AF79-Work!$T79,"+0.00;-0.00")&amp;"; "))))&amp;IF(Work!$D79&lt;&gt;"Drift","",IF(Work!$BX79=1,"excluded from N drift fit; ",IF(Work!$CB79="","",IF(ABS(Work!$CB79)&gt;Setup!$B$27,"N drift monitor outlier; ",""))))&amp;IF(Work!$D79&lt;&gt;"Drift","",IF(Work!$BY79=1,"excluded from C drift fit; ",IF(Work!$CC79="","",IF(ABS(Work!$CC79)&gt;Setup!$B$27,"C drift monitor outlier; ",""))))&amp;IF(Work!$D79="Blank","",IF(Work!$L79="","",IF(Setup!$B$25="","",IF(Fits!$B$6&lt;=0,"",IF(Work!$L79&gt;=Fits!$B$6*Setup!$B$25,"","N peak only "&amp;TEXT(Work!$L79/Fits!$B$6,"0.0")&amp;"x the blank; ")))))&amp;IF(Work!$D79="Blank","",IF(Work!$P79="","",IF(Setup!$B$25="","",IF(Fits!$B$10&lt;=0,"",IF(Work!$P79&gt;=Fits!$B$10*Setup!$B$25,"","C peak only "&amp;TEXT(Work!$P79/Fits!$B$10,"0.0")&amp;"x the blank; ")))))&amp;IF(Work!$A79&gt;=Fits!$B$86,"","ran before the background settled; ")&amp;IF(Work!$EN79=1,"possible carryover from an oversized sample; ",""))</f>
        <v/>
      </c>
      <c r="L78" s="26" t="str">
        <f aca="false">IF(Work!$CN79="","",Work!$CN79)</f>
        <v/>
      </c>
      <c r="M78" s="26" t="str">
        <f aca="false">IF(Work!$CO79="","",Work!$CO79)</f>
        <v/>
      </c>
      <c r="N78" s="26" t="str">
        <f aca="false">IF(Work!$CL79="","",Work!$CL79)</f>
        <v/>
      </c>
      <c r="O78" s="26" t="str">
        <f aca="false">IF(Work!$CM79="","",Work!$CM79)</f>
        <v/>
      </c>
    </row>
    <row r="79" customFormat="false" ht="15" hidden="false" customHeight="false" outlineLevel="0" collapsed="false">
      <c r="A79" s="8" t="str">
        <f aca="false">IF(Work!$B80="","",Work!$A80)</f>
        <v/>
      </c>
      <c r="B79" s="8" t="str">
        <f aca="false">IF(Work!$B80="","",Work!$B80)</f>
        <v/>
      </c>
      <c r="C79" s="8" t="str">
        <f aca="false">IF(Work!$B80="","",Work!$D80)</f>
        <v/>
      </c>
      <c r="D79" s="16" t="str">
        <f aca="false">IF(Work!$G80="","",Work!$G80)</f>
        <v/>
      </c>
      <c r="E79" s="23" t="str">
        <f aca="false">IF(Work!$AJ80="","",Work!$AJ80)</f>
        <v/>
      </c>
      <c r="F79" s="23" t="str">
        <f aca="false">IF(Work!$AI80="","",Work!$AI80)</f>
        <v/>
      </c>
      <c r="G79" s="23" t="str">
        <f aca="false">IF(Work!$AK80="","",Work!$AK80)</f>
        <v/>
      </c>
      <c r="H79" s="23" t="str">
        <f aca="false">IF(Work!$AL80="","",Work!$AL80)</f>
        <v/>
      </c>
      <c r="I79" s="23" t="str">
        <f aca="false">IF(Work!$AF80="","",Work!$AF80)</f>
        <v/>
      </c>
      <c r="J79" s="23" t="str">
        <f aca="false">IF(Work!$AA80="","",Work!$AA80)</f>
        <v/>
      </c>
      <c r="K79" s="8" t="str">
        <f aca="false">IF(Work!$B80="","",IF(Work!$L80="","no N peak; ","")&amp;IF(Work!$P80="","no C peak; ","")&amp;IF(Work!$L80="","",IF(Fits!$B$81&lt;=0,"",IF(Work!$L80&lt;Fits!$B$81,"N below linearity range; ",IF(Fits!$B$97&lt;=0,"",IF(Work!$L80&gt;Fits!$B$97,"N above linearity range; ","")))))&amp;IF(Work!$P80="","",IF(Fits!$B$82&lt;=0,"",IF(Work!$P80&lt;Fits!$B$82,"C below linearity range; ",IF(Fits!$B$104&lt;=0,"",IF(Work!$P80&gt;Fits!$B$104,"C above linearity range; ","")))))&amp;IF(OR(Work!$D80="Sample",Work!$D80="Check"),IF(Work!$AA80="","",IF(Fits!$B$138="","",IF(AND(Work!$AA80&gt;=Fits!$B$138,Work!$AA80&lt;=Fits!$B$139),"","d15N outside anchor range; "))),"")&amp;IF(OR(Work!$D80="Sample",Work!$D80="Check"),IF(Work!$AF80="","",IF(Fits!$B$158="","",IF(AND(Work!$AF80&gt;=Fits!$B$158,Work!$AF80&lt;=Fits!$B$159),"","d13C outside anchor range; "))),"")&amp;IF(Work!$D80&lt;&gt;"Check","",IF(Work!$AA80="","",IF(Work!$S80="","",IF(ABS(Work!$AA80-Work!$S80)&lt;=Setup!$B$20,"","check d15N off by "&amp;TEXT(Work!$AA80-Work!$S80,"+0.00;-0.00")&amp;"; "))))&amp;IF(Work!$D80&lt;&gt;"Check","",IF(Work!$AF80="","",IF(Work!$T80="","",IF(ABS(Work!$AF80-Work!$T80)&lt;=Setup!$B$20,"","check d13C off by "&amp;TEXT(Work!$AF80-Work!$T80,"+0.00;-0.00")&amp;"; "))))&amp;IF(Work!$D80&lt;&gt;"Drift","",IF(Work!$BX80=1,"excluded from N drift fit; ",IF(Work!$CB80="","",IF(ABS(Work!$CB80)&gt;Setup!$B$27,"N drift monitor outlier; ",""))))&amp;IF(Work!$D80&lt;&gt;"Drift","",IF(Work!$BY80=1,"excluded from C drift fit; ",IF(Work!$CC80="","",IF(ABS(Work!$CC80)&gt;Setup!$B$27,"C drift monitor outlier; ",""))))&amp;IF(Work!$D80="Blank","",IF(Work!$L80="","",IF(Setup!$B$25="","",IF(Fits!$B$6&lt;=0,"",IF(Work!$L80&gt;=Fits!$B$6*Setup!$B$25,"","N peak only "&amp;TEXT(Work!$L80/Fits!$B$6,"0.0")&amp;"x the blank; ")))))&amp;IF(Work!$D80="Blank","",IF(Work!$P80="","",IF(Setup!$B$25="","",IF(Fits!$B$10&lt;=0,"",IF(Work!$P80&gt;=Fits!$B$10*Setup!$B$25,"","C peak only "&amp;TEXT(Work!$P80/Fits!$B$10,"0.0")&amp;"x the blank; ")))))&amp;IF(Work!$A80&gt;=Fits!$B$86,"","ran before the background settled; ")&amp;IF(Work!$EN80=1,"possible carryover from an oversized sample; ",""))</f>
        <v/>
      </c>
      <c r="L79" s="26" t="str">
        <f aca="false">IF(Work!$CN80="","",Work!$CN80)</f>
        <v/>
      </c>
      <c r="M79" s="26" t="str">
        <f aca="false">IF(Work!$CO80="","",Work!$CO80)</f>
        <v/>
      </c>
      <c r="N79" s="26" t="str">
        <f aca="false">IF(Work!$CL80="","",Work!$CL80)</f>
        <v/>
      </c>
      <c r="O79" s="26" t="str">
        <f aca="false">IF(Work!$CM80="","",Work!$CM80)</f>
        <v/>
      </c>
    </row>
    <row r="80" customFormat="false" ht="15" hidden="false" customHeight="false" outlineLevel="0" collapsed="false">
      <c r="A80" s="8" t="str">
        <f aca="false">IF(Work!$B81="","",Work!$A81)</f>
        <v/>
      </c>
      <c r="B80" s="8" t="str">
        <f aca="false">IF(Work!$B81="","",Work!$B81)</f>
        <v/>
      </c>
      <c r="C80" s="8" t="str">
        <f aca="false">IF(Work!$B81="","",Work!$D81)</f>
        <v/>
      </c>
      <c r="D80" s="16" t="str">
        <f aca="false">IF(Work!$G81="","",Work!$G81)</f>
        <v/>
      </c>
      <c r="E80" s="23" t="str">
        <f aca="false">IF(Work!$AJ81="","",Work!$AJ81)</f>
        <v/>
      </c>
      <c r="F80" s="23" t="str">
        <f aca="false">IF(Work!$AI81="","",Work!$AI81)</f>
        <v/>
      </c>
      <c r="G80" s="23" t="str">
        <f aca="false">IF(Work!$AK81="","",Work!$AK81)</f>
        <v/>
      </c>
      <c r="H80" s="23" t="str">
        <f aca="false">IF(Work!$AL81="","",Work!$AL81)</f>
        <v/>
      </c>
      <c r="I80" s="23" t="str">
        <f aca="false">IF(Work!$AF81="","",Work!$AF81)</f>
        <v/>
      </c>
      <c r="J80" s="23" t="str">
        <f aca="false">IF(Work!$AA81="","",Work!$AA81)</f>
        <v/>
      </c>
      <c r="K80" s="8" t="str">
        <f aca="false">IF(Work!$B81="","",IF(Work!$L81="","no N peak; ","")&amp;IF(Work!$P81="","no C peak; ","")&amp;IF(Work!$L81="","",IF(Fits!$B$81&lt;=0,"",IF(Work!$L81&lt;Fits!$B$81,"N below linearity range; ",IF(Fits!$B$97&lt;=0,"",IF(Work!$L81&gt;Fits!$B$97,"N above linearity range; ","")))))&amp;IF(Work!$P81="","",IF(Fits!$B$82&lt;=0,"",IF(Work!$P81&lt;Fits!$B$82,"C below linearity range; ",IF(Fits!$B$104&lt;=0,"",IF(Work!$P81&gt;Fits!$B$104,"C above linearity range; ","")))))&amp;IF(OR(Work!$D81="Sample",Work!$D81="Check"),IF(Work!$AA81="","",IF(Fits!$B$138="","",IF(AND(Work!$AA81&gt;=Fits!$B$138,Work!$AA81&lt;=Fits!$B$139),"","d15N outside anchor range; "))),"")&amp;IF(OR(Work!$D81="Sample",Work!$D81="Check"),IF(Work!$AF81="","",IF(Fits!$B$158="","",IF(AND(Work!$AF81&gt;=Fits!$B$158,Work!$AF81&lt;=Fits!$B$159),"","d13C outside anchor range; "))),"")&amp;IF(Work!$D81&lt;&gt;"Check","",IF(Work!$AA81="","",IF(Work!$S81="","",IF(ABS(Work!$AA81-Work!$S81)&lt;=Setup!$B$20,"","check d15N off by "&amp;TEXT(Work!$AA81-Work!$S81,"+0.00;-0.00")&amp;"; "))))&amp;IF(Work!$D81&lt;&gt;"Check","",IF(Work!$AF81="","",IF(Work!$T81="","",IF(ABS(Work!$AF81-Work!$T81)&lt;=Setup!$B$20,"","check d13C off by "&amp;TEXT(Work!$AF81-Work!$T81,"+0.00;-0.00")&amp;"; "))))&amp;IF(Work!$D81&lt;&gt;"Drift","",IF(Work!$BX81=1,"excluded from N drift fit; ",IF(Work!$CB81="","",IF(ABS(Work!$CB81)&gt;Setup!$B$27,"N drift monitor outlier; ",""))))&amp;IF(Work!$D81&lt;&gt;"Drift","",IF(Work!$BY81=1,"excluded from C drift fit; ",IF(Work!$CC81="","",IF(ABS(Work!$CC81)&gt;Setup!$B$27,"C drift monitor outlier; ",""))))&amp;IF(Work!$D81="Blank","",IF(Work!$L81="","",IF(Setup!$B$25="","",IF(Fits!$B$6&lt;=0,"",IF(Work!$L81&gt;=Fits!$B$6*Setup!$B$25,"","N peak only "&amp;TEXT(Work!$L81/Fits!$B$6,"0.0")&amp;"x the blank; ")))))&amp;IF(Work!$D81="Blank","",IF(Work!$P81="","",IF(Setup!$B$25="","",IF(Fits!$B$10&lt;=0,"",IF(Work!$P81&gt;=Fits!$B$10*Setup!$B$25,"","C peak only "&amp;TEXT(Work!$P81/Fits!$B$10,"0.0")&amp;"x the blank; ")))))&amp;IF(Work!$A81&gt;=Fits!$B$86,"","ran before the background settled; ")&amp;IF(Work!$EN81=1,"possible carryover from an oversized sample; ",""))</f>
        <v/>
      </c>
      <c r="L80" s="26" t="str">
        <f aca="false">IF(Work!$CN81="","",Work!$CN81)</f>
        <v/>
      </c>
      <c r="M80" s="26" t="str">
        <f aca="false">IF(Work!$CO81="","",Work!$CO81)</f>
        <v/>
      </c>
      <c r="N80" s="26" t="str">
        <f aca="false">IF(Work!$CL81="","",Work!$CL81)</f>
        <v/>
      </c>
      <c r="O80" s="26" t="str">
        <f aca="false">IF(Work!$CM81="","",Work!$CM81)</f>
        <v/>
      </c>
    </row>
    <row r="81" customFormat="false" ht="15" hidden="false" customHeight="false" outlineLevel="0" collapsed="false">
      <c r="A81" s="8" t="str">
        <f aca="false">IF(Work!$B82="","",Work!$A82)</f>
        <v/>
      </c>
      <c r="B81" s="8" t="str">
        <f aca="false">IF(Work!$B82="","",Work!$B82)</f>
        <v/>
      </c>
      <c r="C81" s="8" t="str">
        <f aca="false">IF(Work!$B82="","",Work!$D82)</f>
        <v/>
      </c>
      <c r="D81" s="16" t="str">
        <f aca="false">IF(Work!$G82="","",Work!$G82)</f>
        <v/>
      </c>
      <c r="E81" s="23" t="str">
        <f aca="false">IF(Work!$AJ82="","",Work!$AJ82)</f>
        <v/>
      </c>
      <c r="F81" s="23" t="str">
        <f aca="false">IF(Work!$AI82="","",Work!$AI82)</f>
        <v/>
      </c>
      <c r="G81" s="23" t="str">
        <f aca="false">IF(Work!$AK82="","",Work!$AK82)</f>
        <v/>
      </c>
      <c r="H81" s="23" t="str">
        <f aca="false">IF(Work!$AL82="","",Work!$AL82)</f>
        <v/>
      </c>
      <c r="I81" s="23" t="str">
        <f aca="false">IF(Work!$AF82="","",Work!$AF82)</f>
        <v/>
      </c>
      <c r="J81" s="23" t="str">
        <f aca="false">IF(Work!$AA82="","",Work!$AA82)</f>
        <v/>
      </c>
      <c r="K81" s="8" t="str">
        <f aca="false">IF(Work!$B82="","",IF(Work!$L82="","no N peak; ","")&amp;IF(Work!$P82="","no C peak; ","")&amp;IF(Work!$L82="","",IF(Fits!$B$81&lt;=0,"",IF(Work!$L82&lt;Fits!$B$81,"N below linearity range; ",IF(Fits!$B$97&lt;=0,"",IF(Work!$L82&gt;Fits!$B$97,"N above linearity range; ","")))))&amp;IF(Work!$P82="","",IF(Fits!$B$82&lt;=0,"",IF(Work!$P82&lt;Fits!$B$82,"C below linearity range; ",IF(Fits!$B$104&lt;=0,"",IF(Work!$P82&gt;Fits!$B$104,"C above linearity range; ","")))))&amp;IF(OR(Work!$D82="Sample",Work!$D82="Check"),IF(Work!$AA82="","",IF(Fits!$B$138="","",IF(AND(Work!$AA82&gt;=Fits!$B$138,Work!$AA82&lt;=Fits!$B$139),"","d15N outside anchor range; "))),"")&amp;IF(OR(Work!$D82="Sample",Work!$D82="Check"),IF(Work!$AF82="","",IF(Fits!$B$158="","",IF(AND(Work!$AF82&gt;=Fits!$B$158,Work!$AF82&lt;=Fits!$B$159),"","d13C outside anchor range; "))),"")&amp;IF(Work!$D82&lt;&gt;"Check","",IF(Work!$AA82="","",IF(Work!$S82="","",IF(ABS(Work!$AA82-Work!$S82)&lt;=Setup!$B$20,"","check d15N off by "&amp;TEXT(Work!$AA82-Work!$S82,"+0.00;-0.00")&amp;"; "))))&amp;IF(Work!$D82&lt;&gt;"Check","",IF(Work!$AF82="","",IF(Work!$T82="","",IF(ABS(Work!$AF82-Work!$T82)&lt;=Setup!$B$20,"","check d13C off by "&amp;TEXT(Work!$AF82-Work!$T82,"+0.00;-0.00")&amp;"; "))))&amp;IF(Work!$D82&lt;&gt;"Drift","",IF(Work!$BX82=1,"excluded from N drift fit; ",IF(Work!$CB82="","",IF(ABS(Work!$CB82)&gt;Setup!$B$27,"N drift monitor outlier; ",""))))&amp;IF(Work!$D82&lt;&gt;"Drift","",IF(Work!$BY82=1,"excluded from C drift fit; ",IF(Work!$CC82="","",IF(ABS(Work!$CC82)&gt;Setup!$B$27,"C drift monitor outlier; ",""))))&amp;IF(Work!$D82="Blank","",IF(Work!$L82="","",IF(Setup!$B$25="","",IF(Fits!$B$6&lt;=0,"",IF(Work!$L82&gt;=Fits!$B$6*Setup!$B$25,"","N peak only "&amp;TEXT(Work!$L82/Fits!$B$6,"0.0")&amp;"x the blank; ")))))&amp;IF(Work!$D82="Blank","",IF(Work!$P82="","",IF(Setup!$B$25="","",IF(Fits!$B$10&lt;=0,"",IF(Work!$P82&gt;=Fits!$B$10*Setup!$B$25,"","C peak only "&amp;TEXT(Work!$P82/Fits!$B$10,"0.0")&amp;"x the blank; ")))))&amp;IF(Work!$A82&gt;=Fits!$B$86,"","ran before the background settled; ")&amp;IF(Work!$EN82=1,"possible carryover from an oversized sample; ",""))</f>
        <v/>
      </c>
      <c r="L81" s="26" t="str">
        <f aca="false">IF(Work!$CN82="","",Work!$CN82)</f>
        <v/>
      </c>
      <c r="M81" s="26" t="str">
        <f aca="false">IF(Work!$CO82="","",Work!$CO82)</f>
        <v/>
      </c>
      <c r="N81" s="26" t="str">
        <f aca="false">IF(Work!$CL82="","",Work!$CL82)</f>
        <v/>
      </c>
      <c r="O81" s="26" t="str">
        <f aca="false">IF(Work!$CM82="","",Work!$CM82)</f>
        <v/>
      </c>
    </row>
    <row r="82" customFormat="false" ht="15" hidden="false" customHeight="false" outlineLevel="0" collapsed="false">
      <c r="A82" s="8" t="str">
        <f aca="false">IF(Work!$B83="","",Work!$A83)</f>
        <v/>
      </c>
      <c r="B82" s="8" t="str">
        <f aca="false">IF(Work!$B83="","",Work!$B83)</f>
        <v/>
      </c>
      <c r="C82" s="8" t="str">
        <f aca="false">IF(Work!$B83="","",Work!$D83)</f>
        <v/>
      </c>
      <c r="D82" s="16" t="str">
        <f aca="false">IF(Work!$G83="","",Work!$G83)</f>
        <v/>
      </c>
      <c r="E82" s="23" t="str">
        <f aca="false">IF(Work!$AJ83="","",Work!$AJ83)</f>
        <v/>
      </c>
      <c r="F82" s="23" t="str">
        <f aca="false">IF(Work!$AI83="","",Work!$AI83)</f>
        <v/>
      </c>
      <c r="G82" s="23" t="str">
        <f aca="false">IF(Work!$AK83="","",Work!$AK83)</f>
        <v/>
      </c>
      <c r="H82" s="23" t="str">
        <f aca="false">IF(Work!$AL83="","",Work!$AL83)</f>
        <v/>
      </c>
      <c r="I82" s="23" t="str">
        <f aca="false">IF(Work!$AF83="","",Work!$AF83)</f>
        <v/>
      </c>
      <c r="J82" s="23" t="str">
        <f aca="false">IF(Work!$AA83="","",Work!$AA83)</f>
        <v/>
      </c>
      <c r="K82" s="8" t="str">
        <f aca="false">IF(Work!$B83="","",IF(Work!$L83="","no N peak; ","")&amp;IF(Work!$P83="","no C peak; ","")&amp;IF(Work!$L83="","",IF(Fits!$B$81&lt;=0,"",IF(Work!$L83&lt;Fits!$B$81,"N below linearity range; ",IF(Fits!$B$97&lt;=0,"",IF(Work!$L83&gt;Fits!$B$97,"N above linearity range; ","")))))&amp;IF(Work!$P83="","",IF(Fits!$B$82&lt;=0,"",IF(Work!$P83&lt;Fits!$B$82,"C below linearity range; ",IF(Fits!$B$104&lt;=0,"",IF(Work!$P83&gt;Fits!$B$104,"C above linearity range; ","")))))&amp;IF(OR(Work!$D83="Sample",Work!$D83="Check"),IF(Work!$AA83="","",IF(Fits!$B$138="","",IF(AND(Work!$AA83&gt;=Fits!$B$138,Work!$AA83&lt;=Fits!$B$139),"","d15N outside anchor range; "))),"")&amp;IF(OR(Work!$D83="Sample",Work!$D83="Check"),IF(Work!$AF83="","",IF(Fits!$B$158="","",IF(AND(Work!$AF83&gt;=Fits!$B$158,Work!$AF83&lt;=Fits!$B$159),"","d13C outside anchor range; "))),"")&amp;IF(Work!$D83&lt;&gt;"Check","",IF(Work!$AA83="","",IF(Work!$S83="","",IF(ABS(Work!$AA83-Work!$S83)&lt;=Setup!$B$20,"","check d15N off by "&amp;TEXT(Work!$AA83-Work!$S83,"+0.00;-0.00")&amp;"; "))))&amp;IF(Work!$D83&lt;&gt;"Check","",IF(Work!$AF83="","",IF(Work!$T83="","",IF(ABS(Work!$AF83-Work!$T83)&lt;=Setup!$B$20,"","check d13C off by "&amp;TEXT(Work!$AF83-Work!$T83,"+0.00;-0.00")&amp;"; "))))&amp;IF(Work!$D83&lt;&gt;"Drift","",IF(Work!$BX83=1,"excluded from N drift fit; ",IF(Work!$CB83="","",IF(ABS(Work!$CB83)&gt;Setup!$B$27,"N drift monitor outlier; ",""))))&amp;IF(Work!$D83&lt;&gt;"Drift","",IF(Work!$BY83=1,"excluded from C drift fit; ",IF(Work!$CC83="","",IF(ABS(Work!$CC83)&gt;Setup!$B$27,"C drift monitor outlier; ",""))))&amp;IF(Work!$D83="Blank","",IF(Work!$L83="","",IF(Setup!$B$25="","",IF(Fits!$B$6&lt;=0,"",IF(Work!$L83&gt;=Fits!$B$6*Setup!$B$25,"","N peak only "&amp;TEXT(Work!$L83/Fits!$B$6,"0.0")&amp;"x the blank; ")))))&amp;IF(Work!$D83="Blank","",IF(Work!$P83="","",IF(Setup!$B$25="","",IF(Fits!$B$10&lt;=0,"",IF(Work!$P83&gt;=Fits!$B$10*Setup!$B$25,"","C peak only "&amp;TEXT(Work!$P83/Fits!$B$10,"0.0")&amp;"x the blank; ")))))&amp;IF(Work!$A83&gt;=Fits!$B$86,"","ran before the background settled; ")&amp;IF(Work!$EN83=1,"possible carryover from an oversized sample; ",""))</f>
        <v/>
      </c>
      <c r="L82" s="26" t="str">
        <f aca="false">IF(Work!$CN83="","",Work!$CN83)</f>
        <v/>
      </c>
      <c r="M82" s="26" t="str">
        <f aca="false">IF(Work!$CO83="","",Work!$CO83)</f>
        <v/>
      </c>
      <c r="N82" s="26" t="str">
        <f aca="false">IF(Work!$CL83="","",Work!$CL83)</f>
        <v/>
      </c>
      <c r="O82" s="26" t="str">
        <f aca="false">IF(Work!$CM83="","",Work!$CM83)</f>
        <v/>
      </c>
    </row>
    <row r="83" customFormat="false" ht="15" hidden="false" customHeight="false" outlineLevel="0" collapsed="false">
      <c r="A83" s="8" t="str">
        <f aca="false">IF(Work!$B84="","",Work!$A84)</f>
        <v/>
      </c>
      <c r="B83" s="8" t="str">
        <f aca="false">IF(Work!$B84="","",Work!$B84)</f>
        <v/>
      </c>
      <c r="C83" s="8" t="str">
        <f aca="false">IF(Work!$B84="","",Work!$D84)</f>
        <v/>
      </c>
      <c r="D83" s="16" t="str">
        <f aca="false">IF(Work!$G84="","",Work!$G84)</f>
        <v/>
      </c>
      <c r="E83" s="23" t="str">
        <f aca="false">IF(Work!$AJ84="","",Work!$AJ84)</f>
        <v/>
      </c>
      <c r="F83" s="23" t="str">
        <f aca="false">IF(Work!$AI84="","",Work!$AI84)</f>
        <v/>
      </c>
      <c r="G83" s="23" t="str">
        <f aca="false">IF(Work!$AK84="","",Work!$AK84)</f>
        <v/>
      </c>
      <c r="H83" s="23" t="str">
        <f aca="false">IF(Work!$AL84="","",Work!$AL84)</f>
        <v/>
      </c>
      <c r="I83" s="23" t="str">
        <f aca="false">IF(Work!$AF84="","",Work!$AF84)</f>
        <v/>
      </c>
      <c r="J83" s="23" t="str">
        <f aca="false">IF(Work!$AA84="","",Work!$AA84)</f>
        <v/>
      </c>
      <c r="K83" s="8" t="str">
        <f aca="false">IF(Work!$B84="","",IF(Work!$L84="","no N peak; ","")&amp;IF(Work!$P84="","no C peak; ","")&amp;IF(Work!$L84="","",IF(Fits!$B$81&lt;=0,"",IF(Work!$L84&lt;Fits!$B$81,"N below linearity range; ",IF(Fits!$B$97&lt;=0,"",IF(Work!$L84&gt;Fits!$B$97,"N above linearity range; ","")))))&amp;IF(Work!$P84="","",IF(Fits!$B$82&lt;=0,"",IF(Work!$P84&lt;Fits!$B$82,"C below linearity range; ",IF(Fits!$B$104&lt;=0,"",IF(Work!$P84&gt;Fits!$B$104,"C above linearity range; ","")))))&amp;IF(OR(Work!$D84="Sample",Work!$D84="Check"),IF(Work!$AA84="","",IF(Fits!$B$138="","",IF(AND(Work!$AA84&gt;=Fits!$B$138,Work!$AA84&lt;=Fits!$B$139),"","d15N outside anchor range; "))),"")&amp;IF(OR(Work!$D84="Sample",Work!$D84="Check"),IF(Work!$AF84="","",IF(Fits!$B$158="","",IF(AND(Work!$AF84&gt;=Fits!$B$158,Work!$AF84&lt;=Fits!$B$159),"","d13C outside anchor range; "))),"")&amp;IF(Work!$D84&lt;&gt;"Check","",IF(Work!$AA84="","",IF(Work!$S84="","",IF(ABS(Work!$AA84-Work!$S84)&lt;=Setup!$B$20,"","check d15N off by "&amp;TEXT(Work!$AA84-Work!$S84,"+0.00;-0.00")&amp;"; "))))&amp;IF(Work!$D84&lt;&gt;"Check","",IF(Work!$AF84="","",IF(Work!$T84="","",IF(ABS(Work!$AF84-Work!$T84)&lt;=Setup!$B$20,"","check d13C off by "&amp;TEXT(Work!$AF84-Work!$T84,"+0.00;-0.00")&amp;"; "))))&amp;IF(Work!$D84&lt;&gt;"Drift","",IF(Work!$BX84=1,"excluded from N drift fit; ",IF(Work!$CB84="","",IF(ABS(Work!$CB84)&gt;Setup!$B$27,"N drift monitor outlier; ",""))))&amp;IF(Work!$D84&lt;&gt;"Drift","",IF(Work!$BY84=1,"excluded from C drift fit; ",IF(Work!$CC84="","",IF(ABS(Work!$CC84)&gt;Setup!$B$27,"C drift monitor outlier; ",""))))&amp;IF(Work!$D84="Blank","",IF(Work!$L84="","",IF(Setup!$B$25="","",IF(Fits!$B$6&lt;=0,"",IF(Work!$L84&gt;=Fits!$B$6*Setup!$B$25,"","N peak only "&amp;TEXT(Work!$L84/Fits!$B$6,"0.0")&amp;"x the blank; ")))))&amp;IF(Work!$D84="Blank","",IF(Work!$P84="","",IF(Setup!$B$25="","",IF(Fits!$B$10&lt;=0,"",IF(Work!$P84&gt;=Fits!$B$10*Setup!$B$25,"","C peak only "&amp;TEXT(Work!$P84/Fits!$B$10,"0.0")&amp;"x the blank; ")))))&amp;IF(Work!$A84&gt;=Fits!$B$86,"","ran before the background settled; ")&amp;IF(Work!$EN84=1,"possible carryover from an oversized sample; ",""))</f>
        <v/>
      </c>
      <c r="L83" s="26" t="str">
        <f aca="false">IF(Work!$CN84="","",Work!$CN84)</f>
        <v/>
      </c>
      <c r="M83" s="26" t="str">
        <f aca="false">IF(Work!$CO84="","",Work!$CO84)</f>
        <v/>
      </c>
      <c r="N83" s="26" t="str">
        <f aca="false">IF(Work!$CL84="","",Work!$CL84)</f>
        <v/>
      </c>
      <c r="O83" s="26" t="str">
        <f aca="false">IF(Work!$CM84="","",Work!$CM84)</f>
        <v/>
      </c>
    </row>
    <row r="84" customFormat="false" ht="15" hidden="false" customHeight="false" outlineLevel="0" collapsed="false">
      <c r="A84" s="8" t="str">
        <f aca="false">IF(Work!$B85="","",Work!$A85)</f>
        <v/>
      </c>
      <c r="B84" s="8" t="str">
        <f aca="false">IF(Work!$B85="","",Work!$B85)</f>
        <v/>
      </c>
      <c r="C84" s="8" t="str">
        <f aca="false">IF(Work!$B85="","",Work!$D85)</f>
        <v/>
      </c>
      <c r="D84" s="16" t="str">
        <f aca="false">IF(Work!$G85="","",Work!$G85)</f>
        <v/>
      </c>
      <c r="E84" s="23" t="str">
        <f aca="false">IF(Work!$AJ85="","",Work!$AJ85)</f>
        <v/>
      </c>
      <c r="F84" s="23" t="str">
        <f aca="false">IF(Work!$AI85="","",Work!$AI85)</f>
        <v/>
      </c>
      <c r="G84" s="23" t="str">
        <f aca="false">IF(Work!$AK85="","",Work!$AK85)</f>
        <v/>
      </c>
      <c r="H84" s="23" t="str">
        <f aca="false">IF(Work!$AL85="","",Work!$AL85)</f>
        <v/>
      </c>
      <c r="I84" s="23" t="str">
        <f aca="false">IF(Work!$AF85="","",Work!$AF85)</f>
        <v/>
      </c>
      <c r="J84" s="23" t="str">
        <f aca="false">IF(Work!$AA85="","",Work!$AA85)</f>
        <v/>
      </c>
      <c r="K84" s="8" t="str">
        <f aca="false">IF(Work!$B85="","",IF(Work!$L85="","no N peak; ","")&amp;IF(Work!$P85="","no C peak; ","")&amp;IF(Work!$L85="","",IF(Fits!$B$81&lt;=0,"",IF(Work!$L85&lt;Fits!$B$81,"N below linearity range; ",IF(Fits!$B$97&lt;=0,"",IF(Work!$L85&gt;Fits!$B$97,"N above linearity range; ","")))))&amp;IF(Work!$P85="","",IF(Fits!$B$82&lt;=0,"",IF(Work!$P85&lt;Fits!$B$82,"C below linearity range; ",IF(Fits!$B$104&lt;=0,"",IF(Work!$P85&gt;Fits!$B$104,"C above linearity range; ","")))))&amp;IF(OR(Work!$D85="Sample",Work!$D85="Check"),IF(Work!$AA85="","",IF(Fits!$B$138="","",IF(AND(Work!$AA85&gt;=Fits!$B$138,Work!$AA85&lt;=Fits!$B$139),"","d15N outside anchor range; "))),"")&amp;IF(OR(Work!$D85="Sample",Work!$D85="Check"),IF(Work!$AF85="","",IF(Fits!$B$158="","",IF(AND(Work!$AF85&gt;=Fits!$B$158,Work!$AF85&lt;=Fits!$B$159),"","d13C outside anchor range; "))),"")&amp;IF(Work!$D85&lt;&gt;"Check","",IF(Work!$AA85="","",IF(Work!$S85="","",IF(ABS(Work!$AA85-Work!$S85)&lt;=Setup!$B$20,"","check d15N off by "&amp;TEXT(Work!$AA85-Work!$S85,"+0.00;-0.00")&amp;"; "))))&amp;IF(Work!$D85&lt;&gt;"Check","",IF(Work!$AF85="","",IF(Work!$T85="","",IF(ABS(Work!$AF85-Work!$T85)&lt;=Setup!$B$20,"","check d13C off by "&amp;TEXT(Work!$AF85-Work!$T85,"+0.00;-0.00")&amp;"; "))))&amp;IF(Work!$D85&lt;&gt;"Drift","",IF(Work!$BX85=1,"excluded from N drift fit; ",IF(Work!$CB85="","",IF(ABS(Work!$CB85)&gt;Setup!$B$27,"N drift monitor outlier; ",""))))&amp;IF(Work!$D85&lt;&gt;"Drift","",IF(Work!$BY85=1,"excluded from C drift fit; ",IF(Work!$CC85="","",IF(ABS(Work!$CC85)&gt;Setup!$B$27,"C drift monitor outlier; ",""))))&amp;IF(Work!$D85="Blank","",IF(Work!$L85="","",IF(Setup!$B$25="","",IF(Fits!$B$6&lt;=0,"",IF(Work!$L85&gt;=Fits!$B$6*Setup!$B$25,"","N peak only "&amp;TEXT(Work!$L85/Fits!$B$6,"0.0")&amp;"x the blank; ")))))&amp;IF(Work!$D85="Blank","",IF(Work!$P85="","",IF(Setup!$B$25="","",IF(Fits!$B$10&lt;=0,"",IF(Work!$P85&gt;=Fits!$B$10*Setup!$B$25,"","C peak only "&amp;TEXT(Work!$P85/Fits!$B$10,"0.0")&amp;"x the blank; ")))))&amp;IF(Work!$A85&gt;=Fits!$B$86,"","ran before the background settled; ")&amp;IF(Work!$EN85=1,"possible carryover from an oversized sample; ",""))</f>
        <v/>
      </c>
      <c r="L84" s="26" t="str">
        <f aca="false">IF(Work!$CN85="","",Work!$CN85)</f>
        <v/>
      </c>
      <c r="M84" s="26" t="str">
        <f aca="false">IF(Work!$CO85="","",Work!$CO85)</f>
        <v/>
      </c>
      <c r="N84" s="26" t="str">
        <f aca="false">IF(Work!$CL85="","",Work!$CL85)</f>
        <v/>
      </c>
      <c r="O84" s="26" t="str">
        <f aca="false">IF(Work!$CM85="","",Work!$CM85)</f>
        <v/>
      </c>
    </row>
    <row r="85" customFormat="false" ht="15" hidden="false" customHeight="false" outlineLevel="0" collapsed="false">
      <c r="A85" s="8" t="str">
        <f aca="false">IF(Work!$B86="","",Work!$A86)</f>
        <v/>
      </c>
      <c r="B85" s="8" t="str">
        <f aca="false">IF(Work!$B86="","",Work!$B86)</f>
        <v/>
      </c>
      <c r="C85" s="8" t="str">
        <f aca="false">IF(Work!$B86="","",Work!$D86)</f>
        <v/>
      </c>
      <c r="D85" s="16" t="str">
        <f aca="false">IF(Work!$G86="","",Work!$G86)</f>
        <v/>
      </c>
      <c r="E85" s="23" t="str">
        <f aca="false">IF(Work!$AJ86="","",Work!$AJ86)</f>
        <v/>
      </c>
      <c r="F85" s="23" t="str">
        <f aca="false">IF(Work!$AI86="","",Work!$AI86)</f>
        <v/>
      </c>
      <c r="G85" s="23" t="str">
        <f aca="false">IF(Work!$AK86="","",Work!$AK86)</f>
        <v/>
      </c>
      <c r="H85" s="23" t="str">
        <f aca="false">IF(Work!$AL86="","",Work!$AL86)</f>
        <v/>
      </c>
      <c r="I85" s="23" t="str">
        <f aca="false">IF(Work!$AF86="","",Work!$AF86)</f>
        <v/>
      </c>
      <c r="J85" s="23" t="str">
        <f aca="false">IF(Work!$AA86="","",Work!$AA86)</f>
        <v/>
      </c>
      <c r="K85" s="8" t="str">
        <f aca="false">IF(Work!$B86="","",IF(Work!$L86="","no N peak; ","")&amp;IF(Work!$P86="","no C peak; ","")&amp;IF(Work!$L86="","",IF(Fits!$B$81&lt;=0,"",IF(Work!$L86&lt;Fits!$B$81,"N below linearity range; ",IF(Fits!$B$97&lt;=0,"",IF(Work!$L86&gt;Fits!$B$97,"N above linearity range; ","")))))&amp;IF(Work!$P86="","",IF(Fits!$B$82&lt;=0,"",IF(Work!$P86&lt;Fits!$B$82,"C below linearity range; ",IF(Fits!$B$104&lt;=0,"",IF(Work!$P86&gt;Fits!$B$104,"C above linearity range; ","")))))&amp;IF(OR(Work!$D86="Sample",Work!$D86="Check"),IF(Work!$AA86="","",IF(Fits!$B$138="","",IF(AND(Work!$AA86&gt;=Fits!$B$138,Work!$AA86&lt;=Fits!$B$139),"","d15N outside anchor range; "))),"")&amp;IF(OR(Work!$D86="Sample",Work!$D86="Check"),IF(Work!$AF86="","",IF(Fits!$B$158="","",IF(AND(Work!$AF86&gt;=Fits!$B$158,Work!$AF86&lt;=Fits!$B$159),"","d13C outside anchor range; "))),"")&amp;IF(Work!$D86&lt;&gt;"Check","",IF(Work!$AA86="","",IF(Work!$S86="","",IF(ABS(Work!$AA86-Work!$S86)&lt;=Setup!$B$20,"","check d15N off by "&amp;TEXT(Work!$AA86-Work!$S86,"+0.00;-0.00")&amp;"; "))))&amp;IF(Work!$D86&lt;&gt;"Check","",IF(Work!$AF86="","",IF(Work!$T86="","",IF(ABS(Work!$AF86-Work!$T86)&lt;=Setup!$B$20,"","check d13C off by "&amp;TEXT(Work!$AF86-Work!$T86,"+0.00;-0.00")&amp;"; "))))&amp;IF(Work!$D86&lt;&gt;"Drift","",IF(Work!$BX86=1,"excluded from N drift fit; ",IF(Work!$CB86="","",IF(ABS(Work!$CB86)&gt;Setup!$B$27,"N drift monitor outlier; ",""))))&amp;IF(Work!$D86&lt;&gt;"Drift","",IF(Work!$BY86=1,"excluded from C drift fit; ",IF(Work!$CC86="","",IF(ABS(Work!$CC86)&gt;Setup!$B$27,"C drift monitor outlier; ",""))))&amp;IF(Work!$D86="Blank","",IF(Work!$L86="","",IF(Setup!$B$25="","",IF(Fits!$B$6&lt;=0,"",IF(Work!$L86&gt;=Fits!$B$6*Setup!$B$25,"","N peak only "&amp;TEXT(Work!$L86/Fits!$B$6,"0.0")&amp;"x the blank; ")))))&amp;IF(Work!$D86="Blank","",IF(Work!$P86="","",IF(Setup!$B$25="","",IF(Fits!$B$10&lt;=0,"",IF(Work!$P86&gt;=Fits!$B$10*Setup!$B$25,"","C peak only "&amp;TEXT(Work!$P86/Fits!$B$10,"0.0")&amp;"x the blank; ")))))&amp;IF(Work!$A86&gt;=Fits!$B$86,"","ran before the background settled; ")&amp;IF(Work!$EN86=1,"possible carryover from an oversized sample; ",""))</f>
        <v/>
      </c>
      <c r="L85" s="26" t="str">
        <f aca="false">IF(Work!$CN86="","",Work!$CN86)</f>
        <v/>
      </c>
      <c r="M85" s="26" t="str">
        <f aca="false">IF(Work!$CO86="","",Work!$CO86)</f>
        <v/>
      </c>
      <c r="N85" s="26" t="str">
        <f aca="false">IF(Work!$CL86="","",Work!$CL86)</f>
        <v/>
      </c>
      <c r="O85" s="26" t="str">
        <f aca="false">IF(Work!$CM86="","",Work!$CM86)</f>
        <v/>
      </c>
    </row>
    <row r="86" customFormat="false" ht="15" hidden="false" customHeight="false" outlineLevel="0" collapsed="false">
      <c r="A86" s="8" t="str">
        <f aca="false">IF(Work!$B87="","",Work!$A87)</f>
        <v/>
      </c>
      <c r="B86" s="8" t="str">
        <f aca="false">IF(Work!$B87="","",Work!$B87)</f>
        <v/>
      </c>
      <c r="C86" s="8" t="str">
        <f aca="false">IF(Work!$B87="","",Work!$D87)</f>
        <v/>
      </c>
      <c r="D86" s="16" t="str">
        <f aca="false">IF(Work!$G87="","",Work!$G87)</f>
        <v/>
      </c>
      <c r="E86" s="23" t="str">
        <f aca="false">IF(Work!$AJ87="","",Work!$AJ87)</f>
        <v/>
      </c>
      <c r="F86" s="23" t="str">
        <f aca="false">IF(Work!$AI87="","",Work!$AI87)</f>
        <v/>
      </c>
      <c r="G86" s="23" t="str">
        <f aca="false">IF(Work!$AK87="","",Work!$AK87)</f>
        <v/>
      </c>
      <c r="H86" s="23" t="str">
        <f aca="false">IF(Work!$AL87="","",Work!$AL87)</f>
        <v/>
      </c>
      <c r="I86" s="23" t="str">
        <f aca="false">IF(Work!$AF87="","",Work!$AF87)</f>
        <v/>
      </c>
      <c r="J86" s="23" t="str">
        <f aca="false">IF(Work!$AA87="","",Work!$AA87)</f>
        <v/>
      </c>
      <c r="K86" s="8" t="str">
        <f aca="false">IF(Work!$B87="","",IF(Work!$L87="","no N peak; ","")&amp;IF(Work!$P87="","no C peak; ","")&amp;IF(Work!$L87="","",IF(Fits!$B$81&lt;=0,"",IF(Work!$L87&lt;Fits!$B$81,"N below linearity range; ",IF(Fits!$B$97&lt;=0,"",IF(Work!$L87&gt;Fits!$B$97,"N above linearity range; ","")))))&amp;IF(Work!$P87="","",IF(Fits!$B$82&lt;=0,"",IF(Work!$P87&lt;Fits!$B$82,"C below linearity range; ",IF(Fits!$B$104&lt;=0,"",IF(Work!$P87&gt;Fits!$B$104,"C above linearity range; ","")))))&amp;IF(OR(Work!$D87="Sample",Work!$D87="Check"),IF(Work!$AA87="","",IF(Fits!$B$138="","",IF(AND(Work!$AA87&gt;=Fits!$B$138,Work!$AA87&lt;=Fits!$B$139),"","d15N outside anchor range; "))),"")&amp;IF(OR(Work!$D87="Sample",Work!$D87="Check"),IF(Work!$AF87="","",IF(Fits!$B$158="","",IF(AND(Work!$AF87&gt;=Fits!$B$158,Work!$AF87&lt;=Fits!$B$159),"","d13C outside anchor range; "))),"")&amp;IF(Work!$D87&lt;&gt;"Check","",IF(Work!$AA87="","",IF(Work!$S87="","",IF(ABS(Work!$AA87-Work!$S87)&lt;=Setup!$B$20,"","check d15N off by "&amp;TEXT(Work!$AA87-Work!$S87,"+0.00;-0.00")&amp;"; "))))&amp;IF(Work!$D87&lt;&gt;"Check","",IF(Work!$AF87="","",IF(Work!$T87="","",IF(ABS(Work!$AF87-Work!$T87)&lt;=Setup!$B$20,"","check d13C off by "&amp;TEXT(Work!$AF87-Work!$T87,"+0.00;-0.00")&amp;"; "))))&amp;IF(Work!$D87&lt;&gt;"Drift","",IF(Work!$BX87=1,"excluded from N drift fit; ",IF(Work!$CB87="","",IF(ABS(Work!$CB87)&gt;Setup!$B$27,"N drift monitor outlier; ",""))))&amp;IF(Work!$D87&lt;&gt;"Drift","",IF(Work!$BY87=1,"excluded from C drift fit; ",IF(Work!$CC87="","",IF(ABS(Work!$CC87)&gt;Setup!$B$27,"C drift monitor outlier; ",""))))&amp;IF(Work!$D87="Blank","",IF(Work!$L87="","",IF(Setup!$B$25="","",IF(Fits!$B$6&lt;=0,"",IF(Work!$L87&gt;=Fits!$B$6*Setup!$B$25,"","N peak only "&amp;TEXT(Work!$L87/Fits!$B$6,"0.0")&amp;"x the blank; ")))))&amp;IF(Work!$D87="Blank","",IF(Work!$P87="","",IF(Setup!$B$25="","",IF(Fits!$B$10&lt;=0,"",IF(Work!$P87&gt;=Fits!$B$10*Setup!$B$25,"","C peak only "&amp;TEXT(Work!$P87/Fits!$B$10,"0.0")&amp;"x the blank; ")))))&amp;IF(Work!$A87&gt;=Fits!$B$86,"","ran before the background settled; ")&amp;IF(Work!$EN87=1,"possible carryover from an oversized sample; ",""))</f>
        <v/>
      </c>
      <c r="L86" s="26" t="str">
        <f aca="false">IF(Work!$CN87="","",Work!$CN87)</f>
        <v/>
      </c>
      <c r="M86" s="26" t="str">
        <f aca="false">IF(Work!$CO87="","",Work!$CO87)</f>
        <v/>
      </c>
      <c r="N86" s="26" t="str">
        <f aca="false">IF(Work!$CL87="","",Work!$CL87)</f>
        <v/>
      </c>
      <c r="O86" s="26" t="str">
        <f aca="false">IF(Work!$CM87="","",Work!$CM87)</f>
        <v/>
      </c>
    </row>
    <row r="87" customFormat="false" ht="15" hidden="false" customHeight="false" outlineLevel="0" collapsed="false">
      <c r="A87" s="8" t="str">
        <f aca="false">IF(Work!$B88="","",Work!$A88)</f>
        <v/>
      </c>
      <c r="B87" s="8" t="str">
        <f aca="false">IF(Work!$B88="","",Work!$B88)</f>
        <v/>
      </c>
      <c r="C87" s="8" t="str">
        <f aca="false">IF(Work!$B88="","",Work!$D88)</f>
        <v/>
      </c>
      <c r="D87" s="16" t="str">
        <f aca="false">IF(Work!$G88="","",Work!$G88)</f>
        <v/>
      </c>
      <c r="E87" s="23" t="str">
        <f aca="false">IF(Work!$AJ88="","",Work!$AJ88)</f>
        <v/>
      </c>
      <c r="F87" s="23" t="str">
        <f aca="false">IF(Work!$AI88="","",Work!$AI88)</f>
        <v/>
      </c>
      <c r="G87" s="23" t="str">
        <f aca="false">IF(Work!$AK88="","",Work!$AK88)</f>
        <v/>
      </c>
      <c r="H87" s="23" t="str">
        <f aca="false">IF(Work!$AL88="","",Work!$AL88)</f>
        <v/>
      </c>
      <c r="I87" s="23" t="str">
        <f aca="false">IF(Work!$AF88="","",Work!$AF88)</f>
        <v/>
      </c>
      <c r="J87" s="23" t="str">
        <f aca="false">IF(Work!$AA88="","",Work!$AA88)</f>
        <v/>
      </c>
      <c r="K87" s="8" t="str">
        <f aca="false">IF(Work!$B88="","",IF(Work!$L88="","no N peak; ","")&amp;IF(Work!$P88="","no C peak; ","")&amp;IF(Work!$L88="","",IF(Fits!$B$81&lt;=0,"",IF(Work!$L88&lt;Fits!$B$81,"N below linearity range; ",IF(Fits!$B$97&lt;=0,"",IF(Work!$L88&gt;Fits!$B$97,"N above linearity range; ","")))))&amp;IF(Work!$P88="","",IF(Fits!$B$82&lt;=0,"",IF(Work!$P88&lt;Fits!$B$82,"C below linearity range; ",IF(Fits!$B$104&lt;=0,"",IF(Work!$P88&gt;Fits!$B$104,"C above linearity range; ","")))))&amp;IF(OR(Work!$D88="Sample",Work!$D88="Check"),IF(Work!$AA88="","",IF(Fits!$B$138="","",IF(AND(Work!$AA88&gt;=Fits!$B$138,Work!$AA88&lt;=Fits!$B$139),"","d15N outside anchor range; "))),"")&amp;IF(OR(Work!$D88="Sample",Work!$D88="Check"),IF(Work!$AF88="","",IF(Fits!$B$158="","",IF(AND(Work!$AF88&gt;=Fits!$B$158,Work!$AF88&lt;=Fits!$B$159),"","d13C outside anchor range; "))),"")&amp;IF(Work!$D88&lt;&gt;"Check","",IF(Work!$AA88="","",IF(Work!$S88="","",IF(ABS(Work!$AA88-Work!$S88)&lt;=Setup!$B$20,"","check d15N off by "&amp;TEXT(Work!$AA88-Work!$S88,"+0.00;-0.00")&amp;"; "))))&amp;IF(Work!$D88&lt;&gt;"Check","",IF(Work!$AF88="","",IF(Work!$T88="","",IF(ABS(Work!$AF88-Work!$T88)&lt;=Setup!$B$20,"","check d13C off by "&amp;TEXT(Work!$AF88-Work!$T88,"+0.00;-0.00")&amp;"; "))))&amp;IF(Work!$D88&lt;&gt;"Drift","",IF(Work!$BX88=1,"excluded from N drift fit; ",IF(Work!$CB88="","",IF(ABS(Work!$CB88)&gt;Setup!$B$27,"N drift monitor outlier; ",""))))&amp;IF(Work!$D88&lt;&gt;"Drift","",IF(Work!$BY88=1,"excluded from C drift fit; ",IF(Work!$CC88="","",IF(ABS(Work!$CC88)&gt;Setup!$B$27,"C drift monitor outlier; ",""))))&amp;IF(Work!$D88="Blank","",IF(Work!$L88="","",IF(Setup!$B$25="","",IF(Fits!$B$6&lt;=0,"",IF(Work!$L88&gt;=Fits!$B$6*Setup!$B$25,"","N peak only "&amp;TEXT(Work!$L88/Fits!$B$6,"0.0")&amp;"x the blank; ")))))&amp;IF(Work!$D88="Blank","",IF(Work!$P88="","",IF(Setup!$B$25="","",IF(Fits!$B$10&lt;=0,"",IF(Work!$P88&gt;=Fits!$B$10*Setup!$B$25,"","C peak only "&amp;TEXT(Work!$P88/Fits!$B$10,"0.0")&amp;"x the blank; ")))))&amp;IF(Work!$A88&gt;=Fits!$B$86,"","ran before the background settled; ")&amp;IF(Work!$EN88=1,"possible carryover from an oversized sample; ",""))</f>
        <v/>
      </c>
      <c r="L87" s="26" t="str">
        <f aca="false">IF(Work!$CN88="","",Work!$CN88)</f>
        <v/>
      </c>
      <c r="M87" s="26" t="str">
        <f aca="false">IF(Work!$CO88="","",Work!$CO88)</f>
        <v/>
      </c>
      <c r="N87" s="26" t="str">
        <f aca="false">IF(Work!$CL88="","",Work!$CL88)</f>
        <v/>
      </c>
      <c r="O87" s="26" t="str">
        <f aca="false">IF(Work!$CM88="","",Work!$CM88)</f>
        <v/>
      </c>
    </row>
    <row r="88" customFormat="false" ht="15" hidden="false" customHeight="false" outlineLevel="0" collapsed="false">
      <c r="A88" s="8" t="str">
        <f aca="false">IF(Work!$B89="","",Work!$A89)</f>
        <v/>
      </c>
      <c r="B88" s="8" t="str">
        <f aca="false">IF(Work!$B89="","",Work!$B89)</f>
        <v/>
      </c>
      <c r="C88" s="8" t="str">
        <f aca="false">IF(Work!$B89="","",Work!$D89)</f>
        <v/>
      </c>
      <c r="D88" s="16" t="str">
        <f aca="false">IF(Work!$G89="","",Work!$G89)</f>
        <v/>
      </c>
      <c r="E88" s="23" t="str">
        <f aca="false">IF(Work!$AJ89="","",Work!$AJ89)</f>
        <v/>
      </c>
      <c r="F88" s="23" t="str">
        <f aca="false">IF(Work!$AI89="","",Work!$AI89)</f>
        <v/>
      </c>
      <c r="G88" s="23" t="str">
        <f aca="false">IF(Work!$AK89="","",Work!$AK89)</f>
        <v/>
      </c>
      <c r="H88" s="23" t="str">
        <f aca="false">IF(Work!$AL89="","",Work!$AL89)</f>
        <v/>
      </c>
      <c r="I88" s="23" t="str">
        <f aca="false">IF(Work!$AF89="","",Work!$AF89)</f>
        <v/>
      </c>
      <c r="J88" s="23" t="str">
        <f aca="false">IF(Work!$AA89="","",Work!$AA89)</f>
        <v/>
      </c>
      <c r="K88" s="8" t="str">
        <f aca="false">IF(Work!$B89="","",IF(Work!$L89="","no N peak; ","")&amp;IF(Work!$P89="","no C peak; ","")&amp;IF(Work!$L89="","",IF(Fits!$B$81&lt;=0,"",IF(Work!$L89&lt;Fits!$B$81,"N below linearity range; ",IF(Fits!$B$97&lt;=0,"",IF(Work!$L89&gt;Fits!$B$97,"N above linearity range; ","")))))&amp;IF(Work!$P89="","",IF(Fits!$B$82&lt;=0,"",IF(Work!$P89&lt;Fits!$B$82,"C below linearity range; ",IF(Fits!$B$104&lt;=0,"",IF(Work!$P89&gt;Fits!$B$104,"C above linearity range; ","")))))&amp;IF(OR(Work!$D89="Sample",Work!$D89="Check"),IF(Work!$AA89="","",IF(Fits!$B$138="","",IF(AND(Work!$AA89&gt;=Fits!$B$138,Work!$AA89&lt;=Fits!$B$139),"","d15N outside anchor range; "))),"")&amp;IF(OR(Work!$D89="Sample",Work!$D89="Check"),IF(Work!$AF89="","",IF(Fits!$B$158="","",IF(AND(Work!$AF89&gt;=Fits!$B$158,Work!$AF89&lt;=Fits!$B$159),"","d13C outside anchor range; "))),"")&amp;IF(Work!$D89&lt;&gt;"Check","",IF(Work!$AA89="","",IF(Work!$S89="","",IF(ABS(Work!$AA89-Work!$S89)&lt;=Setup!$B$20,"","check d15N off by "&amp;TEXT(Work!$AA89-Work!$S89,"+0.00;-0.00")&amp;"; "))))&amp;IF(Work!$D89&lt;&gt;"Check","",IF(Work!$AF89="","",IF(Work!$T89="","",IF(ABS(Work!$AF89-Work!$T89)&lt;=Setup!$B$20,"","check d13C off by "&amp;TEXT(Work!$AF89-Work!$T89,"+0.00;-0.00")&amp;"; "))))&amp;IF(Work!$D89&lt;&gt;"Drift","",IF(Work!$BX89=1,"excluded from N drift fit; ",IF(Work!$CB89="","",IF(ABS(Work!$CB89)&gt;Setup!$B$27,"N drift monitor outlier; ",""))))&amp;IF(Work!$D89&lt;&gt;"Drift","",IF(Work!$BY89=1,"excluded from C drift fit; ",IF(Work!$CC89="","",IF(ABS(Work!$CC89)&gt;Setup!$B$27,"C drift monitor outlier; ",""))))&amp;IF(Work!$D89="Blank","",IF(Work!$L89="","",IF(Setup!$B$25="","",IF(Fits!$B$6&lt;=0,"",IF(Work!$L89&gt;=Fits!$B$6*Setup!$B$25,"","N peak only "&amp;TEXT(Work!$L89/Fits!$B$6,"0.0")&amp;"x the blank; ")))))&amp;IF(Work!$D89="Blank","",IF(Work!$P89="","",IF(Setup!$B$25="","",IF(Fits!$B$10&lt;=0,"",IF(Work!$P89&gt;=Fits!$B$10*Setup!$B$25,"","C peak only "&amp;TEXT(Work!$P89/Fits!$B$10,"0.0")&amp;"x the blank; ")))))&amp;IF(Work!$A89&gt;=Fits!$B$86,"","ran before the background settled; ")&amp;IF(Work!$EN89=1,"possible carryover from an oversized sample; ",""))</f>
        <v/>
      </c>
      <c r="L88" s="26" t="str">
        <f aca="false">IF(Work!$CN89="","",Work!$CN89)</f>
        <v/>
      </c>
      <c r="M88" s="26" t="str">
        <f aca="false">IF(Work!$CO89="","",Work!$CO89)</f>
        <v/>
      </c>
      <c r="N88" s="26" t="str">
        <f aca="false">IF(Work!$CL89="","",Work!$CL89)</f>
        <v/>
      </c>
      <c r="O88" s="26" t="str">
        <f aca="false">IF(Work!$CM89="","",Work!$CM89)</f>
        <v/>
      </c>
    </row>
    <row r="89" customFormat="false" ht="15" hidden="false" customHeight="false" outlineLevel="0" collapsed="false">
      <c r="A89" s="8" t="str">
        <f aca="false">IF(Work!$B90="","",Work!$A90)</f>
        <v/>
      </c>
      <c r="B89" s="8" t="str">
        <f aca="false">IF(Work!$B90="","",Work!$B90)</f>
        <v/>
      </c>
      <c r="C89" s="8" t="str">
        <f aca="false">IF(Work!$B90="","",Work!$D90)</f>
        <v/>
      </c>
      <c r="D89" s="16" t="str">
        <f aca="false">IF(Work!$G90="","",Work!$G90)</f>
        <v/>
      </c>
      <c r="E89" s="23" t="str">
        <f aca="false">IF(Work!$AJ90="","",Work!$AJ90)</f>
        <v/>
      </c>
      <c r="F89" s="23" t="str">
        <f aca="false">IF(Work!$AI90="","",Work!$AI90)</f>
        <v/>
      </c>
      <c r="G89" s="23" t="str">
        <f aca="false">IF(Work!$AK90="","",Work!$AK90)</f>
        <v/>
      </c>
      <c r="H89" s="23" t="str">
        <f aca="false">IF(Work!$AL90="","",Work!$AL90)</f>
        <v/>
      </c>
      <c r="I89" s="23" t="str">
        <f aca="false">IF(Work!$AF90="","",Work!$AF90)</f>
        <v/>
      </c>
      <c r="J89" s="23" t="str">
        <f aca="false">IF(Work!$AA90="","",Work!$AA90)</f>
        <v/>
      </c>
      <c r="K89" s="8" t="str">
        <f aca="false">IF(Work!$B90="","",IF(Work!$L90="","no N peak; ","")&amp;IF(Work!$P90="","no C peak; ","")&amp;IF(Work!$L90="","",IF(Fits!$B$81&lt;=0,"",IF(Work!$L90&lt;Fits!$B$81,"N below linearity range; ",IF(Fits!$B$97&lt;=0,"",IF(Work!$L90&gt;Fits!$B$97,"N above linearity range; ","")))))&amp;IF(Work!$P90="","",IF(Fits!$B$82&lt;=0,"",IF(Work!$P90&lt;Fits!$B$82,"C below linearity range; ",IF(Fits!$B$104&lt;=0,"",IF(Work!$P90&gt;Fits!$B$104,"C above linearity range; ","")))))&amp;IF(OR(Work!$D90="Sample",Work!$D90="Check"),IF(Work!$AA90="","",IF(Fits!$B$138="","",IF(AND(Work!$AA90&gt;=Fits!$B$138,Work!$AA90&lt;=Fits!$B$139),"","d15N outside anchor range; "))),"")&amp;IF(OR(Work!$D90="Sample",Work!$D90="Check"),IF(Work!$AF90="","",IF(Fits!$B$158="","",IF(AND(Work!$AF90&gt;=Fits!$B$158,Work!$AF90&lt;=Fits!$B$159),"","d13C outside anchor range; "))),"")&amp;IF(Work!$D90&lt;&gt;"Check","",IF(Work!$AA90="","",IF(Work!$S90="","",IF(ABS(Work!$AA90-Work!$S90)&lt;=Setup!$B$20,"","check d15N off by "&amp;TEXT(Work!$AA90-Work!$S90,"+0.00;-0.00")&amp;"; "))))&amp;IF(Work!$D90&lt;&gt;"Check","",IF(Work!$AF90="","",IF(Work!$T90="","",IF(ABS(Work!$AF90-Work!$T90)&lt;=Setup!$B$20,"","check d13C off by "&amp;TEXT(Work!$AF90-Work!$T90,"+0.00;-0.00")&amp;"; "))))&amp;IF(Work!$D90&lt;&gt;"Drift","",IF(Work!$BX90=1,"excluded from N drift fit; ",IF(Work!$CB90="","",IF(ABS(Work!$CB90)&gt;Setup!$B$27,"N drift monitor outlier; ",""))))&amp;IF(Work!$D90&lt;&gt;"Drift","",IF(Work!$BY90=1,"excluded from C drift fit; ",IF(Work!$CC90="","",IF(ABS(Work!$CC90)&gt;Setup!$B$27,"C drift monitor outlier; ",""))))&amp;IF(Work!$D90="Blank","",IF(Work!$L90="","",IF(Setup!$B$25="","",IF(Fits!$B$6&lt;=0,"",IF(Work!$L90&gt;=Fits!$B$6*Setup!$B$25,"","N peak only "&amp;TEXT(Work!$L90/Fits!$B$6,"0.0")&amp;"x the blank; ")))))&amp;IF(Work!$D90="Blank","",IF(Work!$P90="","",IF(Setup!$B$25="","",IF(Fits!$B$10&lt;=0,"",IF(Work!$P90&gt;=Fits!$B$10*Setup!$B$25,"","C peak only "&amp;TEXT(Work!$P90/Fits!$B$10,"0.0")&amp;"x the blank; ")))))&amp;IF(Work!$A90&gt;=Fits!$B$86,"","ran before the background settled; ")&amp;IF(Work!$EN90=1,"possible carryover from an oversized sample; ",""))</f>
        <v/>
      </c>
      <c r="L89" s="26" t="str">
        <f aca="false">IF(Work!$CN90="","",Work!$CN90)</f>
        <v/>
      </c>
      <c r="M89" s="26" t="str">
        <f aca="false">IF(Work!$CO90="","",Work!$CO90)</f>
        <v/>
      </c>
      <c r="N89" s="26" t="str">
        <f aca="false">IF(Work!$CL90="","",Work!$CL90)</f>
        <v/>
      </c>
      <c r="O89" s="26" t="str">
        <f aca="false">IF(Work!$CM90="","",Work!$CM90)</f>
        <v/>
      </c>
    </row>
    <row r="90" customFormat="false" ht="15" hidden="false" customHeight="false" outlineLevel="0" collapsed="false">
      <c r="A90" s="8" t="str">
        <f aca="false">IF(Work!$B91="","",Work!$A91)</f>
        <v/>
      </c>
      <c r="B90" s="8" t="str">
        <f aca="false">IF(Work!$B91="","",Work!$B91)</f>
        <v/>
      </c>
      <c r="C90" s="8" t="str">
        <f aca="false">IF(Work!$B91="","",Work!$D91)</f>
        <v/>
      </c>
      <c r="D90" s="16" t="str">
        <f aca="false">IF(Work!$G91="","",Work!$G91)</f>
        <v/>
      </c>
      <c r="E90" s="23" t="str">
        <f aca="false">IF(Work!$AJ91="","",Work!$AJ91)</f>
        <v/>
      </c>
      <c r="F90" s="23" t="str">
        <f aca="false">IF(Work!$AI91="","",Work!$AI91)</f>
        <v/>
      </c>
      <c r="G90" s="23" t="str">
        <f aca="false">IF(Work!$AK91="","",Work!$AK91)</f>
        <v/>
      </c>
      <c r="H90" s="23" t="str">
        <f aca="false">IF(Work!$AL91="","",Work!$AL91)</f>
        <v/>
      </c>
      <c r="I90" s="23" t="str">
        <f aca="false">IF(Work!$AF91="","",Work!$AF91)</f>
        <v/>
      </c>
      <c r="J90" s="23" t="str">
        <f aca="false">IF(Work!$AA91="","",Work!$AA91)</f>
        <v/>
      </c>
      <c r="K90" s="8" t="str">
        <f aca="false">IF(Work!$B91="","",IF(Work!$L91="","no N peak; ","")&amp;IF(Work!$P91="","no C peak; ","")&amp;IF(Work!$L91="","",IF(Fits!$B$81&lt;=0,"",IF(Work!$L91&lt;Fits!$B$81,"N below linearity range; ",IF(Fits!$B$97&lt;=0,"",IF(Work!$L91&gt;Fits!$B$97,"N above linearity range; ","")))))&amp;IF(Work!$P91="","",IF(Fits!$B$82&lt;=0,"",IF(Work!$P91&lt;Fits!$B$82,"C below linearity range; ",IF(Fits!$B$104&lt;=0,"",IF(Work!$P91&gt;Fits!$B$104,"C above linearity range; ","")))))&amp;IF(OR(Work!$D91="Sample",Work!$D91="Check"),IF(Work!$AA91="","",IF(Fits!$B$138="","",IF(AND(Work!$AA91&gt;=Fits!$B$138,Work!$AA91&lt;=Fits!$B$139),"","d15N outside anchor range; "))),"")&amp;IF(OR(Work!$D91="Sample",Work!$D91="Check"),IF(Work!$AF91="","",IF(Fits!$B$158="","",IF(AND(Work!$AF91&gt;=Fits!$B$158,Work!$AF91&lt;=Fits!$B$159),"","d13C outside anchor range; "))),"")&amp;IF(Work!$D91&lt;&gt;"Check","",IF(Work!$AA91="","",IF(Work!$S91="","",IF(ABS(Work!$AA91-Work!$S91)&lt;=Setup!$B$20,"","check d15N off by "&amp;TEXT(Work!$AA91-Work!$S91,"+0.00;-0.00")&amp;"; "))))&amp;IF(Work!$D91&lt;&gt;"Check","",IF(Work!$AF91="","",IF(Work!$T91="","",IF(ABS(Work!$AF91-Work!$T91)&lt;=Setup!$B$20,"","check d13C off by "&amp;TEXT(Work!$AF91-Work!$T91,"+0.00;-0.00")&amp;"; "))))&amp;IF(Work!$D91&lt;&gt;"Drift","",IF(Work!$BX91=1,"excluded from N drift fit; ",IF(Work!$CB91="","",IF(ABS(Work!$CB91)&gt;Setup!$B$27,"N drift monitor outlier; ",""))))&amp;IF(Work!$D91&lt;&gt;"Drift","",IF(Work!$BY91=1,"excluded from C drift fit; ",IF(Work!$CC91="","",IF(ABS(Work!$CC91)&gt;Setup!$B$27,"C drift monitor outlier; ",""))))&amp;IF(Work!$D91="Blank","",IF(Work!$L91="","",IF(Setup!$B$25="","",IF(Fits!$B$6&lt;=0,"",IF(Work!$L91&gt;=Fits!$B$6*Setup!$B$25,"","N peak only "&amp;TEXT(Work!$L91/Fits!$B$6,"0.0")&amp;"x the blank; ")))))&amp;IF(Work!$D91="Blank","",IF(Work!$P91="","",IF(Setup!$B$25="","",IF(Fits!$B$10&lt;=0,"",IF(Work!$P91&gt;=Fits!$B$10*Setup!$B$25,"","C peak only "&amp;TEXT(Work!$P91/Fits!$B$10,"0.0")&amp;"x the blank; ")))))&amp;IF(Work!$A91&gt;=Fits!$B$86,"","ran before the background settled; ")&amp;IF(Work!$EN91=1,"possible carryover from an oversized sample; ",""))</f>
        <v/>
      </c>
      <c r="L90" s="26" t="str">
        <f aca="false">IF(Work!$CN91="","",Work!$CN91)</f>
        <v/>
      </c>
      <c r="M90" s="26" t="str">
        <f aca="false">IF(Work!$CO91="","",Work!$CO91)</f>
        <v/>
      </c>
      <c r="N90" s="26" t="str">
        <f aca="false">IF(Work!$CL91="","",Work!$CL91)</f>
        <v/>
      </c>
      <c r="O90" s="26" t="str">
        <f aca="false">IF(Work!$CM91="","",Work!$CM91)</f>
        <v/>
      </c>
    </row>
    <row r="91" customFormat="false" ht="15" hidden="false" customHeight="false" outlineLevel="0" collapsed="false">
      <c r="A91" s="8" t="str">
        <f aca="false">IF(Work!$B92="","",Work!$A92)</f>
        <v/>
      </c>
      <c r="B91" s="8" t="str">
        <f aca="false">IF(Work!$B92="","",Work!$B92)</f>
        <v/>
      </c>
      <c r="C91" s="8" t="str">
        <f aca="false">IF(Work!$B92="","",Work!$D92)</f>
        <v/>
      </c>
      <c r="D91" s="16" t="str">
        <f aca="false">IF(Work!$G92="","",Work!$G92)</f>
        <v/>
      </c>
      <c r="E91" s="23" t="str">
        <f aca="false">IF(Work!$AJ92="","",Work!$AJ92)</f>
        <v/>
      </c>
      <c r="F91" s="23" t="str">
        <f aca="false">IF(Work!$AI92="","",Work!$AI92)</f>
        <v/>
      </c>
      <c r="G91" s="23" t="str">
        <f aca="false">IF(Work!$AK92="","",Work!$AK92)</f>
        <v/>
      </c>
      <c r="H91" s="23" t="str">
        <f aca="false">IF(Work!$AL92="","",Work!$AL92)</f>
        <v/>
      </c>
      <c r="I91" s="23" t="str">
        <f aca="false">IF(Work!$AF92="","",Work!$AF92)</f>
        <v/>
      </c>
      <c r="J91" s="23" t="str">
        <f aca="false">IF(Work!$AA92="","",Work!$AA92)</f>
        <v/>
      </c>
      <c r="K91" s="8" t="str">
        <f aca="false">IF(Work!$B92="","",IF(Work!$L92="","no N peak; ","")&amp;IF(Work!$P92="","no C peak; ","")&amp;IF(Work!$L92="","",IF(Fits!$B$81&lt;=0,"",IF(Work!$L92&lt;Fits!$B$81,"N below linearity range; ",IF(Fits!$B$97&lt;=0,"",IF(Work!$L92&gt;Fits!$B$97,"N above linearity range; ","")))))&amp;IF(Work!$P92="","",IF(Fits!$B$82&lt;=0,"",IF(Work!$P92&lt;Fits!$B$82,"C below linearity range; ",IF(Fits!$B$104&lt;=0,"",IF(Work!$P92&gt;Fits!$B$104,"C above linearity range; ","")))))&amp;IF(OR(Work!$D92="Sample",Work!$D92="Check"),IF(Work!$AA92="","",IF(Fits!$B$138="","",IF(AND(Work!$AA92&gt;=Fits!$B$138,Work!$AA92&lt;=Fits!$B$139),"","d15N outside anchor range; "))),"")&amp;IF(OR(Work!$D92="Sample",Work!$D92="Check"),IF(Work!$AF92="","",IF(Fits!$B$158="","",IF(AND(Work!$AF92&gt;=Fits!$B$158,Work!$AF92&lt;=Fits!$B$159),"","d13C outside anchor range; "))),"")&amp;IF(Work!$D92&lt;&gt;"Check","",IF(Work!$AA92="","",IF(Work!$S92="","",IF(ABS(Work!$AA92-Work!$S92)&lt;=Setup!$B$20,"","check d15N off by "&amp;TEXT(Work!$AA92-Work!$S92,"+0.00;-0.00")&amp;"; "))))&amp;IF(Work!$D92&lt;&gt;"Check","",IF(Work!$AF92="","",IF(Work!$T92="","",IF(ABS(Work!$AF92-Work!$T92)&lt;=Setup!$B$20,"","check d13C off by "&amp;TEXT(Work!$AF92-Work!$T92,"+0.00;-0.00")&amp;"; "))))&amp;IF(Work!$D92&lt;&gt;"Drift","",IF(Work!$BX92=1,"excluded from N drift fit; ",IF(Work!$CB92="","",IF(ABS(Work!$CB92)&gt;Setup!$B$27,"N drift monitor outlier; ",""))))&amp;IF(Work!$D92&lt;&gt;"Drift","",IF(Work!$BY92=1,"excluded from C drift fit; ",IF(Work!$CC92="","",IF(ABS(Work!$CC92)&gt;Setup!$B$27,"C drift monitor outlier; ",""))))&amp;IF(Work!$D92="Blank","",IF(Work!$L92="","",IF(Setup!$B$25="","",IF(Fits!$B$6&lt;=0,"",IF(Work!$L92&gt;=Fits!$B$6*Setup!$B$25,"","N peak only "&amp;TEXT(Work!$L92/Fits!$B$6,"0.0")&amp;"x the blank; ")))))&amp;IF(Work!$D92="Blank","",IF(Work!$P92="","",IF(Setup!$B$25="","",IF(Fits!$B$10&lt;=0,"",IF(Work!$P92&gt;=Fits!$B$10*Setup!$B$25,"","C peak only "&amp;TEXT(Work!$P92/Fits!$B$10,"0.0")&amp;"x the blank; ")))))&amp;IF(Work!$A92&gt;=Fits!$B$86,"","ran before the background settled; ")&amp;IF(Work!$EN92=1,"possible carryover from an oversized sample; ",""))</f>
        <v/>
      </c>
      <c r="L91" s="26" t="str">
        <f aca="false">IF(Work!$CN92="","",Work!$CN92)</f>
        <v/>
      </c>
      <c r="M91" s="26" t="str">
        <f aca="false">IF(Work!$CO92="","",Work!$CO92)</f>
        <v/>
      </c>
      <c r="N91" s="26" t="str">
        <f aca="false">IF(Work!$CL92="","",Work!$CL92)</f>
        <v/>
      </c>
      <c r="O91" s="26" t="str">
        <f aca="false">IF(Work!$CM92="","",Work!$CM92)</f>
        <v/>
      </c>
    </row>
    <row r="92" customFormat="false" ht="15" hidden="false" customHeight="false" outlineLevel="0" collapsed="false">
      <c r="A92" s="8" t="str">
        <f aca="false">IF(Work!$B93="","",Work!$A93)</f>
        <v/>
      </c>
      <c r="B92" s="8" t="str">
        <f aca="false">IF(Work!$B93="","",Work!$B93)</f>
        <v/>
      </c>
      <c r="C92" s="8" t="str">
        <f aca="false">IF(Work!$B93="","",Work!$D93)</f>
        <v/>
      </c>
      <c r="D92" s="16" t="str">
        <f aca="false">IF(Work!$G93="","",Work!$G93)</f>
        <v/>
      </c>
      <c r="E92" s="23" t="str">
        <f aca="false">IF(Work!$AJ93="","",Work!$AJ93)</f>
        <v/>
      </c>
      <c r="F92" s="23" t="str">
        <f aca="false">IF(Work!$AI93="","",Work!$AI93)</f>
        <v/>
      </c>
      <c r="G92" s="23" t="str">
        <f aca="false">IF(Work!$AK93="","",Work!$AK93)</f>
        <v/>
      </c>
      <c r="H92" s="23" t="str">
        <f aca="false">IF(Work!$AL93="","",Work!$AL93)</f>
        <v/>
      </c>
      <c r="I92" s="23" t="str">
        <f aca="false">IF(Work!$AF93="","",Work!$AF93)</f>
        <v/>
      </c>
      <c r="J92" s="23" t="str">
        <f aca="false">IF(Work!$AA93="","",Work!$AA93)</f>
        <v/>
      </c>
      <c r="K92" s="8" t="str">
        <f aca="false">IF(Work!$B93="","",IF(Work!$L93="","no N peak; ","")&amp;IF(Work!$P93="","no C peak; ","")&amp;IF(Work!$L93="","",IF(Fits!$B$81&lt;=0,"",IF(Work!$L93&lt;Fits!$B$81,"N below linearity range; ",IF(Fits!$B$97&lt;=0,"",IF(Work!$L93&gt;Fits!$B$97,"N above linearity range; ","")))))&amp;IF(Work!$P93="","",IF(Fits!$B$82&lt;=0,"",IF(Work!$P93&lt;Fits!$B$82,"C below linearity range; ",IF(Fits!$B$104&lt;=0,"",IF(Work!$P93&gt;Fits!$B$104,"C above linearity range; ","")))))&amp;IF(OR(Work!$D93="Sample",Work!$D93="Check"),IF(Work!$AA93="","",IF(Fits!$B$138="","",IF(AND(Work!$AA93&gt;=Fits!$B$138,Work!$AA93&lt;=Fits!$B$139),"","d15N outside anchor range; "))),"")&amp;IF(OR(Work!$D93="Sample",Work!$D93="Check"),IF(Work!$AF93="","",IF(Fits!$B$158="","",IF(AND(Work!$AF93&gt;=Fits!$B$158,Work!$AF93&lt;=Fits!$B$159),"","d13C outside anchor range; "))),"")&amp;IF(Work!$D93&lt;&gt;"Check","",IF(Work!$AA93="","",IF(Work!$S93="","",IF(ABS(Work!$AA93-Work!$S93)&lt;=Setup!$B$20,"","check d15N off by "&amp;TEXT(Work!$AA93-Work!$S93,"+0.00;-0.00")&amp;"; "))))&amp;IF(Work!$D93&lt;&gt;"Check","",IF(Work!$AF93="","",IF(Work!$T93="","",IF(ABS(Work!$AF93-Work!$T93)&lt;=Setup!$B$20,"","check d13C off by "&amp;TEXT(Work!$AF93-Work!$T93,"+0.00;-0.00")&amp;"; "))))&amp;IF(Work!$D93&lt;&gt;"Drift","",IF(Work!$BX93=1,"excluded from N drift fit; ",IF(Work!$CB93="","",IF(ABS(Work!$CB93)&gt;Setup!$B$27,"N drift monitor outlier; ",""))))&amp;IF(Work!$D93&lt;&gt;"Drift","",IF(Work!$BY93=1,"excluded from C drift fit; ",IF(Work!$CC93="","",IF(ABS(Work!$CC93)&gt;Setup!$B$27,"C drift monitor outlier; ",""))))&amp;IF(Work!$D93="Blank","",IF(Work!$L93="","",IF(Setup!$B$25="","",IF(Fits!$B$6&lt;=0,"",IF(Work!$L93&gt;=Fits!$B$6*Setup!$B$25,"","N peak only "&amp;TEXT(Work!$L93/Fits!$B$6,"0.0")&amp;"x the blank; ")))))&amp;IF(Work!$D93="Blank","",IF(Work!$P93="","",IF(Setup!$B$25="","",IF(Fits!$B$10&lt;=0,"",IF(Work!$P93&gt;=Fits!$B$10*Setup!$B$25,"","C peak only "&amp;TEXT(Work!$P93/Fits!$B$10,"0.0")&amp;"x the blank; ")))))&amp;IF(Work!$A93&gt;=Fits!$B$86,"","ran before the background settled; ")&amp;IF(Work!$EN93=1,"possible carryover from an oversized sample; ",""))</f>
        <v/>
      </c>
      <c r="L92" s="26" t="str">
        <f aca="false">IF(Work!$CN93="","",Work!$CN93)</f>
        <v/>
      </c>
      <c r="M92" s="26" t="str">
        <f aca="false">IF(Work!$CO93="","",Work!$CO93)</f>
        <v/>
      </c>
      <c r="N92" s="26" t="str">
        <f aca="false">IF(Work!$CL93="","",Work!$CL93)</f>
        <v/>
      </c>
      <c r="O92" s="26" t="str">
        <f aca="false">IF(Work!$CM93="","",Work!$CM93)</f>
        <v/>
      </c>
    </row>
    <row r="93" customFormat="false" ht="15" hidden="false" customHeight="false" outlineLevel="0" collapsed="false">
      <c r="A93" s="8" t="str">
        <f aca="false">IF(Work!$B94="","",Work!$A94)</f>
        <v/>
      </c>
      <c r="B93" s="8" t="str">
        <f aca="false">IF(Work!$B94="","",Work!$B94)</f>
        <v/>
      </c>
      <c r="C93" s="8" t="str">
        <f aca="false">IF(Work!$B94="","",Work!$D94)</f>
        <v/>
      </c>
      <c r="D93" s="16" t="str">
        <f aca="false">IF(Work!$G94="","",Work!$G94)</f>
        <v/>
      </c>
      <c r="E93" s="23" t="str">
        <f aca="false">IF(Work!$AJ94="","",Work!$AJ94)</f>
        <v/>
      </c>
      <c r="F93" s="23" t="str">
        <f aca="false">IF(Work!$AI94="","",Work!$AI94)</f>
        <v/>
      </c>
      <c r="G93" s="23" t="str">
        <f aca="false">IF(Work!$AK94="","",Work!$AK94)</f>
        <v/>
      </c>
      <c r="H93" s="23" t="str">
        <f aca="false">IF(Work!$AL94="","",Work!$AL94)</f>
        <v/>
      </c>
      <c r="I93" s="23" t="str">
        <f aca="false">IF(Work!$AF94="","",Work!$AF94)</f>
        <v/>
      </c>
      <c r="J93" s="23" t="str">
        <f aca="false">IF(Work!$AA94="","",Work!$AA94)</f>
        <v/>
      </c>
      <c r="K93" s="8" t="str">
        <f aca="false">IF(Work!$B94="","",IF(Work!$L94="","no N peak; ","")&amp;IF(Work!$P94="","no C peak; ","")&amp;IF(Work!$L94="","",IF(Fits!$B$81&lt;=0,"",IF(Work!$L94&lt;Fits!$B$81,"N below linearity range; ",IF(Fits!$B$97&lt;=0,"",IF(Work!$L94&gt;Fits!$B$97,"N above linearity range; ","")))))&amp;IF(Work!$P94="","",IF(Fits!$B$82&lt;=0,"",IF(Work!$P94&lt;Fits!$B$82,"C below linearity range; ",IF(Fits!$B$104&lt;=0,"",IF(Work!$P94&gt;Fits!$B$104,"C above linearity range; ","")))))&amp;IF(OR(Work!$D94="Sample",Work!$D94="Check"),IF(Work!$AA94="","",IF(Fits!$B$138="","",IF(AND(Work!$AA94&gt;=Fits!$B$138,Work!$AA94&lt;=Fits!$B$139),"","d15N outside anchor range; "))),"")&amp;IF(OR(Work!$D94="Sample",Work!$D94="Check"),IF(Work!$AF94="","",IF(Fits!$B$158="","",IF(AND(Work!$AF94&gt;=Fits!$B$158,Work!$AF94&lt;=Fits!$B$159),"","d13C outside anchor range; "))),"")&amp;IF(Work!$D94&lt;&gt;"Check","",IF(Work!$AA94="","",IF(Work!$S94="","",IF(ABS(Work!$AA94-Work!$S94)&lt;=Setup!$B$20,"","check d15N off by "&amp;TEXT(Work!$AA94-Work!$S94,"+0.00;-0.00")&amp;"; "))))&amp;IF(Work!$D94&lt;&gt;"Check","",IF(Work!$AF94="","",IF(Work!$T94="","",IF(ABS(Work!$AF94-Work!$T94)&lt;=Setup!$B$20,"","check d13C off by "&amp;TEXT(Work!$AF94-Work!$T94,"+0.00;-0.00")&amp;"; "))))&amp;IF(Work!$D94&lt;&gt;"Drift","",IF(Work!$BX94=1,"excluded from N drift fit; ",IF(Work!$CB94="","",IF(ABS(Work!$CB94)&gt;Setup!$B$27,"N drift monitor outlier; ",""))))&amp;IF(Work!$D94&lt;&gt;"Drift","",IF(Work!$BY94=1,"excluded from C drift fit; ",IF(Work!$CC94="","",IF(ABS(Work!$CC94)&gt;Setup!$B$27,"C drift monitor outlier; ",""))))&amp;IF(Work!$D94="Blank","",IF(Work!$L94="","",IF(Setup!$B$25="","",IF(Fits!$B$6&lt;=0,"",IF(Work!$L94&gt;=Fits!$B$6*Setup!$B$25,"","N peak only "&amp;TEXT(Work!$L94/Fits!$B$6,"0.0")&amp;"x the blank; ")))))&amp;IF(Work!$D94="Blank","",IF(Work!$P94="","",IF(Setup!$B$25="","",IF(Fits!$B$10&lt;=0,"",IF(Work!$P94&gt;=Fits!$B$10*Setup!$B$25,"","C peak only "&amp;TEXT(Work!$P94/Fits!$B$10,"0.0")&amp;"x the blank; ")))))&amp;IF(Work!$A94&gt;=Fits!$B$86,"","ran before the background settled; ")&amp;IF(Work!$EN94=1,"possible carryover from an oversized sample; ",""))</f>
        <v/>
      </c>
      <c r="L93" s="26" t="str">
        <f aca="false">IF(Work!$CN94="","",Work!$CN94)</f>
        <v/>
      </c>
      <c r="M93" s="26" t="str">
        <f aca="false">IF(Work!$CO94="","",Work!$CO94)</f>
        <v/>
      </c>
      <c r="N93" s="26" t="str">
        <f aca="false">IF(Work!$CL94="","",Work!$CL94)</f>
        <v/>
      </c>
      <c r="O93" s="26" t="str">
        <f aca="false">IF(Work!$CM94="","",Work!$CM94)</f>
        <v/>
      </c>
    </row>
    <row r="94" customFormat="false" ht="15" hidden="false" customHeight="false" outlineLevel="0" collapsed="false">
      <c r="A94" s="8" t="str">
        <f aca="false">IF(Work!$B95="","",Work!$A95)</f>
        <v/>
      </c>
      <c r="B94" s="8" t="str">
        <f aca="false">IF(Work!$B95="","",Work!$B95)</f>
        <v/>
      </c>
      <c r="C94" s="8" t="str">
        <f aca="false">IF(Work!$B95="","",Work!$D95)</f>
        <v/>
      </c>
      <c r="D94" s="16" t="str">
        <f aca="false">IF(Work!$G95="","",Work!$G95)</f>
        <v/>
      </c>
      <c r="E94" s="23" t="str">
        <f aca="false">IF(Work!$AJ95="","",Work!$AJ95)</f>
        <v/>
      </c>
      <c r="F94" s="23" t="str">
        <f aca="false">IF(Work!$AI95="","",Work!$AI95)</f>
        <v/>
      </c>
      <c r="G94" s="23" t="str">
        <f aca="false">IF(Work!$AK95="","",Work!$AK95)</f>
        <v/>
      </c>
      <c r="H94" s="23" t="str">
        <f aca="false">IF(Work!$AL95="","",Work!$AL95)</f>
        <v/>
      </c>
      <c r="I94" s="23" t="str">
        <f aca="false">IF(Work!$AF95="","",Work!$AF95)</f>
        <v/>
      </c>
      <c r="J94" s="23" t="str">
        <f aca="false">IF(Work!$AA95="","",Work!$AA95)</f>
        <v/>
      </c>
      <c r="K94" s="8" t="str">
        <f aca="false">IF(Work!$B95="","",IF(Work!$L95="","no N peak; ","")&amp;IF(Work!$P95="","no C peak; ","")&amp;IF(Work!$L95="","",IF(Fits!$B$81&lt;=0,"",IF(Work!$L95&lt;Fits!$B$81,"N below linearity range; ",IF(Fits!$B$97&lt;=0,"",IF(Work!$L95&gt;Fits!$B$97,"N above linearity range; ","")))))&amp;IF(Work!$P95="","",IF(Fits!$B$82&lt;=0,"",IF(Work!$P95&lt;Fits!$B$82,"C below linearity range; ",IF(Fits!$B$104&lt;=0,"",IF(Work!$P95&gt;Fits!$B$104,"C above linearity range; ","")))))&amp;IF(OR(Work!$D95="Sample",Work!$D95="Check"),IF(Work!$AA95="","",IF(Fits!$B$138="","",IF(AND(Work!$AA95&gt;=Fits!$B$138,Work!$AA95&lt;=Fits!$B$139),"","d15N outside anchor range; "))),"")&amp;IF(OR(Work!$D95="Sample",Work!$D95="Check"),IF(Work!$AF95="","",IF(Fits!$B$158="","",IF(AND(Work!$AF95&gt;=Fits!$B$158,Work!$AF95&lt;=Fits!$B$159),"","d13C outside anchor range; "))),"")&amp;IF(Work!$D95&lt;&gt;"Check","",IF(Work!$AA95="","",IF(Work!$S95="","",IF(ABS(Work!$AA95-Work!$S95)&lt;=Setup!$B$20,"","check d15N off by "&amp;TEXT(Work!$AA95-Work!$S95,"+0.00;-0.00")&amp;"; "))))&amp;IF(Work!$D95&lt;&gt;"Check","",IF(Work!$AF95="","",IF(Work!$T95="","",IF(ABS(Work!$AF95-Work!$T95)&lt;=Setup!$B$20,"","check d13C off by "&amp;TEXT(Work!$AF95-Work!$T95,"+0.00;-0.00")&amp;"; "))))&amp;IF(Work!$D95&lt;&gt;"Drift","",IF(Work!$BX95=1,"excluded from N drift fit; ",IF(Work!$CB95="","",IF(ABS(Work!$CB95)&gt;Setup!$B$27,"N drift monitor outlier; ",""))))&amp;IF(Work!$D95&lt;&gt;"Drift","",IF(Work!$BY95=1,"excluded from C drift fit; ",IF(Work!$CC95="","",IF(ABS(Work!$CC95)&gt;Setup!$B$27,"C drift monitor outlier; ",""))))&amp;IF(Work!$D95="Blank","",IF(Work!$L95="","",IF(Setup!$B$25="","",IF(Fits!$B$6&lt;=0,"",IF(Work!$L95&gt;=Fits!$B$6*Setup!$B$25,"","N peak only "&amp;TEXT(Work!$L95/Fits!$B$6,"0.0")&amp;"x the blank; ")))))&amp;IF(Work!$D95="Blank","",IF(Work!$P95="","",IF(Setup!$B$25="","",IF(Fits!$B$10&lt;=0,"",IF(Work!$P95&gt;=Fits!$B$10*Setup!$B$25,"","C peak only "&amp;TEXT(Work!$P95/Fits!$B$10,"0.0")&amp;"x the blank; ")))))&amp;IF(Work!$A95&gt;=Fits!$B$86,"","ran before the background settled; ")&amp;IF(Work!$EN95=1,"possible carryover from an oversized sample; ",""))</f>
        <v/>
      </c>
      <c r="L94" s="26" t="str">
        <f aca="false">IF(Work!$CN95="","",Work!$CN95)</f>
        <v/>
      </c>
      <c r="M94" s="26" t="str">
        <f aca="false">IF(Work!$CO95="","",Work!$CO95)</f>
        <v/>
      </c>
      <c r="N94" s="26" t="str">
        <f aca="false">IF(Work!$CL95="","",Work!$CL95)</f>
        <v/>
      </c>
      <c r="O94" s="26" t="str">
        <f aca="false">IF(Work!$CM95="","",Work!$CM95)</f>
        <v/>
      </c>
    </row>
    <row r="95" customFormat="false" ht="15" hidden="false" customHeight="false" outlineLevel="0" collapsed="false">
      <c r="A95" s="8" t="str">
        <f aca="false">IF(Work!$B96="","",Work!$A96)</f>
        <v/>
      </c>
      <c r="B95" s="8" t="str">
        <f aca="false">IF(Work!$B96="","",Work!$B96)</f>
        <v/>
      </c>
      <c r="C95" s="8" t="str">
        <f aca="false">IF(Work!$B96="","",Work!$D96)</f>
        <v/>
      </c>
      <c r="D95" s="16" t="str">
        <f aca="false">IF(Work!$G96="","",Work!$G96)</f>
        <v/>
      </c>
      <c r="E95" s="23" t="str">
        <f aca="false">IF(Work!$AJ96="","",Work!$AJ96)</f>
        <v/>
      </c>
      <c r="F95" s="23" t="str">
        <f aca="false">IF(Work!$AI96="","",Work!$AI96)</f>
        <v/>
      </c>
      <c r="G95" s="23" t="str">
        <f aca="false">IF(Work!$AK96="","",Work!$AK96)</f>
        <v/>
      </c>
      <c r="H95" s="23" t="str">
        <f aca="false">IF(Work!$AL96="","",Work!$AL96)</f>
        <v/>
      </c>
      <c r="I95" s="23" t="str">
        <f aca="false">IF(Work!$AF96="","",Work!$AF96)</f>
        <v/>
      </c>
      <c r="J95" s="23" t="str">
        <f aca="false">IF(Work!$AA96="","",Work!$AA96)</f>
        <v/>
      </c>
      <c r="K95" s="8" t="str">
        <f aca="false">IF(Work!$B96="","",IF(Work!$L96="","no N peak; ","")&amp;IF(Work!$P96="","no C peak; ","")&amp;IF(Work!$L96="","",IF(Fits!$B$81&lt;=0,"",IF(Work!$L96&lt;Fits!$B$81,"N below linearity range; ",IF(Fits!$B$97&lt;=0,"",IF(Work!$L96&gt;Fits!$B$97,"N above linearity range; ","")))))&amp;IF(Work!$P96="","",IF(Fits!$B$82&lt;=0,"",IF(Work!$P96&lt;Fits!$B$82,"C below linearity range; ",IF(Fits!$B$104&lt;=0,"",IF(Work!$P96&gt;Fits!$B$104,"C above linearity range; ","")))))&amp;IF(OR(Work!$D96="Sample",Work!$D96="Check"),IF(Work!$AA96="","",IF(Fits!$B$138="","",IF(AND(Work!$AA96&gt;=Fits!$B$138,Work!$AA96&lt;=Fits!$B$139),"","d15N outside anchor range; "))),"")&amp;IF(OR(Work!$D96="Sample",Work!$D96="Check"),IF(Work!$AF96="","",IF(Fits!$B$158="","",IF(AND(Work!$AF96&gt;=Fits!$B$158,Work!$AF96&lt;=Fits!$B$159),"","d13C outside anchor range; "))),"")&amp;IF(Work!$D96&lt;&gt;"Check","",IF(Work!$AA96="","",IF(Work!$S96="","",IF(ABS(Work!$AA96-Work!$S96)&lt;=Setup!$B$20,"","check d15N off by "&amp;TEXT(Work!$AA96-Work!$S96,"+0.00;-0.00")&amp;"; "))))&amp;IF(Work!$D96&lt;&gt;"Check","",IF(Work!$AF96="","",IF(Work!$T96="","",IF(ABS(Work!$AF96-Work!$T96)&lt;=Setup!$B$20,"","check d13C off by "&amp;TEXT(Work!$AF96-Work!$T96,"+0.00;-0.00")&amp;"; "))))&amp;IF(Work!$D96&lt;&gt;"Drift","",IF(Work!$BX96=1,"excluded from N drift fit; ",IF(Work!$CB96="","",IF(ABS(Work!$CB96)&gt;Setup!$B$27,"N drift monitor outlier; ",""))))&amp;IF(Work!$D96&lt;&gt;"Drift","",IF(Work!$BY96=1,"excluded from C drift fit; ",IF(Work!$CC96="","",IF(ABS(Work!$CC96)&gt;Setup!$B$27,"C drift monitor outlier; ",""))))&amp;IF(Work!$D96="Blank","",IF(Work!$L96="","",IF(Setup!$B$25="","",IF(Fits!$B$6&lt;=0,"",IF(Work!$L96&gt;=Fits!$B$6*Setup!$B$25,"","N peak only "&amp;TEXT(Work!$L96/Fits!$B$6,"0.0")&amp;"x the blank; ")))))&amp;IF(Work!$D96="Blank","",IF(Work!$P96="","",IF(Setup!$B$25="","",IF(Fits!$B$10&lt;=0,"",IF(Work!$P96&gt;=Fits!$B$10*Setup!$B$25,"","C peak only "&amp;TEXT(Work!$P96/Fits!$B$10,"0.0")&amp;"x the blank; ")))))&amp;IF(Work!$A96&gt;=Fits!$B$86,"","ran before the background settled; ")&amp;IF(Work!$EN96=1,"possible carryover from an oversized sample; ",""))</f>
        <v/>
      </c>
      <c r="L95" s="26" t="str">
        <f aca="false">IF(Work!$CN96="","",Work!$CN96)</f>
        <v/>
      </c>
      <c r="M95" s="26" t="str">
        <f aca="false">IF(Work!$CO96="","",Work!$CO96)</f>
        <v/>
      </c>
      <c r="N95" s="26" t="str">
        <f aca="false">IF(Work!$CL96="","",Work!$CL96)</f>
        <v/>
      </c>
      <c r="O95" s="26" t="str">
        <f aca="false">IF(Work!$CM96="","",Work!$CM96)</f>
        <v/>
      </c>
    </row>
    <row r="96" customFormat="false" ht="15" hidden="false" customHeight="false" outlineLevel="0" collapsed="false">
      <c r="A96" s="8" t="str">
        <f aca="false">IF(Work!$B97="","",Work!$A97)</f>
        <v/>
      </c>
      <c r="B96" s="8" t="str">
        <f aca="false">IF(Work!$B97="","",Work!$B97)</f>
        <v/>
      </c>
      <c r="C96" s="8" t="str">
        <f aca="false">IF(Work!$B97="","",Work!$D97)</f>
        <v/>
      </c>
      <c r="D96" s="16" t="str">
        <f aca="false">IF(Work!$G97="","",Work!$G97)</f>
        <v/>
      </c>
      <c r="E96" s="23" t="str">
        <f aca="false">IF(Work!$AJ97="","",Work!$AJ97)</f>
        <v/>
      </c>
      <c r="F96" s="23" t="str">
        <f aca="false">IF(Work!$AI97="","",Work!$AI97)</f>
        <v/>
      </c>
      <c r="G96" s="23" t="str">
        <f aca="false">IF(Work!$AK97="","",Work!$AK97)</f>
        <v/>
      </c>
      <c r="H96" s="23" t="str">
        <f aca="false">IF(Work!$AL97="","",Work!$AL97)</f>
        <v/>
      </c>
      <c r="I96" s="23" t="str">
        <f aca="false">IF(Work!$AF97="","",Work!$AF97)</f>
        <v/>
      </c>
      <c r="J96" s="23" t="str">
        <f aca="false">IF(Work!$AA97="","",Work!$AA97)</f>
        <v/>
      </c>
      <c r="K96" s="8" t="str">
        <f aca="false">IF(Work!$B97="","",IF(Work!$L97="","no N peak; ","")&amp;IF(Work!$P97="","no C peak; ","")&amp;IF(Work!$L97="","",IF(Fits!$B$81&lt;=0,"",IF(Work!$L97&lt;Fits!$B$81,"N below linearity range; ",IF(Fits!$B$97&lt;=0,"",IF(Work!$L97&gt;Fits!$B$97,"N above linearity range; ","")))))&amp;IF(Work!$P97="","",IF(Fits!$B$82&lt;=0,"",IF(Work!$P97&lt;Fits!$B$82,"C below linearity range; ",IF(Fits!$B$104&lt;=0,"",IF(Work!$P97&gt;Fits!$B$104,"C above linearity range; ","")))))&amp;IF(OR(Work!$D97="Sample",Work!$D97="Check"),IF(Work!$AA97="","",IF(Fits!$B$138="","",IF(AND(Work!$AA97&gt;=Fits!$B$138,Work!$AA97&lt;=Fits!$B$139),"","d15N outside anchor range; "))),"")&amp;IF(OR(Work!$D97="Sample",Work!$D97="Check"),IF(Work!$AF97="","",IF(Fits!$B$158="","",IF(AND(Work!$AF97&gt;=Fits!$B$158,Work!$AF97&lt;=Fits!$B$159),"","d13C outside anchor range; "))),"")&amp;IF(Work!$D97&lt;&gt;"Check","",IF(Work!$AA97="","",IF(Work!$S97="","",IF(ABS(Work!$AA97-Work!$S97)&lt;=Setup!$B$20,"","check d15N off by "&amp;TEXT(Work!$AA97-Work!$S97,"+0.00;-0.00")&amp;"; "))))&amp;IF(Work!$D97&lt;&gt;"Check","",IF(Work!$AF97="","",IF(Work!$T97="","",IF(ABS(Work!$AF97-Work!$T97)&lt;=Setup!$B$20,"","check d13C off by "&amp;TEXT(Work!$AF97-Work!$T97,"+0.00;-0.00")&amp;"; "))))&amp;IF(Work!$D97&lt;&gt;"Drift","",IF(Work!$BX97=1,"excluded from N drift fit; ",IF(Work!$CB97="","",IF(ABS(Work!$CB97)&gt;Setup!$B$27,"N drift monitor outlier; ",""))))&amp;IF(Work!$D97&lt;&gt;"Drift","",IF(Work!$BY97=1,"excluded from C drift fit; ",IF(Work!$CC97="","",IF(ABS(Work!$CC97)&gt;Setup!$B$27,"C drift monitor outlier; ",""))))&amp;IF(Work!$D97="Blank","",IF(Work!$L97="","",IF(Setup!$B$25="","",IF(Fits!$B$6&lt;=0,"",IF(Work!$L97&gt;=Fits!$B$6*Setup!$B$25,"","N peak only "&amp;TEXT(Work!$L97/Fits!$B$6,"0.0")&amp;"x the blank; ")))))&amp;IF(Work!$D97="Blank","",IF(Work!$P97="","",IF(Setup!$B$25="","",IF(Fits!$B$10&lt;=0,"",IF(Work!$P97&gt;=Fits!$B$10*Setup!$B$25,"","C peak only "&amp;TEXT(Work!$P97/Fits!$B$10,"0.0")&amp;"x the blank; ")))))&amp;IF(Work!$A97&gt;=Fits!$B$86,"","ran before the background settled; ")&amp;IF(Work!$EN97=1,"possible carryover from an oversized sample; ",""))</f>
        <v/>
      </c>
      <c r="L96" s="26" t="str">
        <f aca="false">IF(Work!$CN97="","",Work!$CN97)</f>
        <v/>
      </c>
      <c r="M96" s="26" t="str">
        <f aca="false">IF(Work!$CO97="","",Work!$CO97)</f>
        <v/>
      </c>
      <c r="N96" s="26" t="str">
        <f aca="false">IF(Work!$CL97="","",Work!$CL97)</f>
        <v/>
      </c>
      <c r="O96" s="26" t="str">
        <f aca="false">IF(Work!$CM97="","",Work!$CM97)</f>
        <v/>
      </c>
    </row>
    <row r="97" customFormat="false" ht="15" hidden="false" customHeight="false" outlineLevel="0" collapsed="false">
      <c r="A97" s="8" t="str">
        <f aca="false">IF(Work!$B98="","",Work!$A98)</f>
        <v/>
      </c>
      <c r="B97" s="8" t="str">
        <f aca="false">IF(Work!$B98="","",Work!$B98)</f>
        <v/>
      </c>
      <c r="C97" s="8" t="str">
        <f aca="false">IF(Work!$B98="","",Work!$D98)</f>
        <v/>
      </c>
      <c r="D97" s="16" t="str">
        <f aca="false">IF(Work!$G98="","",Work!$G98)</f>
        <v/>
      </c>
      <c r="E97" s="23" t="str">
        <f aca="false">IF(Work!$AJ98="","",Work!$AJ98)</f>
        <v/>
      </c>
      <c r="F97" s="23" t="str">
        <f aca="false">IF(Work!$AI98="","",Work!$AI98)</f>
        <v/>
      </c>
      <c r="G97" s="23" t="str">
        <f aca="false">IF(Work!$AK98="","",Work!$AK98)</f>
        <v/>
      </c>
      <c r="H97" s="23" t="str">
        <f aca="false">IF(Work!$AL98="","",Work!$AL98)</f>
        <v/>
      </c>
      <c r="I97" s="23" t="str">
        <f aca="false">IF(Work!$AF98="","",Work!$AF98)</f>
        <v/>
      </c>
      <c r="J97" s="23" t="str">
        <f aca="false">IF(Work!$AA98="","",Work!$AA98)</f>
        <v/>
      </c>
      <c r="K97" s="8" t="str">
        <f aca="false">IF(Work!$B98="","",IF(Work!$L98="","no N peak; ","")&amp;IF(Work!$P98="","no C peak; ","")&amp;IF(Work!$L98="","",IF(Fits!$B$81&lt;=0,"",IF(Work!$L98&lt;Fits!$B$81,"N below linearity range; ",IF(Fits!$B$97&lt;=0,"",IF(Work!$L98&gt;Fits!$B$97,"N above linearity range; ","")))))&amp;IF(Work!$P98="","",IF(Fits!$B$82&lt;=0,"",IF(Work!$P98&lt;Fits!$B$82,"C below linearity range; ",IF(Fits!$B$104&lt;=0,"",IF(Work!$P98&gt;Fits!$B$104,"C above linearity range; ","")))))&amp;IF(OR(Work!$D98="Sample",Work!$D98="Check"),IF(Work!$AA98="","",IF(Fits!$B$138="","",IF(AND(Work!$AA98&gt;=Fits!$B$138,Work!$AA98&lt;=Fits!$B$139),"","d15N outside anchor range; "))),"")&amp;IF(OR(Work!$D98="Sample",Work!$D98="Check"),IF(Work!$AF98="","",IF(Fits!$B$158="","",IF(AND(Work!$AF98&gt;=Fits!$B$158,Work!$AF98&lt;=Fits!$B$159),"","d13C outside anchor range; "))),"")&amp;IF(Work!$D98&lt;&gt;"Check","",IF(Work!$AA98="","",IF(Work!$S98="","",IF(ABS(Work!$AA98-Work!$S98)&lt;=Setup!$B$20,"","check d15N off by "&amp;TEXT(Work!$AA98-Work!$S98,"+0.00;-0.00")&amp;"; "))))&amp;IF(Work!$D98&lt;&gt;"Check","",IF(Work!$AF98="","",IF(Work!$T98="","",IF(ABS(Work!$AF98-Work!$T98)&lt;=Setup!$B$20,"","check d13C off by "&amp;TEXT(Work!$AF98-Work!$T98,"+0.00;-0.00")&amp;"; "))))&amp;IF(Work!$D98&lt;&gt;"Drift","",IF(Work!$BX98=1,"excluded from N drift fit; ",IF(Work!$CB98="","",IF(ABS(Work!$CB98)&gt;Setup!$B$27,"N drift monitor outlier; ",""))))&amp;IF(Work!$D98&lt;&gt;"Drift","",IF(Work!$BY98=1,"excluded from C drift fit; ",IF(Work!$CC98="","",IF(ABS(Work!$CC98)&gt;Setup!$B$27,"C drift monitor outlier; ",""))))&amp;IF(Work!$D98="Blank","",IF(Work!$L98="","",IF(Setup!$B$25="","",IF(Fits!$B$6&lt;=0,"",IF(Work!$L98&gt;=Fits!$B$6*Setup!$B$25,"","N peak only "&amp;TEXT(Work!$L98/Fits!$B$6,"0.0")&amp;"x the blank; ")))))&amp;IF(Work!$D98="Blank","",IF(Work!$P98="","",IF(Setup!$B$25="","",IF(Fits!$B$10&lt;=0,"",IF(Work!$P98&gt;=Fits!$B$10*Setup!$B$25,"","C peak only "&amp;TEXT(Work!$P98/Fits!$B$10,"0.0")&amp;"x the blank; ")))))&amp;IF(Work!$A98&gt;=Fits!$B$86,"","ran before the background settled; ")&amp;IF(Work!$EN98=1,"possible carryover from an oversized sample; ",""))</f>
        <v/>
      </c>
      <c r="L97" s="26" t="str">
        <f aca="false">IF(Work!$CN98="","",Work!$CN98)</f>
        <v/>
      </c>
      <c r="M97" s="26" t="str">
        <f aca="false">IF(Work!$CO98="","",Work!$CO98)</f>
        <v/>
      </c>
      <c r="N97" s="26" t="str">
        <f aca="false">IF(Work!$CL98="","",Work!$CL98)</f>
        <v/>
      </c>
      <c r="O97" s="26" t="str">
        <f aca="false">IF(Work!$CM98="","",Work!$CM98)</f>
        <v/>
      </c>
    </row>
    <row r="98" customFormat="false" ht="15" hidden="false" customHeight="false" outlineLevel="0" collapsed="false">
      <c r="A98" s="8" t="str">
        <f aca="false">IF(Work!$B99="","",Work!$A99)</f>
        <v/>
      </c>
      <c r="B98" s="8" t="str">
        <f aca="false">IF(Work!$B99="","",Work!$B99)</f>
        <v/>
      </c>
      <c r="C98" s="8" t="str">
        <f aca="false">IF(Work!$B99="","",Work!$D99)</f>
        <v/>
      </c>
      <c r="D98" s="16" t="str">
        <f aca="false">IF(Work!$G99="","",Work!$G99)</f>
        <v/>
      </c>
      <c r="E98" s="23" t="str">
        <f aca="false">IF(Work!$AJ99="","",Work!$AJ99)</f>
        <v/>
      </c>
      <c r="F98" s="23" t="str">
        <f aca="false">IF(Work!$AI99="","",Work!$AI99)</f>
        <v/>
      </c>
      <c r="G98" s="23" t="str">
        <f aca="false">IF(Work!$AK99="","",Work!$AK99)</f>
        <v/>
      </c>
      <c r="H98" s="23" t="str">
        <f aca="false">IF(Work!$AL99="","",Work!$AL99)</f>
        <v/>
      </c>
      <c r="I98" s="23" t="str">
        <f aca="false">IF(Work!$AF99="","",Work!$AF99)</f>
        <v/>
      </c>
      <c r="J98" s="23" t="str">
        <f aca="false">IF(Work!$AA99="","",Work!$AA99)</f>
        <v/>
      </c>
      <c r="K98" s="8" t="str">
        <f aca="false">IF(Work!$B99="","",IF(Work!$L99="","no N peak; ","")&amp;IF(Work!$P99="","no C peak; ","")&amp;IF(Work!$L99="","",IF(Fits!$B$81&lt;=0,"",IF(Work!$L99&lt;Fits!$B$81,"N below linearity range; ",IF(Fits!$B$97&lt;=0,"",IF(Work!$L99&gt;Fits!$B$97,"N above linearity range; ","")))))&amp;IF(Work!$P99="","",IF(Fits!$B$82&lt;=0,"",IF(Work!$P99&lt;Fits!$B$82,"C below linearity range; ",IF(Fits!$B$104&lt;=0,"",IF(Work!$P99&gt;Fits!$B$104,"C above linearity range; ","")))))&amp;IF(OR(Work!$D99="Sample",Work!$D99="Check"),IF(Work!$AA99="","",IF(Fits!$B$138="","",IF(AND(Work!$AA99&gt;=Fits!$B$138,Work!$AA99&lt;=Fits!$B$139),"","d15N outside anchor range; "))),"")&amp;IF(OR(Work!$D99="Sample",Work!$D99="Check"),IF(Work!$AF99="","",IF(Fits!$B$158="","",IF(AND(Work!$AF99&gt;=Fits!$B$158,Work!$AF99&lt;=Fits!$B$159),"","d13C outside anchor range; "))),"")&amp;IF(Work!$D99&lt;&gt;"Check","",IF(Work!$AA99="","",IF(Work!$S99="","",IF(ABS(Work!$AA99-Work!$S99)&lt;=Setup!$B$20,"","check d15N off by "&amp;TEXT(Work!$AA99-Work!$S99,"+0.00;-0.00")&amp;"; "))))&amp;IF(Work!$D99&lt;&gt;"Check","",IF(Work!$AF99="","",IF(Work!$T99="","",IF(ABS(Work!$AF99-Work!$T99)&lt;=Setup!$B$20,"","check d13C off by "&amp;TEXT(Work!$AF99-Work!$T99,"+0.00;-0.00")&amp;"; "))))&amp;IF(Work!$D99&lt;&gt;"Drift","",IF(Work!$BX99=1,"excluded from N drift fit; ",IF(Work!$CB99="","",IF(ABS(Work!$CB99)&gt;Setup!$B$27,"N drift monitor outlier; ",""))))&amp;IF(Work!$D99&lt;&gt;"Drift","",IF(Work!$BY99=1,"excluded from C drift fit; ",IF(Work!$CC99="","",IF(ABS(Work!$CC99)&gt;Setup!$B$27,"C drift monitor outlier; ",""))))&amp;IF(Work!$D99="Blank","",IF(Work!$L99="","",IF(Setup!$B$25="","",IF(Fits!$B$6&lt;=0,"",IF(Work!$L99&gt;=Fits!$B$6*Setup!$B$25,"","N peak only "&amp;TEXT(Work!$L99/Fits!$B$6,"0.0")&amp;"x the blank; ")))))&amp;IF(Work!$D99="Blank","",IF(Work!$P99="","",IF(Setup!$B$25="","",IF(Fits!$B$10&lt;=0,"",IF(Work!$P99&gt;=Fits!$B$10*Setup!$B$25,"","C peak only "&amp;TEXT(Work!$P99/Fits!$B$10,"0.0")&amp;"x the blank; ")))))&amp;IF(Work!$A99&gt;=Fits!$B$86,"","ran before the background settled; ")&amp;IF(Work!$EN99=1,"possible carryover from an oversized sample; ",""))</f>
        <v/>
      </c>
      <c r="L98" s="26" t="str">
        <f aca="false">IF(Work!$CN99="","",Work!$CN99)</f>
        <v/>
      </c>
      <c r="M98" s="26" t="str">
        <f aca="false">IF(Work!$CO99="","",Work!$CO99)</f>
        <v/>
      </c>
      <c r="N98" s="26" t="str">
        <f aca="false">IF(Work!$CL99="","",Work!$CL99)</f>
        <v/>
      </c>
      <c r="O98" s="26" t="str">
        <f aca="false">IF(Work!$CM99="","",Work!$CM99)</f>
        <v/>
      </c>
    </row>
    <row r="99" customFormat="false" ht="15" hidden="false" customHeight="false" outlineLevel="0" collapsed="false">
      <c r="A99" s="8" t="str">
        <f aca="false">IF(Work!$B100="","",Work!$A100)</f>
        <v/>
      </c>
      <c r="B99" s="8" t="str">
        <f aca="false">IF(Work!$B100="","",Work!$B100)</f>
        <v/>
      </c>
      <c r="C99" s="8" t="str">
        <f aca="false">IF(Work!$B100="","",Work!$D100)</f>
        <v/>
      </c>
      <c r="D99" s="16" t="str">
        <f aca="false">IF(Work!$G100="","",Work!$G100)</f>
        <v/>
      </c>
      <c r="E99" s="23" t="str">
        <f aca="false">IF(Work!$AJ100="","",Work!$AJ100)</f>
        <v/>
      </c>
      <c r="F99" s="23" t="str">
        <f aca="false">IF(Work!$AI100="","",Work!$AI100)</f>
        <v/>
      </c>
      <c r="G99" s="23" t="str">
        <f aca="false">IF(Work!$AK100="","",Work!$AK100)</f>
        <v/>
      </c>
      <c r="H99" s="23" t="str">
        <f aca="false">IF(Work!$AL100="","",Work!$AL100)</f>
        <v/>
      </c>
      <c r="I99" s="23" t="str">
        <f aca="false">IF(Work!$AF100="","",Work!$AF100)</f>
        <v/>
      </c>
      <c r="J99" s="23" t="str">
        <f aca="false">IF(Work!$AA100="","",Work!$AA100)</f>
        <v/>
      </c>
      <c r="K99" s="8" t="str">
        <f aca="false">IF(Work!$B100="","",IF(Work!$L100="","no N peak; ","")&amp;IF(Work!$P100="","no C peak; ","")&amp;IF(Work!$L100="","",IF(Fits!$B$81&lt;=0,"",IF(Work!$L100&lt;Fits!$B$81,"N below linearity range; ",IF(Fits!$B$97&lt;=0,"",IF(Work!$L100&gt;Fits!$B$97,"N above linearity range; ","")))))&amp;IF(Work!$P100="","",IF(Fits!$B$82&lt;=0,"",IF(Work!$P100&lt;Fits!$B$82,"C below linearity range; ",IF(Fits!$B$104&lt;=0,"",IF(Work!$P100&gt;Fits!$B$104,"C above linearity range; ","")))))&amp;IF(OR(Work!$D100="Sample",Work!$D100="Check"),IF(Work!$AA100="","",IF(Fits!$B$138="","",IF(AND(Work!$AA100&gt;=Fits!$B$138,Work!$AA100&lt;=Fits!$B$139),"","d15N outside anchor range; "))),"")&amp;IF(OR(Work!$D100="Sample",Work!$D100="Check"),IF(Work!$AF100="","",IF(Fits!$B$158="","",IF(AND(Work!$AF100&gt;=Fits!$B$158,Work!$AF100&lt;=Fits!$B$159),"","d13C outside anchor range; "))),"")&amp;IF(Work!$D100&lt;&gt;"Check","",IF(Work!$AA100="","",IF(Work!$S100="","",IF(ABS(Work!$AA100-Work!$S100)&lt;=Setup!$B$20,"","check d15N off by "&amp;TEXT(Work!$AA100-Work!$S100,"+0.00;-0.00")&amp;"; "))))&amp;IF(Work!$D100&lt;&gt;"Check","",IF(Work!$AF100="","",IF(Work!$T100="","",IF(ABS(Work!$AF100-Work!$T100)&lt;=Setup!$B$20,"","check d13C off by "&amp;TEXT(Work!$AF100-Work!$T100,"+0.00;-0.00")&amp;"; "))))&amp;IF(Work!$D100&lt;&gt;"Drift","",IF(Work!$BX100=1,"excluded from N drift fit; ",IF(Work!$CB100="","",IF(ABS(Work!$CB100)&gt;Setup!$B$27,"N drift monitor outlier; ",""))))&amp;IF(Work!$D100&lt;&gt;"Drift","",IF(Work!$BY100=1,"excluded from C drift fit; ",IF(Work!$CC100="","",IF(ABS(Work!$CC100)&gt;Setup!$B$27,"C drift monitor outlier; ",""))))&amp;IF(Work!$D100="Blank","",IF(Work!$L100="","",IF(Setup!$B$25="","",IF(Fits!$B$6&lt;=0,"",IF(Work!$L100&gt;=Fits!$B$6*Setup!$B$25,"","N peak only "&amp;TEXT(Work!$L100/Fits!$B$6,"0.0")&amp;"x the blank; ")))))&amp;IF(Work!$D100="Blank","",IF(Work!$P100="","",IF(Setup!$B$25="","",IF(Fits!$B$10&lt;=0,"",IF(Work!$P100&gt;=Fits!$B$10*Setup!$B$25,"","C peak only "&amp;TEXT(Work!$P100/Fits!$B$10,"0.0")&amp;"x the blank; ")))))&amp;IF(Work!$A100&gt;=Fits!$B$86,"","ran before the background settled; ")&amp;IF(Work!$EN100=1,"possible carryover from an oversized sample; ",""))</f>
        <v/>
      </c>
      <c r="L99" s="26" t="str">
        <f aca="false">IF(Work!$CN100="","",Work!$CN100)</f>
        <v/>
      </c>
      <c r="M99" s="26" t="str">
        <f aca="false">IF(Work!$CO100="","",Work!$CO100)</f>
        <v/>
      </c>
      <c r="N99" s="26" t="str">
        <f aca="false">IF(Work!$CL100="","",Work!$CL100)</f>
        <v/>
      </c>
      <c r="O99" s="26" t="str">
        <f aca="false">IF(Work!$CM100="","",Work!$CM100)</f>
        <v/>
      </c>
    </row>
    <row r="100" customFormat="false" ht="15" hidden="false" customHeight="false" outlineLevel="0" collapsed="false">
      <c r="A100" s="8" t="str">
        <f aca="false">IF(Work!$B101="","",Work!$A101)</f>
        <v/>
      </c>
      <c r="B100" s="8" t="str">
        <f aca="false">IF(Work!$B101="","",Work!$B101)</f>
        <v/>
      </c>
      <c r="C100" s="8" t="str">
        <f aca="false">IF(Work!$B101="","",Work!$D101)</f>
        <v/>
      </c>
      <c r="D100" s="16" t="str">
        <f aca="false">IF(Work!$G101="","",Work!$G101)</f>
        <v/>
      </c>
      <c r="E100" s="23" t="str">
        <f aca="false">IF(Work!$AJ101="","",Work!$AJ101)</f>
        <v/>
      </c>
      <c r="F100" s="23" t="str">
        <f aca="false">IF(Work!$AI101="","",Work!$AI101)</f>
        <v/>
      </c>
      <c r="G100" s="23" t="str">
        <f aca="false">IF(Work!$AK101="","",Work!$AK101)</f>
        <v/>
      </c>
      <c r="H100" s="23" t="str">
        <f aca="false">IF(Work!$AL101="","",Work!$AL101)</f>
        <v/>
      </c>
      <c r="I100" s="23" t="str">
        <f aca="false">IF(Work!$AF101="","",Work!$AF101)</f>
        <v/>
      </c>
      <c r="J100" s="23" t="str">
        <f aca="false">IF(Work!$AA101="","",Work!$AA101)</f>
        <v/>
      </c>
      <c r="K100" s="8" t="str">
        <f aca="false">IF(Work!$B101="","",IF(Work!$L101="","no N peak; ","")&amp;IF(Work!$P101="","no C peak; ","")&amp;IF(Work!$L101="","",IF(Fits!$B$81&lt;=0,"",IF(Work!$L101&lt;Fits!$B$81,"N below linearity range; ",IF(Fits!$B$97&lt;=0,"",IF(Work!$L101&gt;Fits!$B$97,"N above linearity range; ","")))))&amp;IF(Work!$P101="","",IF(Fits!$B$82&lt;=0,"",IF(Work!$P101&lt;Fits!$B$82,"C below linearity range; ",IF(Fits!$B$104&lt;=0,"",IF(Work!$P101&gt;Fits!$B$104,"C above linearity range; ","")))))&amp;IF(OR(Work!$D101="Sample",Work!$D101="Check"),IF(Work!$AA101="","",IF(Fits!$B$138="","",IF(AND(Work!$AA101&gt;=Fits!$B$138,Work!$AA101&lt;=Fits!$B$139),"","d15N outside anchor range; "))),"")&amp;IF(OR(Work!$D101="Sample",Work!$D101="Check"),IF(Work!$AF101="","",IF(Fits!$B$158="","",IF(AND(Work!$AF101&gt;=Fits!$B$158,Work!$AF101&lt;=Fits!$B$159),"","d13C outside anchor range; "))),"")&amp;IF(Work!$D101&lt;&gt;"Check","",IF(Work!$AA101="","",IF(Work!$S101="","",IF(ABS(Work!$AA101-Work!$S101)&lt;=Setup!$B$20,"","check d15N off by "&amp;TEXT(Work!$AA101-Work!$S101,"+0.00;-0.00")&amp;"; "))))&amp;IF(Work!$D101&lt;&gt;"Check","",IF(Work!$AF101="","",IF(Work!$T101="","",IF(ABS(Work!$AF101-Work!$T101)&lt;=Setup!$B$20,"","check d13C off by "&amp;TEXT(Work!$AF101-Work!$T101,"+0.00;-0.00")&amp;"; "))))&amp;IF(Work!$D101&lt;&gt;"Drift","",IF(Work!$BX101=1,"excluded from N drift fit; ",IF(Work!$CB101="","",IF(ABS(Work!$CB101)&gt;Setup!$B$27,"N drift monitor outlier; ",""))))&amp;IF(Work!$D101&lt;&gt;"Drift","",IF(Work!$BY101=1,"excluded from C drift fit; ",IF(Work!$CC101="","",IF(ABS(Work!$CC101)&gt;Setup!$B$27,"C drift monitor outlier; ",""))))&amp;IF(Work!$D101="Blank","",IF(Work!$L101="","",IF(Setup!$B$25="","",IF(Fits!$B$6&lt;=0,"",IF(Work!$L101&gt;=Fits!$B$6*Setup!$B$25,"","N peak only "&amp;TEXT(Work!$L101/Fits!$B$6,"0.0")&amp;"x the blank; ")))))&amp;IF(Work!$D101="Blank","",IF(Work!$P101="","",IF(Setup!$B$25="","",IF(Fits!$B$10&lt;=0,"",IF(Work!$P101&gt;=Fits!$B$10*Setup!$B$25,"","C peak only "&amp;TEXT(Work!$P101/Fits!$B$10,"0.0")&amp;"x the blank; ")))))&amp;IF(Work!$A101&gt;=Fits!$B$86,"","ran before the background settled; ")&amp;IF(Work!$EN101=1,"possible carryover from an oversized sample; ",""))</f>
        <v/>
      </c>
      <c r="L100" s="26" t="str">
        <f aca="false">IF(Work!$CN101="","",Work!$CN101)</f>
        <v/>
      </c>
      <c r="M100" s="26" t="str">
        <f aca="false">IF(Work!$CO101="","",Work!$CO101)</f>
        <v/>
      </c>
      <c r="N100" s="26" t="str">
        <f aca="false">IF(Work!$CL101="","",Work!$CL101)</f>
        <v/>
      </c>
      <c r="O100" s="26" t="str">
        <f aca="false">IF(Work!$CM101="","",Work!$CM101)</f>
        <v/>
      </c>
    </row>
    <row r="101" customFormat="false" ht="15" hidden="false" customHeight="false" outlineLevel="0" collapsed="false">
      <c r="A101" s="8" t="str">
        <f aca="false">IF(Work!$B102="","",Work!$A102)</f>
        <v/>
      </c>
      <c r="B101" s="8" t="str">
        <f aca="false">IF(Work!$B102="","",Work!$B102)</f>
        <v/>
      </c>
      <c r="C101" s="8" t="str">
        <f aca="false">IF(Work!$B102="","",Work!$D102)</f>
        <v/>
      </c>
      <c r="D101" s="16" t="str">
        <f aca="false">IF(Work!$G102="","",Work!$G102)</f>
        <v/>
      </c>
      <c r="E101" s="23" t="str">
        <f aca="false">IF(Work!$AJ102="","",Work!$AJ102)</f>
        <v/>
      </c>
      <c r="F101" s="23" t="str">
        <f aca="false">IF(Work!$AI102="","",Work!$AI102)</f>
        <v/>
      </c>
      <c r="G101" s="23" t="str">
        <f aca="false">IF(Work!$AK102="","",Work!$AK102)</f>
        <v/>
      </c>
      <c r="H101" s="23" t="str">
        <f aca="false">IF(Work!$AL102="","",Work!$AL102)</f>
        <v/>
      </c>
      <c r="I101" s="23" t="str">
        <f aca="false">IF(Work!$AF102="","",Work!$AF102)</f>
        <v/>
      </c>
      <c r="J101" s="23" t="str">
        <f aca="false">IF(Work!$AA102="","",Work!$AA102)</f>
        <v/>
      </c>
      <c r="K101" s="8" t="str">
        <f aca="false">IF(Work!$B102="","",IF(Work!$L102="","no N peak; ","")&amp;IF(Work!$P102="","no C peak; ","")&amp;IF(Work!$L102="","",IF(Fits!$B$81&lt;=0,"",IF(Work!$L102&lt;Fits!$B$81,"N below linearity range; ",IF(Fits!$B$97&lt;=0,"",IF(Work!$L102&gt;Fits!$B$97,"N above linearity range; ","")))))&amp;IF(Work!$P102="","",IF(Fits!$B$82&lt;=0,"",IF(Work!$P102&lt;Fits!$B$82,"C below linearity range; ",IF(Fits!$B$104&lt;=0,"",IF(Work!$P102&gt;Fits!$B$104,"C above linearity range; ","")))))&amp;IF(OR(Work!$D102="Sample",Work!$D102="Check"),IF(Work!$AA102="","",IF(Fits!$B$138="","",IF(AND(Work!$AA102&gt;=Fits!$B$138,Work!$AA102&lt;=Fits!$B$139),"","d15N outside anchor range; "))),"")&amp;IF(OR(Work!$D102="Sample",Work!$D102="Check"),IF(Work!$AF102="","",IF(Fits!$B$158="","",IF(AND(Work!$AF102&gt;=Fits!$B$158,Work!$AF102&lt;=Fits!$B$159),"","d13C outside anchor range; "))),"")&amp;IF(Work!$D102&lt;&gt;"Check","",IF(Work!$AA102="","",IF(Work!$S102="","",IF(ABS(Work!$AA102-Work!$S102)&lt;=Setup!$B$20,"","check d15N off by "&amp;TEXT(Work!$AA102-Work!$S102,"+0.00;-0.00")&amp;"; "))))&amp;IF(Work!$D102&lt;&gt;"Check","",IF(Work!$AF102="","",IF(Work!$T102="","",IF(ABS(Work!$AF102-Work!$T102)&lt;=Setup!$B$20,"","check d13C off by "&amp;TEXT(Work!$AF102-Work!$T102,"+0.00;-0.00")&amp;"; "))))&amp;IF(Work!$D102&lt;&gt;"Drift","",IF(Work!$BX102=1,"excluded from N drift fit; ",IF(Work!$CB102="","",IF(ABS(Work!$CB102)&gt;Setup!$B$27,"N drift monitor outlier; ",""))))&amp;IF(Work!$D102&lt;&gt;"Drift","",IF(Work!$BY102=1,"excluded from C drift fit; ",IF(Work!$CC102="","",IF(ABS(Work!$CC102)&gt;Setup!$B$27,"C drift monitor outlier; ",""))))&amp;IF(Work!$D102="Blank","",IF(Work!$L102="","",IF(Setup!$B$25="","",IF(Fits!$B$6&lt;=0,"",IF(Work!$L102&gt;=Fits!$B$6*Setup!$B$25,"","N peak only "&amp;TEXT(Work!$L102/Fits!$B$6,"0.0")&amp;"x the blank; ")))))&amp;IF(Work!$D102="Blank","",IF(Work!$P102="","",IF(Setup!$B$25="","",IF(Fits!$B$10&lt;=0,"",IF(Work!$P102&gt;=Fits!$B$10*Setup!$B$25,"","C peak only "&amp;TEXT(Work!$P102/Fits!$B$10,"0.0")&amp;"x the blank; ")))))&amp;IF(Work!$A102&gt;=Fits!$B$86,"","ran before the background settled; ")&amp;IF(Work!$EN102=1,"possible carryover from an oversized sample; ",""))</f>
        <v/>
      </c>
      <c r="L101" s="26" t="str">
        <f aca="false">IF(Work!$CN102="","",Work!$CN102)</f>
        <v/>
      </c>
      <c r="M101" s="26" t="str">
        <f aca="false">IF(Work!$CO102="","",Work!$CO102)</f>
        <v/>
      </c>
      <c r="N101" s="26" t="str">
        <f aca="false">IF(Work!$CL102="","",Work!$CL102)</f>
        <v/>
      </c>
      <c r="O101" s="26" t="str">
        <f aca="false">IF(Work!$CM102="","",Work!$CM102)</f>
        <v/>
      </c>
    </row>
    <row r="102" customFormat="false" ht="15" hidden="false" customHeight="false" outlineLevel="0" collapsed="false">
      <c r="A102" s="8" t="str">
        <f aca="false">IF(Work!$B103="","",Work!$A103)</f>
        <v/>
      </c>
      <c r="B102" s="8" t="str">
        <f aca="false">IF(Work!$B103="","",Work!$B103)</f>
        <v/>
      </c>
      <c r="C102" s="8" t="str">
        <f aca="false">IF(Work!$B103="","",Work!$D103)</f>
        <v/>
      </c>
      <c r="D102" s="16" t="str">
        <f aca="false">IF(Work!$G103="","",Work!$G103)</f>
        <v/>
      </c>
      <c r="E102" s="23" t="str">
        <f aca="false">IF(Work!$AJ103="","",Work!$AJ103)</f>
        <v/>
      </c>
      <c r="F102" s="23" t="str">
        <f aca="false">IF(Work!$AI103="","",Work!$AI103)</f>
        <v/>
      </c>
      <c r="G102" s="23" t="str">
        <f aca="false">IF(Work!$AK103="","",Work!$AK103)</f>
        <v/>
      </c>
      <c r="H102" s="23" t="str">
        <f aca="false">IF(Work!$AL103="","",Work!$AL103)</f>
        <v/>
      </c>
      <c r="I102" s="23" t="str">
        <f aca="false">IF(Work!$AF103="","",Work!$AF103)</f>
        <v/>
      </c>
      <c r="J102" s="23" t="str">
        <f aca="false">IF(Work!$AA103="","",Work!$AA103)</f>
        <v/>
      </c>
      <c r="K102" s="8" t="str">
        <f aca="false">IF(Work!$B103="","",IF(Work!$L103="","no N peak; ","")&amp;IF(Work!$P103="","no C peak; ","")&amp;IF(Work!$L103="","",IF(Fits!$B$81&lt;=0,"",IF(Work!$L103&lt;Fits!$B$81,"N below linearity range; ",IF(Fits!$B$97&lt;=0,"",IF(Work!$L103&gt;Fits!$B$97,"N above linearity range; ","")))))&amp;IF(Work!$P103="","",IF(Fits!$B$82&lt;=0,"",IF(Work!$P103&lt;Fits!$B$82,"C below linearity range; ",IF(Fits!$B$104&lt;=0,"",IF(Work!$P103&gt;Fits!$B$104,"C above linearity range; ","")))))&amp;IF(OR(Work!$D103="Sample",Work!$D103="Check"),IF(Work!$AA103="","",IF(Fits!$B$138="","",IF(AND(Work!$AA103&gt;=Fits!$B$138,Work!$AA103&lt;=Fits!$B$139),"","d15N outside anchor range; "))),"")&amp;IF(OR(Work!$D103="Sample",Work!$D103="Check"),IF(Work!$AF103="","",IF(Fits!$B$158="","",IF(AND(Work!$AF103&gt;=Fits!$B$158,Work!$AF103&lt;=Fits!$B$159),"","d13C outside anchor range; "))),"")&amp;IF(Work!$D103&lt;&gt;"Check","",IF(Work!$AA103="","",IF(Work!$S103="","",IF(ABS(Work!$AA103-Work!$S103)&lt;=Setup!$B$20,"","check d15N off by "&amp;TEXT(Work!$AA103-Work!$S103,"+0.00;-0.00")&amp;"; "))))&amp;IF(Work!$D103&lt;&gt;"Check","",IF(Work!$AF103="","",IF(Work!$T103="","",IF(ABS(Work!$AF103-Work!$T103)&lt;=Setup!$B$20,"","check d13C off by "&amp;TEXT(Work!$AF103-Work!$T103,"+0.00;-0.00")&amp;"; "))))&amp;IF(Work!$D103&lt;&gt;"Drift","",IF(Work!$BX103=1,"excluded from N drift fit; ",IF(Work!$CB103="","",IF(ABS(Work!$CB103)&gt;Setup!$B$27,"N drift monitor outlier; ",""))))&amp;IF(Work!$D103&lt;&gt;"Drift","",IF(Work!$BY103=1,"excluded from C drift fit; ",IF(Work!$CC103="","",IF(ABS(Work!$CC103)&gt;Setup!$B$27,"C drift monitor outlier; ",""))))&amp;IF(Work!$D103="Blank","",IF(Work!$L103="","",IF(Setup!$B$25="","",IF(Fits!$B$6&lt;=0,"",IF(Work!$L103&gt;=Fits!$B$6*Setup!$B$25,"","N peak only "&amp;TEXT(Work!$L103/Fits!$B$6,"0.0")&amp;"x the blank; ")))))&amp;IF(Work!$D103="Blank","",IF(Work!$P103="","",IF(Setup!$B$25="","",IF(Fits!$B$10&lt;=0,"",IF(Work!$P103&gt;=Fits!$B$10*Setup!$B$25,"","C peak only "&amp;TEXT(Work!$P103/Fits!$B$10,"0.0")&amp;"x the blank; ")))))&amp;IF(Work!$A103&gt;=Fits!$B$86,"","ran before the background settled; ")&amp;IF(Work!$EN103=1,"possible carryover from an oversized sample; ",""))</f>
        <v/>
      </c>
      <c r="L102" s="26" t="str">
        <f aca="false">IF(Work!$CN103="","",Work!$CN103)</f>
        <v/>
      </c>
      <c r="M102" s="26" t="str">
        <f aca="false">IF(Work!$CO103="","",Work!$CO103)</f>
        <v/>
      </c>
      <c r="N102" s="26" t="str">
        <f aca="false">IF(Work!$CL103="","",Work!$CL103)</f>
        <v/>
      </c>
      <c r="O102" s="26" t="str">
        <f aca="false">IF(Work!$CM103="","",Work!$CM103)</f>
        <v/>
      </c>
    </row>
    <row r="103" customFormat="false" ht="15" hidden="false" customHeight="false" outlineLevel="0" collapsed="false">
      <c r="A103" s="8" t="str">
        <f aca="false">IF(Work!$B104="","",Work!$A104)</f>
        <v/>
      </c>
      <c r="B103" s="8" t="str">
        <f aca="false">IF(Work!$B104="","",Work!$B104)</f>
        <v/>
      </c>
      <c r="C103" s="8" t="str">
        <f aca="false">IF(Work!$B104="","",Work!$D104)</f>
        <v/>
      </c>
      <c r="D103" s="16" t="str">
        <f aca="false">IF(Work!$G104="","",Work!$G104)</f>
        <v/>
      </c>
      <c r="E103" s="23" t="str">
        <f aca="false">IF(Work!$AJ104="","",Work!$AJ104)</f>
        <v/>
      </c>
      <c r="F103" s="23" t="str">
        <f aca="false">IF(Work!$AI104="","",Work!$AI104)</f>
        <v/>
      </c>
      <c r="G103" s="23" t="str">
        <f aca="false">IF(Work!$AK104="","",Work!$AK104)</f>
        <v/>
      </c>
      <c r="H103" s="23" t="str">
        <f aca="false">IF(Work!$AL104="","",Work!$AL104)</f>
        <v/>
      </c>
      <c r="I103" s="23" t="str">
        <f aca="false">IF(Work!$AF104="","",Work!$AF104)</f>
        <v/>
      </c>
      <c r="J103" s="23" t="str">
        <f aca="false">IF(Work!$AA104="","",Work!$AA104)</f>
        <v/>
      </c>
      <c r="K103" s="8" t="str">
        <f aca="false">IF(Work!$B104="","",IF(Work!$L104="","no N peak; ","")&amp;IF(Work!$P104="","no C peak; ","")&amp;IF(Work!$L104="","",IF(Fits!$B$81&lt;=0,"",IF(Work!$L104&lt;Fits!$B$81,"N below linearity range; ",IF(Fits!$B$97&lt;=0,"",IF(Work!$L104&gt;Fits!$B$97,"N above linearity range; ","")))))&amp;IF(Work!$P104="","",IF(Fits!$B$82&lt;=0,"",IF(Work!$P104&lt;Fits!$B$82,"C below linearity range; ",IF(Fits!$B$104&lt;=0,"",IF(Work!$P104&gt;Fits!$B$104,"C above linearity range; ","")))))&amp;IF(OR(Work!$D104="Sample",Work!$D104="Check"),IF(Work!$AA104="","",IF(Fits!$B$138="","",IF(AND(Work!$AA104&gt;=Fits!$B$138,Work!$AA104&lt;=Fits!$B$139),"","d15N outside anchor range; "))),"")&amp;IF(OR(Work!$D104="Sample",Work!$D104="Check"),IF(Work!$AF104="","",IF(Fits!$B$158="","",IF(AND(Work!$AF104&gt;=Fits!$B$158,Work!$AF104&lt;=Fits!$B$159),"","d13C outside anchor range; "))),"")&amp;IF(Work!$D104&lt;&gt;"Check","",IF(Work!$AA104="","",IF(Work!$S104="","",IF(ABS(Work!$AA104-Work!$S104)&lt;=Setup!$B$20,"","check d15N off by "&amp;TEXT(Work!$AA104-Work!$S104,"+0.00;-0.00")&amp;"; "))))&amp;IF(Work!$D104&lt;&gt;"Check","",IF(Work!$AF104="","",IF(Work!$T104="","",IF(ABS(Work!$AF104-Work!$T104)&lt;=Setup!$B$20,"","check d13C off by "&amp;TEXT(Work!$AF104-Work!$T104,"+0.00;-0.00")&amp;"; "))))&amp;IF(Work!$D104&lt;&gt;"Drift","",IF(Work!$BX104=1,"excluded from N drift fit; ",IF(Work!$CB104="","",IF(ABS(Work!$CB104)&gt;Setup!$B$27,"N drift monitor outlier; ",""))))&amp;IF(Work!$D104&lt;&gt;"Drift","",IF(Work!$BY104=1,"excluded from C drift fit; ",IF(Work!$CC104="","",IF(ABS(Work!$CC104)&gt;Setup!$B$27,"C drift monitor outlier; ",""))))&amp;IF(Work!$D104="Blank","",IF(Work!$L104="","",IF(Setup!$B$25="","",IF(Fits!$B$6&lt;=0,"",IF(Work!$L104&gt;=Fits!$B$6*Setup!$B$25,"","N peak only "&amp;TEXT(Work!$L104/Fits!$B$6,"0.0")&amp;"x the blank; ")))))&amp;IF(Work!$D104="Blank","",IF(Work!$P104="","",IF(Setup!$B$25="","",IF(Fits!$B$10&lt;=0,"",IF(Work!$P104&gt;=Fits!$B$10*Setup!$B$25,"","C peak only "&amp;TEXT(Work!$P104/Fits!$B$10,"0.0")&amp;"x the blank; ")))))&amp;IF(Work!$A104&gt;=Fits!$B$86,"","ran before the background settled; ")&amp;IF(Work!$EN104=1,"possible carryover from an oversized sample; ",""))</f>
        <v/>
      </c>
      <c r="L103" s="26" t="str">
        <f aca="false">IF(Work!$CN104="","",Work!$CN104)</f>
        <v/>
      </c>
      <c r="M103" s="26" t="str">
        <f aca="false">IF(Work!$CO104="","",Work!$CO104)</f>
        <v/>
      </c>
      <c r="N103" s="26" t="str">
        <f aca="false">IF(Work!$CL104="","",Work!$CL104)</f>
        <v/>
      </c>
      <c r="O103" s="26" t="str">
        <f aca="false">IF(Work!$CM104="","",Work!$CM104)</f>
        <v/>
      </c>
    </row>
    <row r="104" customFormat="false" ht="15" hidden="false" customHeight="false" outlineLevel="0" collapsed="false">
      <c r="A104" s="8" t="str">
        <f aca="false">IF(Work!$B105="","",Work!$A105)</f>
        <v/>
      </c>
      <c r="B104" s="8" t="str">
        <f aca="false">IF(Work!$B105="","",Work!$B105)</f>
        <v/>
      </c>
      <c r="C104" s="8" t="str">
        <f aca="false">IF(Work!$B105="","",Work!$D105)</f>
        <v/>
      </c>
      <c r="D104" s="16" t="str">
        <f aca="false">IF(Work!$G105="","",Work!$G105)</f>
        <v/>
      </c>
      <c r="E104" s="23" t="str">
        <f aca="false">IF(Work!$AJ105="","",Work!$AJ105)</f>
        <v/>
      </c>
      <c r="F104" s="23" t="str">
        <f aca="false">IF(Work!$AI105="","",Work!$AI105)</f>
        <v/>
      </c>
      <c r="G104" s="23" t="str">
        <f aca="false">IF(Work!$AK105="","",Work!$AK105)</f>
        <v/>
      </c>
      <c r="H104" s="23" t="str">
        <f aca="false">IF(Work!$AL105="","",Work!$AL105)</f>
        <v/>
      </c>
      <c r="I104" s="23" t="str">
        <f aca="false">IF(Work!$AF105="","",Work!$AF105)</f>
        <v/>
      </c>
      <c r="J104" s="23" t="str">
        <f aca="false">IF(Work!$AA105="","",Work!$AA105)</f>
        <v/>
      </c>
      <c r="K104" s="8" t="str">
        <f aca="false">IF(Work!$B105="","",IF(Work!$L105="","no N peak; ","")&amp;IF(Work!$P105="","no C peak; ","")&amp;IF(Work!$L105="","",IF(Fits!$B$81&lt;=0,"",IF(Work!$L105&lt;Fits!$B$81,"N below linearity range; ",IF(Fits!$B$97&lt;=0,"",IF(Work!$L105&gt;Fits!$B$97,"N above linearity range; ","")))))&amp;IF(Work!$P105="","",IF(Fits!$B$82&lt;=0,"",IF(Work!$P105&lt;Fits!$B$82,"C below linearity range; ",IF(Fits!$B$104&lt;=0,"",IF(Work!$P105&gt;Fits!$B$104,"C above linearity range; ","")))))&amp;IF(OR(Work!$D105="Sample",Work!$D105="Check"),IF(Work!$AA105="","",IF(Fits!$B$138="","",IF(AND(Work!$AA105&gt;=Fits!$B$138,Work!$AA105&lt;=Fits!$B$139),"","d15N outside anchor range; "))),"")&amp;IF(OR(Work!$D105="Sample",Work!$D105="Check"),IF(Work!$AF105="","",IF(Fits!$B$158="","",IF(AND(Work!$AF105&gt;=Fits!$B$158,Work!$AF105&lt;=Fits!$B$159),"","d13C outside anchor range; "))),"")&amp;IF(Work!$D105&lt;&gt;"Check","",IF(Work!$AA105="","",IF(Work!$S105="","",IF(ABS(Work!$AA105-Work!$S105)&lt;=Setup!$B$20,"","check d15N off by "&amp;TEXT(Work!$AA105-Work!$S105,"+0.00;-0.00")&amp;"; "))))&amp;IF(Work!$D105&lt;&gt;"Check","",IF(Work!$AF105="","",IF(Work!$T105="","",IF(ABS(Work!$AF105-Work!$T105)&lt;=Setup!$B$20,"","check d13C off by "&amp;TEXT(Work!$AF105-Work!$T105,"+0.00;-0.00")&amp;"; "))))&amp;IF(Work!$D105&lt;&gt;"Drift","",IF(Work!$BX105=1,"excluded from N drift fit; ",IF(Work!$CB105="","",IF(ABS(Work!$CB105)&gt;Setup!$B$27,"N drift monitor outlier; ",""))))&amp;IF(Work!$D105&lt;&gt;"Drift","",IF(Work!$BY105=1,"excluded from C drift fit; ",IF(Work!$CC105="","",IF(ABS(Work!$CC105)&gt;Setup!$B$27,"C drift monitor outlier; ",""))))&amp;IF(Work!$D105="Blank","",IF(Work!$L105="","",IF(Setup!$B$25="","",IF(Fits!$B$6&lt;=0,"",IF(Work!$L105&gt;=Fits!$B$6*Setup!$B$25,"","N peak only "&amp;TEXT(Work!$L105/Fits!$B$6,"0.0")&amp;"x the blank; ")))))&amp;IF(Work!$D105="Blank","",IF(Work!$P105="","",IF(Setup!$B$25="","",IF(Fits!$B$10&lt;=0,"",IF(Work!$P105&gt;=Fits!$B$10*Setup!$B$25,"","C peak only "&amp;TEXT(Work!$P105/Fits!$B$10,"0.0")&amp;"x the blank; ")))))&amp;IF(Work!$A105&gt;=Fits!$B$86,"","ran before the background settled; ")&amp;IF(Work!$EN105=1,"possible carryover from an oversized sample; ",""))</f>
        <v/>
      </c>
      <c r="L104" s="26" t="str">
        <f aca="false">IF(Work!$CN105="","",Work!$CN105)</f>
        <v/>
      </c>
      <c r="M104" s="26" t="str">
        <f aca="false">IF(Work!$CO105="","",Work!$CO105)</f>
        <v/>
      </c>
      <c r="N104" s="26" t="str">
        <f aca="false">IF(Work!$CL105="","",Work!$CL105)</f>
        <v/>
      </c>
      <c r="O104" s="26" t="str">
        <f aca="false">IF(Work!$CM105="","",Work!$CM105)</f>
        <v/>
      </c>
    </row>
    <row r="105" customFormat="false" ht="15" hidden="false" customHeight="false" outlineLevel="0" collapsed="false">
      <c r="A105" s="8" t="str">
        <f aca="false">IF(Work!$B106="","",Work!$A106)</f>
        <v/>
      </c>
      <c r="B105" s="8" t="str">
        <f aca="false">IF(Work!$B106="","",Work!$B106)</f>
        <v/>
      </c>
      <c r="C105" s="8" t="str">
        <f aca="false">IF(Work!$B106="","",Work!$D106)</f>
        <v/>
      </c>
      <c r="D105" s="16" t="str">
        <f aca="false">IF(Work!$G106="","",Work!$G106)</f>
        <v/>
      </c>
      <c r="E105" s="23" t="str">
        <f aca="false">IF(Work!$AJ106="","",Work!$AJ106)</f>
        <v/>
      </c>
      <c r="F105" s="23" t="str">
        <f aca="false">IF(Work!$AI106="","",Work!$AI106)</f>
        <v/>
      </c>
      <c r="G105" s="23" t="str">
        <f aca="false">IF(Work!$AK106="","",Work!$AK106)</f>
        <v/>
      </c>
      <c r="H105" s="23" t="str">
        <f aca="false">IF(Work!$AL106="","",Work!$AL106)</f>
        <v/>
      </c>
      <c r="I105" s="23" t="str">
        <f aca="false">IF(Work!$AF106="","",Work!$AF106)</f>
        <v/>
      </c>
      <c r="J105" s="23" t="str">
        <f aca="false">IF(Work!$AA106="","",Work!$AA106)</f>
        <v/>
      </c>
      <c r="K105" s="8" t="str">
        <f aca="false">IF(Work!$B106="","",IF(Work!$L106="","no N peak; ","")&amp;IF(Work!$P106="","no C peak; ","")&amp;IF(Work!$L106="","",IF(Fits!$B$81&lt;=0,"",IF(Work!$L106&lt;Fits!$B$81,"N below linearity range; ",IF(Fits!$B$97&lt;=0,"",IF(Work!$L106&gt;Fits!$B$97,"N above linearity range; ","")))))&amp;IF(Work!$P106="","",IF(Fits!$B$82&lt;=0,"",IF(Work!$P106&lt;Fits!$B$82,"C below linearity range; ",IF(Fits!$B$104&lt;=0,"",IF(Work!$P106&gt;Fits!$B$104,"C above linearity range; ","")))))&amp;IF(OR(Work!$D106="Sample",Work!$D106="Check"),IF(Work!$AA106="","",IF(Fits!$B$138="","",IF(AND(Work!$AA106&gt;=Fits!$B$138,Work!$AA106&lt;=Fits!$B$139),"","d15N outside anchor range; "))),"")&amp;IF(OR(Work!$D106="Sample",Work!$D106="Check"),IF(Work!$AF106="","",IF(Fits!$B$158="","",IF(AND(Work!$AF106&gt;=Fits!$B$158,Work!$AF106&lt;=Fits!$B$159),"","d13C outside anchor range; "))),"")&amp;IF(Work!$D106&lt;&gt;"Check","",IF(Work!$AA106="","",IF(Work!$S106="","",IF(ABS(Work!$AA106-Work!$S106)&lt;=Setup!$B$20,"","check d15N off by "&amp;TEXT(Work!$AA106-Work!$S106,"+0.00;-0.00")&amp;"; "))))&amp;IF(Work!$D106&lt;&gt;"Check","",IF(Work!$AF106="","",IF(Work!$T106="","",IF(ABS(Work!$AF106-Work!$T106)&lt;=Setup!$B$20,"","check d13C off by "&amp;TEXT(Work!$AF106-Work!$T106,"+0.00;-0.00")&amp;"; "))))&amp;IF(Work!$D106&lt;&gt;"Drift","",IF(Work!$BX106=1,"excluded from N drift fit; ",IF(Work!$CB106="","",IF(ABS(Work!$CB106)&gt;Setup!$B$27,"N drift monitor outlier; ",""))))&amp;IF(Work!$D106&lt;&gt;"Drift","",IF(Work!$BY106=1,"excluded from C drift fit; ",IF(Work!$CC106="","",IF(ABS(Work!$CC106)&gt;Setup!$B$27,"C drift monitor outlier; ",""))))&amp;IF(Work!$D106="Blank","",IF(Work!$L106="","",IF(Setup!$B$25="","",IF(Fits!$B$6&lt;=0,"",IF(Work!$L106&gt;=Fits!$B$6*Setup!$B$25,"","N peak only "&amp;TEXT(Work!$L106/Fits!$B$6,"0.0")&amp;"x the blank; ")))))&amp;IF(Work!$D106="Blank","",IF(Work!$P106="","",IF(Setup!$B$25="","",IF(Fits!$B$10&lt;=0,"",IF(Work!$P106&gt;=Fits!$B$10*Setup!$B$25,"","C peak only "&amp;TEXT(Work!$P106/Fits!$B$10,"0.0")&amp;"x the blank; ")))))&amp;IF(Work!$A106&gt;=Fits!$B$86,"","ran before the background settled; ")&amp;IF(Work!$EN106=1,"possible carryover from an oversized sample; ",""))</f>
        <v/>
      </c>
      <c r="L105" s="26" t="str">
        <f aca="false">IF(Work!$CN106="","",Work!$CN106)</f>
        <v/>
      </c>
      <c r="M105" s="26" t="str">
        <f aca="false">IF(Work!$CO106="","",Work!$CO106)</f>
        <v/>
      </c>
      <c r="N105" s="26" t="str">
        <f aca="false">IF(Work!$CL106="","",Work!$CL106)</f>
        <v/>
      </c>
      <c r="O105" s="26" t="str">
        <f aca="false">IF(Work!$CM106="","",Work!$CM106)</f>
        <v/>
      </c>
    </row>
    <row r="106" customFormat="false" ht="15" hidden="false" customHeight="false" outlineLevel="0" collapsed="false">
      <c r="A106" s="8" t="str">
        <f aca="false">IF(Work!$B107="","",Work!$A107)</f>
        <v/>
      </c>
      <c r="B106" s="8" t="str">
        <f aca="false">IF(Work!$B107="","",Work!$B107)</f>
        <v/>
      </c>
      <c r="C106" s="8" t="str">
        <f aca="false">IF(Work!$B107="","",Work!$D107)</f>
        <v/>
      </c>
      <c r="D106" s="16" t="str">
        <f aca="false">IF(Work!$G107="","",Work!$G107)</f>
        <v/>
      </c>
      <c r="E106" s="23" t="str">
        <f aca="false">IF(Work!$AJ107="","",Work!$AJ107)</f>
        <v/>
      </c>
      <c r="F106" s="23" t="str">
        <f aca="false">IF(Work!$AI107="","",Work!$AI107)</f>
        <v/>
      </c>
      <c r="G106" s="23" t="str">
        <f aca="false">IF(Work!$AK107="","",Work!$AK107)</f>
        <v/>
      </c>
      <c r="H106" s="23" t="str">
        <f aca="false">IF(Work!$AL107="","",Work!$AL107)</f>
        <v/>
      </c>
      <c r="I106" s="23" t="str">
        <f aca="false">IF(Work!$AF107="","",Work!$AF107)</f>
        <v/>
      </c>
      <c r="J106" s="23" t="str">
        <f aca="false">IF(Work!$AA107="","",Work!$AA107)</f>
        <v/>
      </c>
      <c r="K106" s="8" t="str">
        <f aca="false">IF(Work!$B107="","",IF(Work!$L107="","no N peak; ","")&amp;IF(Work!$P107="","no C peak; ","")&amp;IF(Work!$L107="","",IF(Fits!$B$81&lt;=0,"",IF(Work!$L107&lt;Fits!$B$81,"N below linearity range; ",IF(Fits!$B$97&lt;=0,"",IF(Work!$L107&gt;Fits!$B$97,"N above linearity range; ","")))))&amp;IF(Work!$P107="","",IF(Fits!$B$82&lt;=0,"",IF(Work!$P107&lt;Fits!$B$82,"C below linearity range; ",IF(Fits!$B$104&lt;=0,"",IF(Work!$P107&gt;Fits!$B$104,"C above linearity range; ","")))))&amp;IF(OR(Work!$D107="Sample",Work!$D107="Check"),IF(Work!$AA107="","",IF(Fits!$B$138="","",IF(AND(Work!$AA107&gt;=Fits!$B$138,Work!$AA107&lt;=Fits!$B$139),"","d15N outside anchor range; "))),"")&amp;IF(OR(Work!$D107="Sample",Work!$D107="Check"),IF(Work!$AF107="","",IF(Fits!$B$158="","",IF(AND(Work!$AF107&gt;=Fits!$B$158,Work!$AF107&lt;=Fits!$B$159),"","d13C outside anchor range; "))),"")&amp;IF(Work!$D107&lt;&gt;"Check","",IF(Work!$AA107="","",IF(Work!$S107="","",IF(ABS(Work!$AA107-Work!$S107)&lt;=Setup!$B$20,"","check d15N off by "&amp;TEXT(Work!$AA107-Work!$S107,"+0.00;-0.00")&amp;"; "))))&amp;IF(Work!$D107&lt;&gt;"Check","",IF(Work!$AF107="","",IF(Work!$T107="","",IF(ABS(Work!$AF107-Work!$T107)&lt;=Setup!$B$20,"","check d13C off by "&amp;TEXT(Work!$AF107-Work!$T107,"+0.00;-0.00")&amp;"; "))))&amp;IF(Work!$D107&lt;&gt;"Drift","",IF(Work!$BX107=1,"excluded from N drift fit; ",IF(Work!$CB107="","",IF(ABS(Work!$CB107)&gt;Setup!$B$27,"N drift monitor outlier; ",""))))&amp;IF(Work!$D107&lt;&gt;"Drift","",IF(Work!$BY107=1,"excluded from C drift fit; ",IF(Work!$CC107="","",IF(ABS(Work!$CC107)&gt;Setup!$B$27,"C drift monitor outlier; ",""))))&amp;IF(Work!$D107="Blank","",IF(Work!$L107="","",IF(Setup!$B$25="","",IF(Fits!$B$6&lt;=0,"",IF(Work!$L107&gt;=Fits!$B$6*Setup!$B$25,"","N peak only "&amp;TEXT(Work!$L107/Fits!$B$6,"0.0")&amp;"x the blank; ")))))&amp;IF(Work!$D107="Blank","",IF(Work!$P107="","",IF(Setup!$B$25="","",IF(Fits!$B$10&lt;=0,"",IF(Work!$P107&gt;=Fits!$B$10*Setup!$B$25,"","C peak only "&amp;TEXT(Work!$P107/Fits!$B$10,"0.0")&amp;"x the blank; ")))))&amp;IF(Work!$A107&gt;=Fits!$B$86,"","ran before the background settled; ")&amp;IF(Work!$EN107=1,"possible carryover from an oversized sample; ",""))</f>
        <v/>
      </c>
      <c r="L106" s="26" t="str">
        <f aca="false">IF(Work!$CN107="","",Work!$CN107)</f>
        <v/>
      </c>
      <c r="M106" s="26" t="str">
        <f aca="false">IF(Work!$CO107="","",Work!$CO107)</f>
        <v/>
      </c>
      <c r="N106" s="26" t="str">
        <f aca="false">IF(Work!$CL107="","",Work!$CL107)</f>
        <v/>
      </c>
      <c r="O106" s="26" t="str">
        <f aca="false">IF(Work!$CM107="","",Work!$CM107)</f>
        <v/>
      </c>
    </row>
    <row r="107" customFormat="false" ht="15" hidden="false" customHeight="false" outlineLevel="0" collapsed="false">
      <c r="A107" s="8" t="str">
        <f aca="false">IF(Work!$B108="","",Work!$A108)</f>
        <v/>
      </c>
      <c r="B107" s="8" t="str">
        <f aca="false">IF(Work!$B108="","",Work!$B108)</f>
        <v/>
      </c>
      <c r="C107" s="8" t="str">
        <f aca="false">IF(Work!$B108="","",Work!$D108)</f>
        <v/>
      </c>
      <c r="D107" s="16" t="str">
        <f aca="false">IF(Work!$G108="","",Work!$G108)</f>
        <v/>
      </c>
      <c r="E107" s="23" t="str">
        <f aca="false">IF(Work!$AJ108="","",Work!$AJ108)</f>
        <v/>
      </c>
      <c r="F107" s="23" t="str">
        <f aca="false">IF(Work!$AI108="","",Work!$AI108)</f>
        <v/>
      </c>
      <c r="G107" s="23" t="str">
        <f aca="false">IF(Work!$AK108="","",Work!$AK108)</f>
        <v/>
      </c>
      <c r="H107" s="23" t="str">
        <f aca="false">IF(Work!$AL108="","",Work!$AL108)</f>
        <v/>
      </c>
      <c r="I107" s="23" t="str">
        <f aca="false">IF(Work!$AF108="","",Work!$AF108)</f>
        <v/>
      </c>
      <c r="J107" s="23" t="str">
        <f aca="false">IF(Work!$AA108="","",Work!$AA108)</f>
        <v/>
      </c>
      <c r="K107" s="8" t="str">
        <f aca="false">IF(Work!$B108="","",IF(Work!$L108="","no N peak; ","")&amp;IF(Work!$P108="","no C peak; ","")&amp;IF(Work!$L108="","",IF(Fits!$B$81&lt;=0,"",IF(Work!$L108&lt;Fits!$B$81,"N below linearity range; ",IF(Fits!$B$97&lt;=0,"",IF(Work!$L108&gt;Fits!$B$97,"N above linearity range; ","")))))&amp;IF(Work!$P108="","",IF(Fits!$B$82&lt;=0,"",IF(Work!$P108&lt;Fits!$B$82,"C below linearity range; ",IF(Fits!$B$104&lt;=0,"",IF(Work!$P108&gt;Fits!$B$104,"C above linearity range; ","")))))&amp;IF(OR(Work!$D108="Sample",Work!$D108="Check"),IF(Work!$AA108="","",IF(Fits!$B$138="","",IF(AND(Work!$AA108&gt;=Fits!$B$138,Work!$AA108&lt;=Fits!$B$139),"","d15N outside anchor range; "))),"")&amp;IF(OR(Work!$D108="Sample",Work!$D108="Check"),IF(Work!$AF108="","",IF(Fits!$B$158="","",IF(AND(Work!$AF108&gt;=Fits!$B$158,Work!$AF108&lt;=Fits!$B$159),"","d13C outside anchor range; "))),"")&amp;IF(Work!$D108&lt;&gt;"Check","",IF(Work!$AA108="","",IF(Work!$S108="","",IF(ABS(Work!$AA108-Work!$S108)&lt;=Setup!$B$20,"","check d15N off by "&amp;TEXT(Work!$AA108-Work!$S108,"+0.00;-0.00")&amp;"; "))))&amp;IF(Work!$D108&lt;&gt;"Check","",IF(Work!$AF108="","",IF(Work!$T108="","",IF(ABS(Work!$AF108-Work!$T108)&lt;=Setup!$B$20,"","check d13C off by "&amp;TEXT(Work!$AF108-Work!$T108,"+0.00;-0.00")&amp;"; "))))&amp;IF(Work!$D108&lt;&gt;"Drift","",IF(Work!$BX108=1,"excluded from N drift fit; ",IF(Work!$CB108="","",IF(ABS(Work!$CB108)&gt;Setup!$B$27,"N drift monitor outlier; ",""))))&amp;IF(Work!$D108&lt;&gt;"Drift","",IF(Work!$BY108=1,"excluded from C drift fit; ",IF(Work!$CC108="","",IF(ABS(Work!$CC108)&gt;Setup!$B$27,"C drift monitor outlier; ",""))))&amp;IF(Work!$D108="Blank","",IF(Work!$L108="","",IF(Setup!$B$25="","",IF(Fits!$B$6&lt;=0,"",IF(Work!$L108&gt;=Fits!$B$6*Setup!$B$25,"","N peak only "&amp;TEXT(Work!$L108/Fits!$B$6,"0.0")&amp;"x the blank; ")))))&amp;IF(Work!$D108="Blank","",IF(Work!$P108="","",IF(Setup!$B$25="","",IF(Fits!$B$10&lt;=0,"",IF(Work!$P108&gt;=Fits!$B$10*Setup!$B$25,"","C peak only "&amp;TEXT(Work!$P108/Fits!$B$10,"0.0")&amp;"x the blank; ")))))&amp;IF(Work!$A108&gt;=Fits!$B$86,"","ran before the background settled; ")&amp;IF(Work!$EN108=1,"possible carryover from an oversized sample; ",""))</f>
        <v/>
      </c>
      <c r="L107" s="26" t="str">
        <f aca="false">IF(Work!$CN108="","",Work!$CN108)</f>
        <v/>
      </c>
      <c r="M107" s="26" t="str">
        <f aca="false">IF(Work!$CO108="","",Work!$CO108)</f>
        <v/>
      </c>
      <c r="N107" s="26" t="str">
        <f aca="false">IF(Work!$CL108="","",Work!$CL108)</f>
        <v/>
      </c>
      <c r="O107" s="26" t="str">
        <f aca="false">IF(Work!$CM108="","",Work!$CM108)</f>
        <v/>
      </c>
    </row>
    <row r="108" customFormat="false" ht="15" hidden="false" customHeight="false" outlineLevel="0" collapsed="false">
      <c r="A108" s="8" t="str">
        <f aca="false">IF(Work!$B109="","",Work!$A109)</f>
        <v/>
      </c>
      <c r="B108" s="8" t="str">
        <f aca="false">IF(Work!$B109="","",Work!$B109)</f>
        <v/>
      </c>
      <c r="C108" s="8" t="str">
        <f aca="false">IF(Work!$B109="","",Work!$D109)</f>
        <v/>
      </c>
      <c r="D108" s="16" t="str">
        <f aca="false">IF(Work!$G109="","",Work!$G109)</f>
        <v/>
      </c>
      <c r="E108" s="23" t="str">
        <f aca="false">IF(Work!$AJ109="","",Work!$AJ109)</f>
        <v/>
      </c>
      <c r="F108" s="23" t="str">
        <f aca="false">IF(Work!$AI109="","",Work!$AI109)</f>
        <v/>
      </c>
      <c r="G108" s="23" t="str">
        <f aca="false">IF(Work!$AK109="","",Work!$AK109)</f>
        <v/>
      </c>
      <c r="H108" s="23" t="str">
        <f aca="false">IF(Work!$AL109="","",Work!$AL109)</f>
        <v/>
      </c>
      <c r="I108" s="23" t="str">
        <f aca="false">IF(Work!$AF109="","",Work!$AF109)</f>
        <v/>
      </c>
      <c r="J108" s="23" t="str">
        <f aca="false">IF(Work!$AA109="","",Work!$AA109)</f>
        <v/>
      </c>
      <c r="K108" s="8" t="str">
        <f aca="false">IF(Work!$B109="","",IF(Work!$L109="","no N peak; ","")&amp;IF(Work!$P109="","no C peak; ","")&amp;IF(Work!$L109="","",IF(Fits!$B$81&lt;=0,"",IF(Work!$L109&lt;Fits!$B$81,"N below linearity range; ",IF(Fits!$B$97&lt;=0,"",IF(Work!$L109&gt;Fits!$B$97,"N above linearity range; ","")))))&amp;IF(Work!$P109="","",IF(Fits!$B$82&lt;=0,"",IF(Work!$P109&lt;Fits!$B$82,"C below linearity range; ",IF(Fits!$B$104&lt;=0,"",IF(Work!$P109&gt;Fits!$B$104,"C above linearity range; ","")))))&amp;IF(OR(Work!$D109="Sample",Work!$D109="Check"),IF(Work!$AA109="","",IF(Fits!$B$138="","",IF(AND(Work!$AA109&gt;=Fits!$B$138,Work!$AA109&lt;=Fits!$B$139),"","d15N outside anchor range; "))),"")&amp;IF(OR(Work!$D109="Sample",Work!$D109="Check"),IF(Work!$AF109="","",IF(Fits!$B$158="","",IF(AND(Work!$AF109&gt;=Fits!$B$158,Work!$AF109&lt;=Fits!$B$159),"","d13C outside anchor range; "))),"")&amp;IF(Work!$D109&lt;&gt;"Check","",IF(Work!$AA109="","",IF(Work!$S109="","",IF(ABS(Work!$AA109-Work!$S109)&lt;=Setup!$B$20,"","check d15N off by "&amp;TEXT(Work!$AA109-Work!$S109,"+0.00;-0.00")&amp;"; "))))&amp;IF(Work!$D109&lt;&gt;"Check","",IF(Work!$AF109="","",IF(Work!$T109="","",IF(ABS(Work!$AF109-Work!$T109)&lt;=Setup!$B$20,"","check d13C off by "&amp;TEXT(Work!$AF109-Work!$T109,"+0.00;-0.00")&amp;"; "))))&amp;IF(Work!$D109&lt;&gt;"Drift","",IF(Work!$BX109=1,"excluded from N drift fit; ",IF(Work!$CB109="","",IF(ABS(Work!$CB109)&gt;Setup!$B$27,"N drift monitor outlier; ",""))))&amp;IF(Work!$D109&lt;&gt;"Drift","",IF(Work!$BY109=1,"excluded from C drift fit; ",IF(Work!$CC109="","",IF(ABS(Work!$CC109)&gt;Setup!$B$27,"C drift monitor outlier; ",""))))&amp;IF(Work!$D109="Blank","",IF(Work!$L109="","",IF(Setup!$B$25="","",IF(Fits!$B$6&lt;=0,"",IF(Work!$L109&gt;=Fits!$B$6*Setup!$B$25,"","N peak only "&amp;TEXT(Work!$L109/Fits!$B$6,"0.0")&amp;"x the blank; ")))))&amp;IF(Work!$D109="Blank","",IF(Work!$P109="","",IF(Setup!$B$25="","",IF(Fits!$B$10&lt;=0,"",IF(Work!$P109&gt;=Fits!$B$10*Setup!$B$25,"","C peak only "&amp;TEXT(Work!$P109/Fits!$B$10,"0.0")&amp;"x the blank; ")))))&amp;IF(Work!$A109&gt;=Fits!$B$86,"","ran before the background settled; ")&amp;IF(Work!$EN109=1,"possible carryover from an oversized sample; ",""))</f>
        <v/>
      </c>
      <c r="L108" s="26" t="str">
        <f aca="false">IF(Work!$CN109="","",Work!$CN109)</f>
        <v/>
      </c>
      <c r="M108" s="26" t="str">
        <f aca="false">IF(Work!$CO109="","",Work!$CO109)</f>
        <v/>
      </c>
      <c r="N108" s="26" t="str">
        <f aca="false">IF(Work!$CL109="","",Work!$CL109)</f>
        <v/>
      </c>
      <c r="O108" s="26" t="str">
        <f aca="false">IF(Work!$CM109="","",Work!$CM109)</f>
        <v/>
      </c>
    </row>
    <row r="109" customFormat="false" ht="15" hidden="false" customHeight="false" outlineLevel="0" collapsed="false">
      <c r="A109" s="8" t="str">
        <f aca="false">IF(Work!$B110="","",Work!$A110)</f>
        <v/>
      </c>
      <c r="B109" s="8" t="str">
        <f aca="false">IF(Work!$B110="","",Work!$B110)</f>
        <v/>
      </c>
      <c r="C109" s="8" t="str">
        <f aca="false">IF(Work!$B110="","",Work!$D110)</f>
        <v/>
      </c>
      <c r="D109" s="16" t="str">
        <f aca="false">IF(Work!$G110="","",Work!$G110)</f>
        <v/>
      </c>
      <c r="E109" s="23" t="str">
        <f aca="false">IF(Work!$AJ110="","",Work!$AJ110)</f>
        <v/>
      </c>
      <c r="F109" s="23" t="str">
        <f aca="false">IF(Work!$AI110="","",Work!$AI110)</f>
        <v/>
      </c>
      <c r="G109" s="23" t="str">
        <f aca="false">IF(Work!$AK110="","",Work!$AK110)</f>
        <v/>
      </c>
      <c r="H109" s="23" t="str">
        <f aca="false">IF(Work!$AL110="","",Work!$AL110)</f>
        <v/>
      </c>
      <c r="I109" s="23" t="str">
        <f aca="false">IF(Work!$AF110="","",Work!$AF110)</f>
        <v/>
      </c>
      <c r="J109" s="23" t="str">
        <f aca="false">IF(Work!$AA110="","",Work!$AA110)</f>
        <v/>
      </c>
      <c r="K109" s="8" t="str">
        <f aca="false">IF(Work!$B110="","",IF(Work!$L110="","no N peak; ","")&amp;IF(Work!$P110="","no C peak; ","")&amp;IF(Work!$L110="","",IF(Fits!$B$81&lt;=0,"",IF(Work!$L110&lt;Fits!$B$81,"N below linearity range; ",IF(Fits!$B$97&lt;=0,"",IF(Work!$L110&gt;Fits!$B$97,"N above linearity range; ","")))))&amp;IF(Work!$P110="","",IF(Fits!$B$82&lt;=0,"",IF(Work!$P110&lt;Fits!$B$82,"C below linearity range; ",IF(Fits!$B$104&lt;=0,"",IF(Work!$P110&gt;Fits!$B$104,"C above linearity range; ","")))))&amp;IF(OR(Work!$D110="Sample",Work!$D110="Check"),IF(Work!$AA110="","",IF(Fits!$B$138="","",IF(AND(Work!$AA110&gt;=Fits!$B$138,Work!$AA110&lt;=Fits!$B$139),"","d15N outside anchor range; "))),"")&amp;IF(OR(Work!$D110="Sample",Work!$D110="Check"),IF(Work!$AF110="","",IF(Fits!$B$158="","",IF(AND(Work!$AF110&gt;=Fits!$B$158,Work!$AF110&lt;=Fits!$B$159),"","d13C outside anchor range; "))),"")&amp;IF(Work!$D110&lt;&gt;"Check","",IF(Work!$AA110="","",IF(Work!$S110="","",IF(ABS(Work!$AA110-Work!$S110)&lt;=Setup!$B$20,"","check d15N off by "&amp;TEXT(Work!$AA110-Work!$S110,"+0.00;-0.00")&amp;"; "))))&amp;IF(Work!$D110&lt;&gt;"Check","",IF(Work!$AF110="","",IF(Work!$T110="","",IF(ABS(Work!$AF110-Work!$T110)&lt;=Setup!$B$20,"","check d13C off by "&amp;TEXT(Work!$AF110-Work!$T110,"+0.00;-0.00")&amp;"; "))))&amp;IF(Work!$D110&lt;&gt;"Drift","",IF(Work!$BX110=1,"excluded from N drift fit; ",IF(Work!$CB110="","",IF(ABS(Work!$CB110)&gt;Setup!$B$27,"N drift monitor outlier; ",""))))&amp;IF(Work!$D110&lt;&gt;"Drift","",IF(Work!$BY110=1,"excluded from C drift fit; ",IF(Work!$CC110="","",IF(ABS(Work!$CC110)&gt;Setup!$B$27,"C drift monitor outlier; ",""))))&amp;IF(Work!$D110="Blank","",IF(Work!$L110="","",IF(Setup!$B$25="","",IF(Fits!$B$6&lt;=0,"",IF(Work!$L110&gt;=Fits!$B$6*Setup!$B$25,"","N peak only "&amp;TEXT(Work!$L110/Fits!$B$6,"0.0")&amp;"x the blank; ")))))&amp;IF(Work!$D110="Blank","",IF(Work!$P110="","",IF(Setup!$B$25="","",IF(Fits!$B$10&lt;=0,"",IF(Work!$P110&gt;=Fits!$B$10*Setup!$B$25,"","C peak only "&amp;TEXT(Work!$P110/Fits!$B$10,"0.0")&amp;"x the blank; ")))))&amp;IF(Work!$A110&gt;=Fits!$B$86,"","ran before the background settled; ")&amp;IF(Work!$EN110=1,"possible carryover from an oversized sample; ",""))</f>
        <v/>
      </c>
      <c r="L109" s="26" t="str">
        <f aca="false">IF(Work!$CN110="","",Work!$CN110)</f>
        <v/>
      </c>
      <c r="M109" s="26" t="str">
        <f aca="false">IF(Work!$CO110="","",Work!$CO110)</f>
        <v/>
      </c>
      <c r="N109" s="26" t="str">
        <f aca="false">IF(Work!$CL110="","",Work!$CL110)</f>
        <v/>
      </c>
      <c r="O109" s="26" t="str">
        <f aca="false">IF(Work!$CM110="","",Work!$CM110)</f>
        <v/>
      </c>
    </row>
    <row r="110" customFormat="false" ht="15" hidden="false" customHeight="false" outlineLevel="0" collapsed="false">
      <c r="A110" s="8" t="str">
        <f aca="false">IF(Work!$B111="","",Work!$A111)</f>
        <v/>
      </c>
      <c r="B110" s="8" t="str">
        <f aca="false">IF(Work!$B111="","",Work!$B111)</f>
        <v/>
      </c>
      <c r="C110" s="8" t="str">
        <f aca="false">IF(Work!$B111="","",Work!$D111)</f>
        <v/>
      </c>
      <c r="D110" s="16" t="str">
        <f aca="false">IF(Work!$G111="","",Work!$G111)</f>
        <v/>
      </c>
      <c r="E110" s="23" t="str">
        <f aca="false">IF(Work!$AJ111="","",Work!$AJ111)</f>
        <v/>
      </c>
      <c r="F110" s="23" t="str">
        <f aca="false">IF(Work!$AI111="","",Work!$AI111)</f>
        <v/>
      </c>
      <c r="G110" s="23" t="str">
        <f aca="false">IF(Work!$AK111="","",Work!$AK111)</f>
        <v/>
      </c>
      <c r="H110" s="23" t="str">
        <f aca="false">IF(Work!$AL111="","",Work!$AL111)</f>
        <v/>
      </c>
      <c r="I110" s="23" t="str">
        <f aca="false">IF(Work!$AF111="","",Work!$AF111)</f>
        <v/>
      </c>
      <c r="J110" s="23" t="str">
        <f aca="false">IF(Work!$AA111="","",Work!$AA111)</f>
        <v/>
      </c>
      <c r="K110" s="8" t="str">
        <f aca="false">IF(Work!$B111="","",IF(Work!$L111="","no N peak; ","")&amp;IF(Work!$P111="","no C peak; ","")&amp;IF(Work!$L111="","",IF(Fits!$B$81&lt;=0,"",IF(Work!$L111&lt;Fits!$B$81,"N below linearity range; ",IF(Fits!$B$97&lt;=0,"",IF(Work!$L111&gt;Fits!$B$97,"N above linearity range; ","")))))&amp;IF(Work!$P111="","",IF(Fits!$B$82&lt;=0,"",IF(Work!$P111&lt;Fits!$B$82,"C below linearity range; ",IF(Fits!$B$104&lt;=0,"",IF(Work!$P111&gt;Fits!$B$104,"C above linearity range; ","")))))&amp;IF(OR(Work!$D111="Sample",Work!$D111="Check"),IF(Work!$AA111="","",IF(Fits!$B$138="","",IF(AND(Work!$AA111&gt;=Fits!$B$138,Work!$AA111&lt;=Fits!$B$139),"","d15N outside anchor range; "))),"")&amp;IF(OR(Work!$D111="Sample",Work!$D111="Check"),IF(Work!$AF111="","",IF(Fits!$B$158="","",IF(AND(Work!$AF111&gt;=Fits!$B$158,Work!$AF111&lt;=Fits!$B$159),"","d13C outside anchor range; "))),"")&amp;IF(Work!$D111&lt;&gt;"Check","",IF(Work!$AA111="","",IF(Work!$S111="","",IF(ABS(Work!$AA111-Work!$S111)&lt;=Setup!$B$20,"","check d15N off by "&amp;TEXT(Work!$AA111-Work!$S111,"+0.00;-0.00")&amp;"; "))))&amp;IF(Work!$D111&lt;&gt;"Check","",IF(Work!$AF111="","",IF(Work!$T111="","",IF(ABS(Work!$AF111-Work!$T111)&lt;=Setup!$B$20,"","check d13C off by "&amp;TEXT(Work!$AF111-Work!$T111,"+0.00;-0.00")&amp;"; "))))&amp;IF(Work!$D111&lt;&gt;"Drift","",IF(Work!$BX111=1,"excluded from N drift fit; ",IF(Work!$CB111="","",IF(ABS(Work!$CB111)&gt;Setup!$B$27,"N drift monitor outlier; ",""))))&amp;IF(Work!$D111&lt;&gt;"Drift","",IF(Work!$BY111=1,"excluded from C drift fit; ",IF(Work!$CC111="","",IF(ABS(Work!$CC111)&gt;Setup!$B$27,"C drift monitor outlier; ",""))))&amp;IF(Work!$D111="Blank","",IF(Work!$L111="","",IF(Setup!$B$25="","",IF(Fits!$B$6&lt;=0,"",IF(Work!$L111&gt;=Fits!$B$6*Setup!$B$25,"","N peak only "&amp;TEXT(Work!$L111/Fits!$B$6,"0.0")&amp;"x the blank; ")))))&amp;IF(Work!$D111="Blank","",IF(Work!$P111="","",IF(Setup!$B$25="","",IF(Fits!$B$10&lt;=0,"",IF(Work!$P111&gt;=Fits!$B$10*Setup!$B$25,"","C peak only "&amp;TEXT(Work!$P111/Fits!$B$10,"0.0")&amp;"x the blank; ")))))&amp;IF(Work!$A111&gt;=Fits!$B$86,"","ran before the background settled; ")&amp;IF(Work!$EN111=1,"possible carryover from an oversized sample; ",""))</f>
        <v/>
      </c>
      <c r="L110" s="26" t="str">
        <f aca="false">IF(Work!$CN111="","",Work!$CN111)</f>
        <v/>
      </c>
      <c r="M110" s="26" t="str">
        <f aca="false">IF(Work!$CO111="","",Work!$CO111)</f>
        <v/>
      </c>
      <c r="N110" s="26" t="str">
        <f aca="false">IF(Work!$CL111="","",Work!$CL111)</f>
        <v/>
      </c>
      <c r="O110" s="26" t="str">
        <f aca="false">IF(Work!$CM111="","",Work!$CM111)</f>
        <v/>
      </c>
    </row>
    <row r="111" customFormat="false" ht="15" hidden="false" customHeight="false" outlineLevel="0" collapsed="false">
      <c r="A111" s="8" t="str">
        <f aca="false">IF(Work!$B112="","",Work!$A112)</f>
        <v/>
      </c>
      <c r="B111" s="8" t="str">
        <f aca="false">IF(Work!$B112="","",Work!$B112)</f>
        <v/>
      </c>
      <c r="C111" s="8" t="str">
        <f aca="false">IF(Work!$B112="","",Work!$D112)</f>
        <v/>
      </c>
      <c r="D111" s="16" t="str">
        <f aca="false">IF(Work!$G112="","",Work!$G112)</f>
        <v/>
      </c>
      <c r="E111" s="23" t="str">
        <f aca="false">IF(Work!$AJ112="","",Work!$AJ112)</f>
        <v/>
      </c>
      <c r="F111" s="23" t="str">
        <f aca="false">IF(Work!$AI112="","",Work!$AI112)</f>
        <v/>
      </c>
      <c r="G111" s="23" t="str">
        <f aca="false">IF(Work!$AK112="","",Work!$AK112)</f>
        <v/>
      </c>
      <c r="H111" s="23" t="str">
        <f aca="false">IF(Work!$AL112="","",Work!$AL112)</f>
        <v/>
      </c>
      <c r="I111" s="23" t="str">
        <f aca="false">IF(Work!$AF112="","",Work!$AF112)</f>
        <v/>
      </c>
      <c r="J111" s="23" t="str">
        <f aca="false">IF(Work!$AA112="","",Work!$AA112)</f>
        <v/>
      </c>
      <c r="K111" s="8" t="str">
        <f aca="false">IF(Work!$B112="","",IF(Work!$L112="","no N peak; ","")&amp;IF(Work!$P112="","no C peak; ","")&amp;IF(Work!$L112="","",IF(Fits!$B$81&lt;=0,"",IF(Work!$L112&lt;Fits!$B$81,"N below linearity range; ",IF(Fits!$B$97&lt;=0,"",IF(Work!$L112&gt;Fits!$B$97,"N above linearity range; ","")))))&amp;IF(Work!$P112="","",IF(Fits!$B$82&lt;=0,"",IF(Work!$P112&lt;Fits!$B$82,"C below linearity range; ",IF(Fits!$B$104&lt;=0,"",IF(Work!$P112&gt;Fits!$B$104,"C above linearity range; ","")))))&amp;IF(OR(Work!$D112="Sample",Work!$D112="Check"),IF(Work!$AA112="","",IF(Fits!$B$138="","",IF(AND(Work!$AA112&gt;=Fits!$B$138,Work!$AA112&lt;=Fits!$B$139),"","d15N outside anchor range; "))),"")&amp;IF(OR(Work!$D112="Sample",Work!$D112="Check"),IF(Work!$AF112="","",IF(Fits!$B$158="","",IF(AND(Work!$AF112&gt;=Fits!$B$158,Work!$AF112&lt;=Fits!$B$159),"","d13C outside anchor range; "))),"")&amp;IF(Work!$D112&lt;&gt;"Check","",IF(Work!$AA112="","",IF(Work!$S112="","",IF(ABS(Work!$AA112-Work!$S112)&lt;=Setup!$B$20,"","check d15N off by "&amp;TEXT(Work!$AA112-Work!$S112,"+0.00;-0.00")&amp;"; "))))&amp;IF(Work!$D112&lt;&gt;"Check","",IF(Work!$AF112="","",IF(Work!$T112="","",IF(ABS(Work!$AF112-Work!$T112)&lt;=Setup!$B$20,"","check d13C off by "&amp;TEXT(Work!$AF112-Work!$T112,"+0.00;-0.00")&amp;"; "))))&amp;IF(Work!$D112&lt;&gt;"Drift","",IF(Work!$BX112=1,"excluded from N drift fit; ",IF(Work!$CB112="","",IF(ABS(Work!$CB112)&gt;Setup!$B$27,"N drift monitor outlier; ",""))))&amp;IF(Work!$D112&lt;&gt;"Drift","",IF(Work!$BY112=1,"excluded from C drift fit; ",IF(Work!$CC112="","",IF(ABS(Work!$CC112)&gt;Setup!$B$27,"C drift monitor outlier; ",""))))&amp;IF(Work!$D112="Blank","",IF(Work!$L112="","",IF(Setup!$B$25="","",IF(Fits!$B$6&lt;=0,"",IF(Work!$L112&gt;=Fits!$B$6*Setup!$B$25,"","N peak only "&amp;TEXT(Work!$L112/Fits!$B$6,"0.0")&amp;"x the blank; ")))))&amp;IF(Work!$D112="Blank","",IF(Work!$P112="","",IF(Setup!$B$25="","",IF(Fits!$B$10&lt;=0,"",IF(Work!$P112&gt;=Fits!$B$10*Setup!$B$25,"","C peak only "&amp;TEXT(Work!$P112/Fits!$B$10,"0.0")&amp;"x the blank; ")))))&amp;IF(Work!$A112&gt;=Fits!$B$86,"","ran before the background settled; ")&amp;IF(Work!$EN112=1,"possible carryover from an oversized sample; ",""))</f>
        <v/>
      </c>
      <c r="L111" s="26" t="str">
        <f aca="false">IF(Work!$CN112="","",Work!$CN112)</f>
        <v/>
      </c>
      <c r="M111" s="26" t="str">
        <f aca="false">IF(Work!$CO112="","",Work!$CO112)</f>
        <v/>
      </c>
      <c r="N111" s="26" t="str">
        <f aca="false">IF(Work!$CL112="","",Work!$CL112)</f>
        <v/>
      </c>
      <c r="O111" s="26" t="str">
        <f aca="false">IF(Work!$CM112="","",Work!$CM112)</f>
        <v/>
      </c>
    </row>
    <row r="112" customFormat="false" ht="15" hidden="false" customHeight="false" outlineLevel="0" collapsed="false">
      <c r="A112" s="8" t="str">
        <f aca="false">IF(Work!$B113="","",Work!$A113)</f>
        <v/>
      </c>
      <c r="B112" s="8" t="str">
        <f aca="false">IF(Work!$B113="","",Work!$B113)</f>
        <v/>
      </c>
      <c r="C112" s="8" t="str">
        <f aca="false">IF(Work!$B113="","",Work!$D113)</f>
        <v/>
      </c>
      <c r="D112" s="16" t="str">
        <f aca="false">IF(Work!$G113="","",Work!$G113)</f>
        <v/>
      </c>
      <c r="E112" s="23" t="str">
        <f aca="false">IF(Work!$AJ113="","",Work!$AJ113)</f>
        <v/>
      </c>
      <c r="F112" s="23" t="str">
        <f aca="false">IF(Work!$AI113="","",Work!$AI113)</f>
        <v/>
      </c>
      <c r="G112" s="23" t="str">
        <f aca="false">IF(Work!$AK113="","",Work!$AK113)</f>
        <v/>
      </c>
      <c r="H112" s="23" t="str">
        <f aca="false">IF(Work!$AL113="","",Work!$AL113)</f>
        <v/>
      </c>
      <c r="I112" s="23" t="str">
        <f aca="false">IF(Work!$AF113="","",Work!$AF113)</f>
        <v/>
      </c>
      <c r="J112" s="23" t="str">
        <f aca="false">IF(Work!$AA113="","",Work!$AA113)</f>
        <v/>
      </c>
      <c r="K112" s="8" t="str">
        <f aca="false">IF(Work!$B113="","",IF(Work!$L113="","no N peak; ","")&amp;IF(Work!$P113="","no C peak; ","")&amp;IF(Work!$L113="","",IF(Fits!$B$81&lt;=0,"",IF(Work!$L113&lt;Fits!$B$81,"N below linearity range; ",IF(Fits!$B$97&lt;=0,"",IF(Work!$L113&gt;Fits!$B$97,"N above linearity range; ","")))))&amp;IF(Work!$P113="","",IF(Fits!$B$82&lt;=0,"",IF(Work!$P113&lt;Fits!$B$82,"C below linearity range; ",IF(Fits!$B$104&lt;=0,"",IF(Work!$P113&gt;Fits!$B$104,"C above linearity range; ","")))))&amp;IF(OR(Work!$D113="Sample",Work!$D113="Check"),IF(Work!$AA113="","",IF(Fits!$B$138="","",IF(AND(Work!$AA113&gt;=Fits!$B$138,Work!$AA113&lt;=Fits!$B$139),"","d15N outside anchor range; "))),"")&amp;IF(OR(Work!$D113="Sample",Work!$D113="Check"),IF(Work!$AF113="","",IF(Fits!$B$158="","",IF(AND(Work!$AF113&gt;=Fits!$B$158,Work!$AF113&lt;=Fits!$B$159),"","d13C outside anchor range; "))),"")&amp;IF(Work!$D113&lt;&gt;"Check","",IF(Work!$AA113="","",IF(Work!$S113="","",IF(ABS(Work!$AA113-Work!$S113)&lt;=Setup!$B$20,"","check d15N off by "&amp;TEXT(Work!$AA113-Work!$S113,"+0.00;-0.00")&amp;"; "))))&amp;IF(Work!$D113&lt;&gt;"Check","",IF(Work!$AF113="","",IF(Work!$T113="","",IF(ABS(Work!$AF113-Work!$T113)&lt;=Setup!$B$20,"","check d13C off by "&amp;TEXT(Work!$AF113-Work!$T113,"+0.00;-0.00")&amp;"; "))))&amp;IF(Work!$D113&lt;&gt;"Drift","",IF(Work!$BX113=1,"excluded from N drift fit; ",IF(Work!$CB113="","",IF(ABS(Work!$CB113)&gt;Setup!$B$27,"N drift monitor outlier; ",""))))&amp;IF(Work!$D113&lt;&gt;"Drift","",IF(Work!$BY113=1,"excluded from C drift fit; ",IF(Work!$CC113="","",IF(ABS(Work!$CC113)&gt;Setup!$B$27,"C drift monitor outlier; ",""))))&amp;IF(Work!$D113="Blank","",IF(Work!$L113="","",IF(Setup!$B$25="","",IF(Fits!$B$6&lt;=0,"",IF(Work!$L113&gt;=Fits!$B$6*Setup!$B$25,"","N peak only "&amp;TEXT(Work!$L113/Fits!$B$6,"0.0")&amp;"x the blank; ")))))&amp;IF(Work!$D113="Blank","",IF(Work!$P113="","",IF(Setup!$B$25="","",IF(Fits!$B$10&lt;=0,"",IF(Work!$P113&gt;=Fits!$B$10*Setup!$B$25,"","C peak only "&amp;TEXT(Work!$P113/Fits!$B$10,"0.0")&amp;"x the blank; ")))))&amp;IF(Work!$A113&gt;=Fits!$B$86,"","ran before the background settled; ")&amp;IF(Work!$EN113=1,"possible carryover from an oversized sample; ",""))</f>
        <v/>
      </c>
      <c r="L112" s="26" t="str">
        <f aca="false">IF(Work!$CN113="","",Work!$CN113)</f>
        <v/>
      </c>
      <c r="M112" s="26" t="str">
        <f aca="false">IF(Work!$CO113="","",Work!$CO113)</f>
        <v/>
      </c>
      <c r="N112" s="26" t="str">
        <f aca="false">IF(Work!$CL113="","",Work!$CL113)</f>
        <v/>
      </c>
      <c r="O112" s="26" t="str">
        <f aca="false">IF(Work!$CM113="","",Work!$CM113)</f>
        <v/>
      </c>
    </row>
    <row r="113" customFormat="false" ht="15" hidden="false" customHeight="false" outlineLevel="0" collapsed="false">
      <c r="A113" s="8" t="str">
        <f aca="false">IF(Work!$B114="","",Work!$A114)</f>
        <v/>
      </c>
      <c r="B113" s="8" t="str">
        <f aca="false">IF(Work!$B114="","",Work!$B114)</f>
        <v/>
      </c>
      <c r="C113" s="8" t="str">
        <f aca="false">IF(Work!$B114="","",Work!$D114)</f>
        <v/>
      </c>
      <c r="D113" s="16" t="str">
        <f aca="false">IF(Work!$G114="","",Work!$G114)</f>
        <v/>
      </c>
      <c r="E113" s="23" t="str">
        <f aca="false">IF(Work!$AJ114="","",Work!$AJ114)</f>
        <v/>
      </c>
      <c r="F113" s="23" t="str">
        <f aca="false">IF(Work!$AI114="","",Work!$AI114)</f>
        <v/>
      </c>
      <c r="G113" s="23" t="str">
        <f aca="false">IF(Work!$AK114="","",Work!$AK114)</f>
        <v/>
      </c>
      <c r="H113" s="23" t="str">
        <f aca="false">IF(Work!$AL114="","",Work!$AL114)</f>
        <v/>
      </c>
      <c r="I113" s="23" t="str">
        <f aca="false">IF(Work!$AF114="","",Work!$AF114)</f>
        <v/>
      </c>
      <c r="J113" s="23" t="str">
        <f aca="false">IF(Work!$AA114="","",Work!$AA114)</f>
        <v/>
      </c>
      <c r="K113" s="8" t="str">
        <f aca="false">IF(Work!$B114="","",IF(Work!$L114="","no N peak; ","")&amp;IF(Work!$P114="","no C peak; ","")&amp;IF(Work!$L114="","",IF(Fits!$B$81&lt;=0,"",IF(Work!$L114&lt;Fits!$B$81,"N below linearity range; ",IF(Fits!$B$97&lt;=0,"",IF(Work!$L114&gt;Fits!$B$97,"N above linearity range; ","")))))&amp;IF(Work!$P114="","",IF(Fits!$B$82&lt;=0,"",IF(Work!$P114&lt;Fits!$B$82,"C below linearity range; ",IF(Fits!$B$104&lt;=0,"",IF(Work!$P114&gt;Fits!$B$104,"C above linearity range; ","")))))&amp;IF(OR(Work!$D114="Sample",Work!$D114="Check"),IF(Work!$AA114="","",IF(Fits!$B$138="","",IF(AND(Work!$AA114&gt;=Fits!$B$138,Work!$AA114&lt;=Fits!$B$139),"","d15N outside anchor range; "))),"")&amp;IF(OR(Work!$D114="Sample",Work!$D114="Check"),IF(Work!$AF114="","",IF(Fits!$B$158="","",IF(AND(Work!$AF114&gt;=Fits!$B$158,Work!$AF114&lt;=Fits!$B$159),"","d13C outside anchor range; "))),"")&amp;IF(Work!$D114&lt;&gt;"Check","",IF(Work!$AA114="","",IF(Work!$S114="","",IF(ABS(Work!$AA114-Work!$S114)&lt;=Setup!$B$20,"","check d15N off by "&amp;TEXT(Work!$AA114-Work!$S114,"+0.00;-0.00")&amp;"; "))))&amp;IF(Work!$D114&lt;&gt;"Check","",IF(Work!$AF114="","",IF(Work!$T114="","",IF(ABS(Work!$AF114-Work!$T114)&lt;=Setup!$B$20,"","check d13C off by "&amp;TEXT(Work!$AF114-Work!$T114,"+0.00;-0.00")&amp;"; "))))&amp;IF(Work!$D114&lt;&gt;"Drift","",IF(Work!$BX114=1,"excluded from N drift fit; ",IF(Work!$CB114="","",IF(ABS(Work!$CB114)&gt;Setup!$B$27,"N drift monitor outlier; ",""))))&amp;IF(Work!$D114&lt;&gt;"Drift","",IF(Work!$BY114=1,"excluded from C drift fit; ",IF(Work!$CC114="","",IF(ABS(Work!$CC114)&gt;Setup!$B$27,"C drift monitor outlier; ",""))))&amp;IF(Work!$D114="Blank","",IF(Work!$L114="","",IF(Setup!$B$25="","",IF(Fits!$B$6&lt;=0,"",IF(Work!$L114&gt;=Fits!$B$6*Setup!$B$25,"","N peak only "&amp;TEXT(Work!$L114/Fits!$B$6,"0.0")&amp;"x the blank; ")))))&amp;IF(Work!$D114="Blank","",IF(Work!$P114="","",IF(Setup!$B$25="","",IF(Fits!$B$10&lt;=0,"",IF(Work!$P114&gt;=Fits!$B$10*Setup!$B$25,"","C peak only "&amp;TEXT(Work!$P114/Fits!$B$10,"0.0")&amp;"x the blank; ")))))&amp;IF(Work!$A114&gt;=Fits!$B$86,"","ran before the background settled; ")&amp;IF(Work!$EN114=1,"possible carryover from an oversized sample; ",""))</f>
        <v/>
      </c>
      <c r="L113" s="26" t="str">
        <f aca="false">IF(Work!$CN114="","",Work!$CN114)</f>
        <v/>
      </c>
      <c r="M113" s="26" t="str">
        <f aca="false">IF(Work!$CO114="","",Work!$CO114)</f>
        <v/>
      </c>
      <c r="N113" s="26" t="str">
        <f aca="false">IF(Work!$CL114="","",Work!$CL114)</f>
        <v/>
      </c>
      <c r="O113" s="26" t="str">
        <f aca="false">IF(Work!$CM114="","",Work!$CM114)</f>
        <v/>
      </c>
    </row>
    <row r="114" customFormat="false" ht="15" hidden="false" customHeight="false" outlineLevel="0" collapsed="false">
      <c r="A114" s="8" t="str">
        <f aca="false">IF(Work!$B115="","",Work!$A115)</f>
        <v/>
      </c>
      <c r="B114" s="8" t="str">
        <f aca="false">IF(Work!$B115="","",Work!$B115)</f>
        <v/>
      </c>
      <c r="C114" s="8" t="str">
        <f aca="false">IF(Work!$B115="","",Work!$D115)</f>
        <v/>
      </c>
      <c r="D114" s="16" t="str">
        <f aca="false">IF(Work!$G115="","",Work!$G115)</f>
        <v/>
      </c>
      <c r="E114" s="23" t="str">
        <f aca="false">IF(Work!$AJ115="","",Work!$AJ115)</f>
        <v/>
      </c>
      <c r="F114" s="23" t="str">
        <f aca="false">IF(Work!$AI115="","",Work!$AI115)</f>
        <v/>
      </c>
      <c r="G114" s="23" t="str">
        <f aca="false">IF(Work!$AK115="","",Work!$AK115)</f>
        <v/>
      </c>
      <c r="H114" s="23" t="str">
        <f aca="false">IF(Work!$AL115="","",Work!$AL115)</f>
        <v/>
      </c>
      <c r="I114" s="23" t="str">
        <f aca="false">IF(Work!$AF115="","",Work!$AF115)</f>
        <v/>
      </c>
      <c r="J114" s="23" t="str">
        <f aca="false">IF(Work!$AA115="","",Work!$AA115)</f>
        <v/>
      </c>
      <c r="K114" s="8" t="str">
        <f aca="false">IF(Work!$B115="","",IF(Work!$L115="","no N peak; ","")&amp;IF(Work!$P115="","no C peak; ","")&amp;IF(Work!$L115="","",IF(Fits!$B$81&lt;=0,"",IF(Work!$L115&lt;Fits!$B$81,"N below linearity range; ",IF(Fits!$B$97&lt;=0,"",IF(Work!$L115&gt;Fits!$B$97,"N above linearity range; ","")))))&amp;IF(Work!$P115="","",IF(Fits!$B$82&lt;=0,"",IF(Work!$P115&lt;Fits!$B$82,"C below linearity range; ",IF(Fits!$B$104&lt;=0,"",IF(Work!$P115&gt;Fits!$B$104,"C above linearity range; ","")))))&amp;IF(OR(Work!$D115="Sample",Work!$D115="Check"),IF(Work!$AA115="","",IF(Fits!$B$138="","",IF(AND(Work!$AA115&gt;=Fits!$B$138,Work!$AA115&lt;=Fits!$B$139),"","d15N outside anchor range; "))),"")&amp;IF(OR(Work!$D115="Sample",Work!$D115="Check"),IF(Work!$AF115="","",IF(Fits!$B$158="","",IF(AND(Work!$AF115&gt;=Fits!$B$158,Work!$AF115&lt;=Fits!$B$159),"","d13C outside anchor range; "))),"")&amp;IF(Work!$D115&lt;&gt;"Check","",IF(Work!$AA115="","",IF(Work!$S115="","",IF(ABS(Work!$AA115-Work!$S115)&lt;=Setup!$B$20,"","check d15N off by "&amp;TEXT(Work!$AA115-Work!$S115,"+0.00;-0.00")&amp;"; "))))&amp;IF(Work!$D115&lt;&gt;"Check","",IF(Work!$AF115="","",IF(Work!$T115="","",IF(ABS(Work!$AF115-Work!$T115)&lt;=Setup!$B$20,"","check d13C off by "&amp;TEXT(Work!$AF115-Work!$T115,"+0.00;-0.00")&amp;"; "))))&amp;IF(Work!$D115&lt;&gt;"Drift","",IF(Work!$BX115=1,"excluded from N drift fit; ",IF(Work!$CB115="","",IF(ABS(Work!$CB115)&gt;Setup!$B$27,"N drift monitor outlier; ",""))))&amp;IF(Work!$D115&lt;&gt;"Drift","",IF(Work!$BY115=1,"excluded from C drift fit; ",IF(Work!$CC115="","",IF(ABS(Work!$CC115)&gt;Setup!$B$27,"C drift monitor outlier; ",""))))&amp;IF(Work!$D115="Blank","",IF(Work!$L115="","",IF(Setup!$B$25="","",IF(Fits!$B$6&lt;=0,"",IF(Work!$L115&gt;=Fits!$B$6*Setup!$B$25,"","N peak only "&amp;TEXT(Work!$L115/Fits!$B$6,"0.0")&amp;"x the blank; ")))))&amp;IF(Work!$D115="Blank","",IF(Work!$P115="","",IF(Setup!$B$25="","",IF(Fits!$B$10&lt;=0,"",IF(Work!$P115&gt;=Fits!$B$10*Setup!$B$25,"","C peak only "&amp;TEXT(Work!$P115/Fits!$B$10,"0.0")&amp;"x the blank; ")))))&amp;IF(Work!$A115&gt;=Fits!$B$86,"","ran before the background settled; ")&amp;IF(Work!$EN115=1,"possible carryover from an oversized sample; ",""))</f>
        <v/>
      </c>
      <c r="L114" s="26" t="str">
        <f aca="false">IF(Work!$CN115="","",Work!$CN115)</f>
        <v/>
      </c>
      <c r="M114" s="26" t="str">
        <f aca="false">IF(Work!$CO115="","",Work!$CO115)</f>
        <v/>
      </c>
      <c r="N114" s="26" t="str">
        <f aca="false">IF(Work!$CL115="","",Work!$CL115)</f>
        <v/>
      </c>
      <c r="O114" s="26" t="str">
        <f aca="false">IF(Work!$CM115="","",Work!$CM115)</f>
        <v/>
      </c>
    </row>
    <row r="115" customFormat="false" ht="15" hidden="false" customHeight="false" outlineLevel="0" collapsed="false">
      <c r="A115" s="8" t="str">
        <f aca="false">IF(Work!$B116="","",Work!$A116)</f>
        <v/>
      </c>
      <c r="B115" s="8" t="str">
        <f aca="false">IF(Work!$B116="","",Work!$B116)</f>
        <v/>
      </c>
      <c r="C115" s="8" t="str">
        <f aca="false">IF(Work!$B116="","",Work!$D116)</f>
        <v/>
      </c>
      <c r="D115" s="16" t="str">
        <f aca="false">IF(Work!$G116="","",Work!$G116)</f>
        <v/>
      </c>
      <c r="E115" s="23" t="str">
        <f aca="false">IF(Work!$AJ116="","",Work!$AJ116)</f>
        <v/>
      </c>
      <c r="F115" s="23" t="str">
        <f aca="false">IF(Work!$AI116="","",Work!$AI116)</f>
        <v/>
      </c>
      <c r="G115" s="23" t="str">
        <f aca="false">IF(Work!$AK116="","",Work!$AK116)</f>
        <v/>
      </c>
      <c r="H115" s="23" t="str">
        <f aca="false">IF(Work!$AL116="","",Work!$AL116)</f>
        <v/>
      </c>
      <c r="I115" s="23" t="str">
        <f aca="false">IF(Work!$AF116="","",Work!$AF116)</f>
        <v/>
      </c>
      <c r="J115" s="23" t="str">
        <f aca="false">IF(Work!$AA116="","",Work!$AA116)</f>
        <v/>
      </c>
      <c r="K115" s="8" t="str">
        <f aca="false">IF(Work!$B116="","",IF(Work!$L116="","no N peak; ","")&amp;IF(Work!$P116="","no C peak; ","")&amp;IF(Work!$L116="","",IF(Fits!$B$81&lt;=0,"",IF(Work!$L116&lt;Fits!$B$81,"N below linearity range; ",IF(Fits!$B$97&lt;=0,"",IF(Work!$L116&gt;Fits!$B$97,"N above linearity range; ","")))))&amp;IF(Work!$P116="","",IF(Fits!$B$82&lt;=0,"",IF(Work!$P116&lt;Fits!$B$82,"C below linearity range; ",IF(Fits!$B$104&lt;=0,"",IF(Work!$P116&gt;Fits!$B$104,"C above linearity range; ","")))))&amp;IF(OR(Work!$D116="Sample",Work!$D116="Check"),IF(Work!$AA116="","",IF(Fits!$B$138="","",IF(AND(Work!$AA116&gt;=Fits!$B$138,Work!$AA116&lt;=Fits!$B$139),"","d15N outside anchor range; "))),"")&amp;IF(OR(Work!$D116="Sample",Work!$D116="Check"),IF(Work!$AF116="","",IF(Fits!$B$158="","",IF(AND(Work!$AF116&gt;=Fits!$B$158,Work!$AF116&lt;=Fits!$B$159),"","d13C outside anchor range; "))),"")&amp;IF(Work!$D116&lt;&gt;"Check","",IF(Work!$AA116="","",IF(Work!$S116="","",IF(ABS(Work!$AA116-Work!$S116)&lt;=Setup!$B$20,"","check d15N off by "&amp;TEXT(Work!$AA116-Work!$S116,"+0.00;-0.00")&amp;"; "))))&amp;IF(Work!$D116&lt;&gt;"Check","",IF(Work!$AF116="","",IF(Work!$T116="","",IF(ABS(Work!$AF116-Work!$T116)&lt;=Setup!$B$20,"","check d13C off by "&amp;TEXT(Work!$AF116-Work!$T116,"+0.00;-0.00")&amp;"; "))))&amp;IF(Work!$D116&lt;&gt;"Drift","",IF(Work!$BX116=1,"excluded from N drift fit; ",IF(Work!$CB116="","",IF(ABS(Work!$CB116)&gt;Setup!$B$27,"N drift monitor outlier; ",""))))&amp;IF(Work!$D116&lt;&gt;"Drift","",IF(Work!$BY116=1,"excluded from C drift fit; ",IF(Work!$CC116="","",IF(ABS(Work!$CC116)&gt;Setup!$B$27,"C drift monitor outlier; ",""))))&amp;IF(Work!$D116="Blank","",IF(Work!$L116="","",IF(Setup!$B$25="","",IF(Fits!$B$6&lt;=0,"",IF(Work!$L116&gt;=Fits!$B$6*Setup!$B$25,"","N peak only "&amp;TEXT(Work!$L116/Fits!$B$6,"0.0")&amp;"x the blank; ")))))&amp;IF(Work!$D116="Blank","",IF(Work!$P116="","",IF(Setup!$B$25="","",IF(Fits!$B$10&lt;=0,"",IF(Work!$P116&gt;=Fits!$B$10*Setup!$B$25,"","C peak only "&amp;TEXT(Work!$P116/Fits!$B$10,"0.0")&amp;"x the blank; ")))))&amp;IF(Work!$A116&gt;=Fits!$B$86,"","ran before the background settled; ")&amp;IF(Work!$EN116=1,"possible carryover from an oversized sample; ",""))</f>
        <v/>
      </c>
      <c r="L115" s="26" t="str">
        <f aca="false">IF(Work!$CN116="","",Work!$CN116)</f>
        <v/>
      </c>
      <c r="M115" s="26" t="str">
        <f aca="false">IF(Work!$CO116="","",Work!$CO116)</f>
        <v/>
      </c>
      <c r="N115" s="26" t="str">
        <f aca="false">IF(Work!$CL116="","",Work!$CL116)</f>
        <v/>
      </c>
      <c r="O115" s="26" t="str">
        <f aca="false">IF(Work!$CM116="","",Work!$CM116)</f>
        <v/>
      </c>
    </row>
    <row r="116" customFormat="false" ht="15" hidden="false" customHeight="false" outlineLevel="0" collapsed="false">
      <c r="A116" s="8" t="str">
        <f aca="false">IF(Work!$B117="","",Work!$A117)</f>
        <v/>
      </c>
      <c r="B116" s="8" t="str">
        <f aca="false">IF(Work!$B117="","",Work!$B117)</f>
        <v/>
      </c>
      <c r="C116" s="8" t="str">
        <f aca="false">IF(Work!$B117="","",Work!$D117)</f>
        <v/>
      </c>
      <c r="D116" s="16" t="str">
        <f aca="false">IF(Work!$G117="","",Work!$G117)</f>
        <v/>
      </c>
      <c r="E116" s="23" t="str">
        <f aca="false">IF(Work!$AJ117="","",Work!$AJ117)</f>
        <v/>
      </c>
      <c r="F116" s="23" t="str">
        <f aca="false">IF(Work!$AI117="","",Work!$AI117)</f>
        <v/>
      </c>
      <c r="G116" s="23" t="str">
        <f aca="false">IF(Work!$AK117="","",Work!$AK117)</f>
        <v/>
      </c>
      <c r="H116" s="23" t="str">
        <f aca="false">IF(Work!$AL117="","",Work!$AL117)</f>
        <v/>
      </c>
      <c r="I116" s="23" t="str">
        <f aca="false">IF(Work!$AF117="","",Work!$AF117)</f>
        <v/>
      </c>
      <c r="J116" s="23" t="str">
        <f aca="false">IF(Work!$AA117="","",Work!$AA117)</f>
        <v/>
      </c>
      <c r="K116" s="8" t="str">
        <f aca="false">IF(Work!$B117="","",IF(Work!$L117="","no N peak; ","")&amp;IF(Work!$P117="","no C peak; ","")&amp;IF(Work!$L117="","",IF(Fits!$B$81&lt;=0,"",IF(Work!$L117&lt;Fits!$B$81,"N below linearity range; ",IF(Fits!$B$97&lt;=0,"",IF(Work!$L117&gt;Fits!$B$97,"N above linearity range; ","")))))&amp;IF(Work!$P117="","",IF(Fits!$B$82&lt;=0,"",IF(Work!$P117&lt;Fits!$B$82,"C below linearity range; ",IF(Fits!$B$104&lt;=0,"",IF(Work!$P117&gt;Fits!$B$104,"C above linearity range; ","")))))&amp;IF(OR(Work!$D117="Sample",Work!$D117="Check"),IF(Work!$AA117="","",IF(Fits!$B$138="","",IF(AND(Work!$AA117&gt;=Fits!$B$138,Work!$AA117&lt;=Fits!$B$139),"","d15N outside anchor range; "))),"")&amp;IF(OR(Work!$D117="Sample",Work!$D117="Check"),IF(Work!$AF117="","",IF(Fits!$B$158="","",IF(AND(Work!$AF117&gt;=Fits!$B$158,Work!$AF117&lt;=Fits!$B$159),"","d13C outside anchor range; "))),"")&amp;IF(Work!$D117&lt;&gt;"Check","",IF(Work!$AA117="","",IF(Work!$S117="","",IF(ABS(Work!$AA117-Work!$S117)&lt;=Setup!$B$20,"","check d15N off by "&amp;TEXT(Work!$AA117-Work!$S117,"+0.00;-0.00")&amp;"; "))))&amp;IF(Work!$D117&lt;&gt;"Check","",IF(Work!$AF117="","",IF(Work!$T117="","",IF(ABS(Work!$AF117-Work!$T117)&lt;=Setup!$B$20,"","check d13C off by "&amp;TEXT(Work!$AF117-Work!$T117,"+0.00;-0.00")&amp;"; "))))&amp;IF(Work!$D117&lt;&gt;"Drift","",IF(Work!$BX117=1,"excluded from N drift fit; ",IF(Work!$CB117="","",IF(ABS(Work!$CB117)&gt;Setup!$B$27,"N drift monitor outlier; ",""))))&amp;IF(Work!$D117&lt;&gt;"Drift","",IF(Work!$BY117=1,"excluded from C drift fit; ",IF(Work!$CC117="","",IF(ABS(Work!$CC117)&gt;Setup!$B$27,"C drift monitor outlier; ",""))))&amp;IF(Work!$D117="Blank","",IF(Work!$L117="","",IF(Setup!$B$25="","",IF(Fits!$B$6&lt;=0,"",IF(Work!$L117&gt;=Fits!$B$6*Setup!$B$25,"","N peak only "&amp;TEXT(Work!$L117/Fits!$B$6,"0.0")&amp;"x the blank; ")))))&amp;IF(Work!$D117="Blank","",IF(Work!$P117="","",IF(Setup!$B$25="","",IF(Fits!$B$10&lt;=0,"",IF(Work!$P117&gt;=Fits!$B$10*Setup!$B$25,"","C peak only "&amp;TEXT(Work!$P117/Fits!$B$10,"0.0")&amp;"x the blank; ")))))&amp;IF(Work!$A117&gt;=Fits!$B$86,"","ran before the background settled; ")&amp;IF(Work!$EN117=1,"possible carryover from an oversized sample; ",""))</f>
        <v/>
      </c>
      <c r="L116" s="26" t="str">
        <f aca="false">IF(Work!$CN117="","",Work!$CN117)</f>
        <v/>
      </c>
      <c r="M116" s="26" t="str">
        <f aca="false">IF(Work!$CO117="","",Work!$CO117)</f>
        <v/>
      </c>
      <c r="N116" s="26" t="str">
        <f aca="false">IF(Work!$CL117="","",Work!$CL117)</f>
        <v/>
      </c>
      <c r="O116" s="26" t="str">
        <f aca="false">IF(Work!$CM117="","",Work!$CM117)</f>
        <v/>
      </c>
    </row>
    <row r="117" customFormat="false" ht="15" hidden="false" customHeight="false" outlineLevel="0" collapsed="false">
      <c r="A117" s="8" t="str">
        <f aca="false">IF(Work!$B118="","",Work!$A118)</f>
        <v/>
      </c>
      <c r="B117" s="8" t="str">
        <f aca="false">IF(Work!$B118="","",Work!$B118)</f>
        <v/>
      </c>
      <c r="C117" s="8" t="str">
        <f aca="false">IF(Work!$B118="","",Work!$D118)</f>
        <v/>
      </c>
      <c r="D117" s="16" t="str">
        <f aca="false">IF(Work!$G118="","",Work!$G118)</f>
        <v/>
      </c>
      <c r="E117" s="23" t="str">
        <f aca="false">IF(Work!$AJ118="","",Work!$AJ118)</f>
        <v/>
      </c>
      <c r="F117" s="23" t="str">
        <f aca="false">IF(Work!$AI118="","",Work!$AI118)</f>
        <v/>
      </c>
      <c r="G117" s="23" t="str">
        <f aca="false">IF(Work!$AK118="","",Work!$AK118)</f>
        <v/>
      </c>
      <c r="H117" s="23" t="str">
        <f aca="false">IF(Work!$AL118="","",Work!$AL118)</f>
        <v/>
      </c>
      <c r="I117" s="23" t="str">
        <f aca="false">IF(Work!$AF118="","",Work!$AF118)</f>
        <v/>
      </c>
      <c r="J117" s="23" t="str">
        <f aca="false">IF(Work!$AA118="","",Work!$AA118)</f>
        <v/>
      </c>
      <c r="K117" s="8" t="str">
        <f aca="false">IF(Work!$B118="","",IF(Work!$L118="","no N peak; ","")&amp;IF(Work!$P118="","no C peak; ","")&amp;IF(Work!$L118="","",IF(Fits!$B$81&lt;=0,"",IF(Work!$L118&lt;Fits!$B$81,"N below linearity range; ",IF(Fits!$B$97&lt;=0,"",IF(Work!$L118&gt;Fits!$B$97,"N above linearity range; ","")))))&amp;IF(Work!$P118="","",IF(Fits!$B$82&lt;=0,"",IF(Work!$P118&lt;Fits!$B$82,"C below linearity range; ",IF(Fits!$B$104&lt;=0,"",IF(Work!$P118&gt;Fits!$B$104,"C above linearity range; ","")))))&amp;IF(OR(Work!$D118="Sample",Work!$D118="Check"),IF(Work!$AA118="","",IF(Fits!$B$138="","",IF(AND(Work!$AA118&gt;=Fits!$B$138,Work!$AA118&lt;=Fits!$B$139),"","d15N outside anchor range; "))),"")&amp;IF(OR(Work!$D118="Sample",Work!$D118="Check"),IF(Work!$AF118="","",IF(Fits!$B$158="","",IF(AND(Work!$AF118&gt;=Fits!$B$158,Work!$AF118&lt;=Fits!$B$159),"","d13C outside anchor range; "))),"")&amp;IF(Work!$D118&lt;&gt;"Check","",IF(Work!$AA118="","",IF(Work!$S118="","",IF(ABS(Work!$AA118-Work!$S118)&lt;=Setup!$B$20,"","check d15N off by "&amp;TEXT(Work!$AA118-Work!$S118,"+0.00;-0.00")&amp;"; "))))&amp;IF(Work!$D118&lt;&gt;"Check","",IF(Work!$AF118="","",IF(Work!$T118="","",IF(ABS(Work!$AF118-Work!$T118)&lt;=Setup!$B$20,"","check d13C off by "&amp;TEXT(Work!$AF118-Work!$T118,"+0.00;-0.00")&amp;"; "))))&amp;IF(Work!$D118&lt;&gt;"Drift","",IF(Work!$BX118=1,"excluded from N drift fit; ",IF(Work!$CB118="","",IF(ABS(Work!$CB118)&gt;Setup!$B$27,"N drift monitor outlier; ",""))))&amp;IF(Work!$D118&lt;&gt;"Drift","",IF(Work!$BY118=1,"excluded from C drift fit; ",IF(Work!$CC118="","",IF(ABS(Work!$CC118)&gt;Setup!$B$27,"C drift monitor outlier; ",""))))&amp;IF(Work!$D118="Blank","",IF(Work!$L118="","",IF(Setup!$B$25="","",IF(Fits!$B$6&lt;=0,"",IF(Work!$L118&gt;=Fits!$B$6*Setup!$B$25,"","N peak only "&amp;TEXT(Work!$L118/Fits!$B$6,"0.0")&amp;"x the blank; ")))))&amp;IF(Work!$D118="Blank","",IF(Work!$P118="","",IF(Setup!$B$25="","",IF(Fits!$B$10&lt;=0,"",IF(Work!$P118&gt;=Fits!$B$10*Setup!$B$25,"","C peak only "&amp;TEXT(Work!$P118/Fits!$B$10,"0.0")&amp;"x the blank; ")))))&amp;IF(Work!$A118&gt;=Fits!$B$86,"","ran before the background settled; ")&amp;IF(Work!$EN118=1,"possible carryover from an oversized sample; ",""))</f>
        <v/>
      </c>
      <c r="L117" s="26" t="str">
        <f aca="false">IF(Work!$CN118="","",Work!$CN118)</f>
        <v/>
      </c>
      <c r="M117" s="26" t="str">
        <f aca="false">IF(Work!$CO118="","",Work!$CO118)</f>
        <v/>
      </c>
      <c r="N117" s="26" t="str">
        <f aca="false">IF(Work!$CL118="","",Work!$CL118)</f>
        <v/>
      </c>
      <c r="O117" s="26" t="str">
        <f aca="false">IF(Work!$CM118="","",Work!$CM118)</f>
        <v/>
      </c>
    </row>
    <row r="118" customFormat="false" ht="15" hidden="false" customHeight="false" outlineLevel="0" collapsed="false">
      <c r="A118" s="8" t="str">
        <f aca="false">IF(Work!$B119="","",Work!$A119)</f>
        <v/>
      </c>
      <c r="B118" s="8" t="str">
        <f aca="false">IF(Work!$B119="","",Work!$B119)</f>
        <v/>
      </c>
      <c r="C118" s="8" t="str">
        <f aca="false">IF(Work!$B119="","",Work!$D119)</f>
        <v/>
      </c>
      <c r="D118" s="16" t="str">
        <f aca="false">IF(Work!$G119="","",Work!$G119)</f>
        <v/>
      </c>
      <c r="E118" s="23" t="str">
        <f aca="false">IF(Work!$AJ119="","",Work!$AJ119)</f>
        <v/>
      </c>
      <c r="F118" s="23" t="str">
        <f aca="false">IF(Work!$AI119="","",Work!$AI119)</f>
        <v/>
      </c>
      <c r="G118" s="23" t="str">
        <f aca="false">IF(Work!$AK119="","",Work!$AK119)</f>
        <v/>
      </c>
      <c r="H118" s="23" t="str">
        <f aca="false">IF(Work!$AL119="","",Work!$AL119)</f>
        <v/>
      </c>
      <c r="I118" s="23" t="str">
        <f aca="false">IF(Work!$AF119="","",Work!$AF119)</f>
        <v/>
      </c>
      <c r="J118" s="23" t="str">
        <f aca="false">IF(Work!$AA119="","",Work!$AA119)</f>
        <v/>
      </c>
      <c r="K118" s="8" t="str">
        <f aca="false">IF(Work!$B119="","",IF(Work!$L119="","no N peak; ","")&amp;IF(Work!$P119="","no C peak; ","")&amp;IF(Work!$L119="","",IF(Fits!$B$81&lt;=0,"",IF(Work!$L119&lt;Fits!$B$81,"N below linearity range; ",IF(Fits!$B$97&lt;=0,"",IF(Work!$L119&gt;Fits!$B$97,"N above linearity range; ","")))))&amp;IF(Work!$P119="","",IF(Fits!$B$82&lt;=0,"",IF(Work!$P119&lt;Fits!$B$82,"C below linearity range; ",IF(Fits!$B$104&lt;=0,"",IF(Work!$P119&gt;Fits!$B$104,"C above linearity range; ","")))))&amp;IF(OR(Work!$D119="Sample",Work!$D119="Check"),IF(Work!$AA119="","",IF(Fits!$B$138="","",IF(AND(Work!$AA119&gt;=Fits!$B$138,Work!$AA119&lt;=Fits!$B$139),"","d15N outside anchor range; "))),"")&amp;IF(OR(Work!$D119="Sample",Work!$D119="Check"),IF(Work!$AF119="","",IF(Fits!$B$158="","",IF(AND(Work!$AF119&gt;=Fits!$B$158,Work!$AF119&lt;=Fits!$B$159),"","d13C outside anchor range; "))),"")&amp;IF(Work!$D119&lt;&gt;"Check","",IF(Work!$AA119="","",IF(Work!$S119="","",IF(ABS(Work!$AA119-Work!$S119)&lt;=Setup!$B$20,"","check d15N off by "&amp;TEXT(Work!$AA119-Work!$S119,"+0.00;-0.00")&amp;"; "))))&amp;IF(Work!$D119&lt;&gt;"Check","",IF(Work!$AF119="","",IF(Work!$T119="","",IF(ABS(Work!$AF119-Work!$T119)&lt;=Setup!$B$20,"","check d13C off by "&amp;TEXT(Work!$AF119-Work!$T119,"+0.00;-0.00")&amp;"; "))))&amp;IF(Work!$D119&lt;&gt;"Drift","",IF(Work!$BX119=1,"excluded from N drift fit; ",IF(Work!$CB119="","",IF(ABS(Work!$CB119)&gt;Setup!$B$27,"N drift monitor outlier; ",""))))&amp;IF(Work!$D119&lt;&gt;"Drift","",IF(Work!$BY119=1,"excluded from C drift fit; ",IF(Work!$CC119="","",IF(ABS(Work!$CC119)&gt;Setup!$B$27,"C drift monitor outlier; ",""))))&amp;IF(Work!$D119="Blank","",IF(Work!$L119="","",IF(Setup!$B$25="","",IF(Fits!$B$6&lt;=0,"",IF(Work!$L119&gt;=Fits!$B$6*Setup!$B$25,"","N peak only "&amp;TEXT(Work!$L119/Fits!$B$6,"0.0")&amp;"x the blank; ")))))&amp;IF(Work!$D119="Blank","",IF(Work!$P119="","",IF(Setup!$B$25="","",IF(Fits!$B$10&lt;=0,"",IF(Work!$P119&gt;=Fits!$B$10*Setup!$B$25,"","C peak only "&amp;TEXT(Work!$P119/Fits!$B$10,"0.0")&amp;"x the blank; ")))))&amp;IF(Work!$A119&gt;=Fits!$B$86,"","ran before the background settled; ")&amp;IF(Work!$EN119=1,"possible carryover from an oversized sample; ",""))</f>
        <v/>
      </c>
      <c r="L118" s="26" t="str">
        <f aca="false">IF(Work!$CN119="","",Work!$CN119)</f>
        <v/>
      </c>
      <c r="M118" s="26" t="str">
        <f aca="false">IF(Work!$CO119="","",Work!$CO119)</f>
        <v/>
      </c>
      <c r="N118" s="26" t="str">
        <f aca="false">IF(Work!$CL119="","",Work!$CL119)</f>
        <v/>
      </c>
      <c r="O118" s="26" t="str">
        <f aca="false">IF(Work!$CM119="","",Work!$CM119)</f>
        <v/>
      </c>
    </row>
    <row r="119" customFormat="false" ht="15" hidden="false" customHeight="false" outlineLevel="0" collapsed="false">
      <c r="A119" s="8" t="str">
        <f aca="false">IF(Work!$B120="","",Work!$A120)</f>
        <v/>
      </c>
      <c r="B119" s="8" t="str">
        <f aca="false">IF(Work!$B120="","",Work!$B120)</f>
        <v/>
      </c>
      <c r="C119" s="8" t="str">
        <f aca="false">IF(Work!$B120="","",Work!$D120)</f>
        <v/>
      </c>
      <c r="D119" s="16" t="str">
        <f aca="false">IF(Work!$G120="","",Work!$G120)</f>
        <v/>
      </c>
      <c r="E119" s="23" t="str">
        <f aca="false">IF(Work!$AJ120="","",Work!$AJ120)</f>
        <v/>
      </c>
      <c r="F119" s="23" t="str">
        <f aca="false">IF(Work!$AI120="","",Work!$AI120)</f>
        <v/>
      </c>
      <c r="G119" s="23" t="str">
        <f aca="false">IF(Work!$AK120="","",Work!$AK120)</f>
        <v/>
      </c>
      <c r="H119" s="23" t="str">
        <f aca="false">IF(Work!$AL120="","",Work!$AL120)</f>
        <v/>
      </c>
      <c r="I119" s="23" t="str">
        <f aca="false">IF(Work!$AF120="","",Work!$AF120)</f>
        <v/>
      </c>
      <c r="J119" s="23" t="str">
        <f aca="false">IF(Work!$AA120="","",Work!$AA120)</f>
        <v/>
      </c>
      <c r="K119" s="8" t="str">
        <f aca="false">IF(Work!$B120="","",IF(Work!$L120="","no N peak; ","")&amp;IF(Work!$P120="","no C peak; ","")&amp;IF(Work!$L120="","",IF(Fits!$B$81&lt;=0,"",IF(Work!$L120&lt;Fits!$B$81,"N below linearity range; ",IF(Fits!$B$97&lt;=0,"",IF(Work!$L120&gt;Fits!$B$97,"N above linearity range; ","")))))&amp;IF(Work!$P120="","",IF(Fits!$B$82&lt;=0,"",IF(Work!$P120&lt;Fits!$B$82,"C below linearity range; ",IF(Fits!$B$104&lt;=0,"",IF(Work!$P120&gt;Fits!$B$104,"C above linearity range; ","")))))&amp;IF(OR(Work!$D120="Sample",Work!$D120="Check"),IF(Work!$AA120="","",IF(Fits!$B$138="","",IF(AND(Work!$AA120&gt;=Fits!$B$138,Work!$AA120&lt;=Fits!$B$139),"","d15N outside anchor range; "))),"")&amp;IF(OR(Work!$D120="Sample",Work!$D120="Check"),IF(Work!$AF120="","",IF(Fits!$B$158="","",IF(AND(Work!$AF120&gt;=Fits!$B$158,Work!$AF120&lt;=Fits!$B$159),"","d13C outside anchor range; "))),"")&amp;IF(Work!$D120&lt;&gt;"Check","",IF(Work!$AA120="","",IF(Work!$S120="","",IF(ABS(Work!$AA120-Work!$S120)&lt;=Setup!$B$20,"","check d15N off by "&amp;TEXT(Work!$AA120-Work!$S120,"+0.00;-0.00")&amp;"; "))))&amp;IF(Work!$D120&lt;&gt;"Check","",IF(Work!$AF120="","",IF(Work!$T120="","",IF(ABS(Work!$AF120-Work!$T120)&lt;=Setup!$B$20,"","check d13C off by "&amp;TEXT(Work!$AF120-Work!$T120,"+0.00;-0.00")&amp;"; "))))&amp;IF(Work!$D120&lt;&gt;"Drift","",IF(Work!$BX120=1,"excluded from N drift fit; ",IF(Work!$CB120="","",IF(ABS(Work!$CB120)&gt;Setup!$B$27,"N drift monitor outlier; ",""))))&amp;IF(Work!$D120&lt;&gt;"Drift","",IF(Work!$BY120=1,"excluded from C drift fit; ",IF(Work!$CC120="","",IF(ABS(Work!$CC120)&gt;Setup!$B$27,"C drift monitor outlier; ",""))))&amp;IF(Work!$D120="Blank","",IF(Work!$L120="","",IF(Setup!$B$25="","",IF(Fits!$B$6&lt;=0,"",IF(Work!$L120&gt;=Fits!$B$6*Setup!$B$25,"","N peak only "&amp;TEXT(Work!$L120/Fits!$B$6,"0.0")&amp;"x the blank; ")))))&amp;IF(Work!$D120="Blank","",IF(Work!$P120="","",IF(Setup!$B$25="","",IF(Fits!$B$10&lt;=0,"",IF(Work!$P120&gt;=Fits!$B$10*Setup!$B$25,"","C peak only "&amp;TEXT(Work!$P120/Fits!$B$10,"0.0")&amp;"x the blank; ")))))&amp;IF(Work!$A120&gt;=Fits!$B$86,"","ran before the background settled; ")&amp;IF(Work!$EN120=1,"possible carryover from an oversized sample; ",""))</f>
        <v/>
      </c>
      <c r="L119" s="26" t="str">
        <f aca="false">IF(Work!$CN120="","",Work!$CN120)</f>
        <v/>
      </c>
      <c r="M119" s="26" t="str">
        <f aca="false">IF(Work!$CO120="","",Work!$CO120)</f>
        <v/>
      </c>
      <c r="N119" s="26" t="str">
        <f aca="false">IF(Work!$CL120="","",Work!$CL120)</f>
        <v/>
      </c>
      <c r="O119" s="26" t="str">
        <f aca="false">IF(Work!$CM120="","",Work!$CM120)</f>
        <v/>
      </c>
    </row>
    <row r="120" customFormat="false" ht="15" hidden="false" customHeight="false" outlineLevel="0" collapsed="false">
      <c r="A120" s="8" t="str">
        <f aca="false">IF(Work!$B121="","",Work!$A121)</f>
        <v/>
      </c>
      <c r="B120" s="8" t="str">
        <f aca="false">IF(Work!$B121="","",Work!$B121)</f>
        <v/>
      </c>
      <c r="C120" s="8" t="str">
        <f aca="false">IF(Work!$B121="","",Work!$D121)</f>
        <v/>
      </c>
      <c r="D120" s="16" t="str">
        <f aca="false">IF(Work!$G121="","",Work!$G121)</f>
        <v/>
      </c>
      <c r="E120" s="23" t="str">
        <f aca="false">IF(Work!$AJ121="","",Work!$AJ121)</f>
        <v/>
      </c>
      <c r="F120" s="23" t="str">
        <f aca="false">IF(Work!$AI121="","",Work!$AI121)</f>
        <v/>
      </c>
      <c r="G120" s="23" t="str">
        <f aca="false">IF(Work!$AK121="","",Work!$AK121)</f>
        <v/>
      </c>
      <c r="H120" s="23" t="str">
        <f aca="false">IF(Work!$AL121="","",Work!$AL121)</f>
        <v/>
      </c>
      <c r="I120" s="23" t="str">
        <f aca="false">IF(Work!$AF121="","",Work!$AF121)</f>
        <v/>
      </c>
      <c r="J120" s="23" t="str">
        <f aca="false">IF(Work!$AA121="","",Work!$AA121)</f>
        <v/>
      </c>
      <c r="K120" s="8" t="str">
        <f aca="false">IF(Work!$B121="","",IF(Work!$L121="","no N peak; ","")&amp;IF(Work!$P121="","no C peak; ","")&amp;IF(Work!$L121="","",IF(Fits!$B$81&lt;=0,"",IF(Work!$L121&lt;Fits!$B$81,"N below linearity range; ",IF(Fits!$B$97&lt;=0,"",IF(Work!$L121&gt;Fits!$B$97,"N above linearity range; ","")))))&amp;IF(Work!$P121="","",IF(Fits!$B$82&lt;=0,"",IF(Work!$P121&lt;Fits!$B$82,"C below linearity range; ",IF(Fits!$B$104&lt;=0,"",IF(Work!$P121&gt;Fits!$B$104,"C above linearity range; ","")))))&amp;IF(OR(Work!$D121="Sample",Work!$D121="Check"),IF(Work!$AA121="","",IF(Fits!$B$138="","",IF(AND(Work!$AA121&gt;=Fits!$B$138,Work!$AA121&lt;=Fits!$B$139),"","d15N outside anchor range; "))),"")&amp;IF(OR(Work!$D121="Sample",Work!$D121="Check"),IF(Work!$AF121="","",IF(Fits!$B$158="","",IF(AND(Work!$AF121&gt;=Fits!$B$158,Work!$AF121&lt;=Fits!$B$159),"","d13C outside anchor range; "))),"")&amp;IF(Work!$D121&lt;&gt;"Check","",IF(Work!$AA121="","",IF(Work!$S121="","",IF(ABS(Work!$AA121-Work!$S121)&lt;=Setup!$B$20,"","check d15N off by "&amp;TEXT(Work!$AA121-Work!$S121,"+0.00;-0.00")&amp;"; "))))&amp;IF(Work!$D121&lt;&gt;"Check","",IF(Work!$AF121="","",IF(Work!$T121="","",IF(ABS(Work!$AF121-Work!$T121)&lt;=Setup!$B$20,"","check d13C off by "&amp;TEXT(Work!$AF121-Work!$T121,"+0.00;-0.00")&amp;"; "))))&amp;IF(Work!$D121&lt;&gt;"Drift","",IF(Work!$BX121=1,"excluded from N drift fit; ",IF(Work!$CB121="","",IF(ABS(Work!$CB121)&gt;Setup!$B$27,"N drift monitor outlier; ",""))))&amp;IF(Work!$D121&lt;&gt;"Drift","",IF(Work!$BY121=1,"excluded from C drift fit; ",IF(Work!$CC121="","",IF(ABS(Work!$CC121)&gt;Setup!$B$27,"C drift monitor outlier; ",""))))&amp;IF(Work!$D121="Blank","",IF(Work!$L121="","",IF(Setup!$B$25="","",IF(Fits!$B$6&lt;=0,"",IF(Work!$L121&gt;=Fits!$B$6*Setup!$B$25,"","N peak only "&amp;TEXT(Work!$L121/Fits!$B$6,"0.0")&amp;"x the blank; ")))))&amp;IF(Work!$D121="Blank","",IF(Work!$P121="","",IF(Setup!$B$25="","",IF(Fits!$B$10&lt;=0,"",IF(Work!$P121&gt;=Fits!$B$10*Setup!$B$25,"","C peak only "&amp;TEXT(Work!$P121/Fits!$B$10,"0.0")&amp;"x the blank; ")))))&amp;IF(Work!$A121&gt;=Fits!$B$86,"","ran before the background settled; ")&amp;IF(Work!$EN121=1,"possible carryover from an oversized sample; ",""))</f>
        <v/>
      </c>
      <c r="L120" s="26" t="str">
        <f aca="false">IF(Work!$CN121="","",Work!$CN121)</f>
        <v/>
      </c>
      <c r="M120" s="26" t="str">
        <f aca="false">IF(Work!$CO121="","",Work!$CO121)</f>
        <v/>
      </c>
      <c r="N120" s="26" t="str">
        <f aca="false">IF(Work!$CL121="","",Work!$CL121)</f>
        <v/>
      </c>
      <c r="O120" s="26" t="str">
        <f aca="false">IF(Work!$CM121="","",Work!$CM121)</f>
        <v/>
      </c>
    </row>
    <row r="121" customFormat="false" ht="15" hidden="false" customHeight="false" outlineLevel="0" collapsed="false">
      <c r="A121" s="8" t="str">
        <f aca="false">IF(Work!$B122="","",Work!$A122)</f>
        <v/>
      </c>
      <c r="B121" s="8" t="str">
        <f aca="false">IF(Work!$B122="","",Work!$B122)</f>
        <v/>
      </c>
      <c r="C121" s="8" t="str">
        <f aca="false">IF(Work!$B122="","",Work!$D122)</f>
        <v/>
      </c>
      <c r="D121" s="16" t="str">
        <f aca="false">IF(Work!$G122="","",Work!$G122)</f>
        <v/>
      </c>
      <c r="E121" s="23" t="str">
        <f aca="false">IF(Work!$AJ122="","",Work!$AJ122)</f>
        <v/>
      </c>
      <c r="F121" s="23" t="str">
        <f aca="false">IF(Work!$AI122="","",Work!$AI122)</f>
        <v/>
      </c>
      <c r="G121" s="23" t="str">
        <f aca="false">IF(Work!$AK122="","",Work!$AK122)</f>
        <v/>
      </c>
      <c r="H121" s="23" t="str">
        <f aca="false">IF(Work!$AL122="","",Work!$AL122)</f>
        <v/>
      </c>
      <c r="I121" s="23" t="str">
        <f aca="false">IF(Work!$AF122="","",Work!$AF122)</f>
        <v/>
      </c>
      <c r="J121" s="23" t="str">
        <f aca="false">IF(Work!$AA122="","",Work!$AA122)</f>
        <v/>
      </c>
      <c r="K121" s="8" t="str">
        <f aca="false">IF(Work!$B122="","",IF(Work!$L122="","no N peak; ","")&amp;IF(Work!$P122="","no C peak; ","")&amp;IF(Work!$L122="","",IF(Fits!$B$81&lt;=0,"",IF(Work!$L122&lt;Fits!$B$81,"N below linearity range; ",IF(Fits!$B$97&lt;=0,"",IF(Work!$L122&gt;Fits!$B$97,"N above linearity range; ","")))))&amp;IF(Work!$P122="","",IF(Fits!$B$82&lt;=0,"",IF(Work!$P122&lt;Fits!$B$82,"C below linearity range; ",IF(Fits!$B$104&lt;=0,"",IF(Work!$P122&gt;Fits!$B$104,"C above linearity range; ","")))))&amp;IF(OR(Work!$D122="Sample",Work!$D122="Check"),IF(Work!$AA122="","",IF(Fits!$B$138="","",IF(AND(Work!$AA122&gt;=Fits!$B$138,Work!$AA122&lt;=Fits!$B$139),"","d15N outside anchor range; "))),"")&amp;IF(OR(Work!$D122="Sample",Work!$D122="Check"),IF(Work!$AF122="","",IF(Fits!$B$158="","",IF(AND(Work!$AF122&gt;=Fits!$B$158,Work!$AF122&lt;=Fits!$B$159),"","d13C outside anchor range; "))),"")&amp;IF(Work!$D122&lt;&gt;"Check","",IF(Work!$AA122="","",IF(Work!$S122="","",IF(ABS(Work!$AA122-Work!$S122)&lt;=Setup!$B$20,"","check d15N off by "&amp;TEXT(Work!$AA122-Work!$S122,"+0.00;-0.00")&amp;"; "))))&amp;IF(Work!$D122&lt;&gt;"Check","",IF(Work!$AF122="","",IF(Work!$T122="","",IF(ABS(Work!$AF122-Work!$T122)&lt;=Setup!$B$20,"","check d13C off by "&amp;TEXT(Work!$AF122-Work!$T122,"+0.00;-0.00")&amp;"; "))))&amp;IF(Work!$D122&lt;&gt;"Drift","",IF(Work!$BX122=1,"excluded from N drift fit; ",IF(Work!$CB122="","",IF(ABS(Work!$CB122)&gt;Setup!$B$27,"N drift monitor outlier; ",""))))&amp;IF(Work!$D122&lt;&gt;"Drift","",IF(Work!$BY122=1,"excluded from C drift fit; ",IF(Work!$CC122="","",IF(ABS(Work!$CC122)&gt;Setup!$B$27,"C drift monitor outlier; ",""))))&amp;IF(Work!$D122="Blank","",IF(Work!$L122="","",IF(Setup!$B$25="","",IF(Fits!$B$6&lt;=0,"",IF(Work!$L122&gt;=Fits!$B$6*Setup!$B$25,"","N peak only "&amp;TEXT(Work!$L122/Fits!$B$6,"0.0")&amp;"x the blank; ")))))&amp;IF(Work!$D122="Blank","",IF(Work!$P122="","",IF(Setup!$B$25="","",IF(Fits!$B$10&lt;=0,"",IF(Work!$P122&gt;=Fits!$B$10*Setup!$B$25,"","C peak only "&amp;TEXT(Work!$P122/Fits!$B$10,"0.0")&amp;"x the blank; ")))))&amp;IF(Work!$A122&gt;=Fits!$B$86,"","ran before the background settled; ")&amp;IF(Work!$EN122=1,"possible carryover from an oversized sample; ",""))</f>
        <v/>
      </c>
      <c r="L121" s="26" t="str">
        <f aca="false">IF(Work!$CN122="","",Work!$CN122)</f>
        <v/>
      </c>
      <c r="M121" s="26" t="str">
        <f aca="false">IF(Work!$CO122="","",Work!$CO122)</f>
        <v/>
      </c>
      <c r="N121" s="26" t="str">
        <f aca="false">IF(Work!$CL122="","",Work!$CL122)</f>
        <v/>
      </c>
      <c r="O121" s="26" t="str">
        <f aca="false">IF(Work!$CM122="","",Work!$CM122)</f>
        <v/>
      </c>
    </row>
    <row r="122" customFormat="false" ht="15" hidden="false" customHeight="false" outlineLevel="0" collapsed="false">
      <c r="A122" s="8" t="str">
        <f aca="false">IF(Work!$B123="","",Work!$A123)</f>
        <v/>
      </c>
      <c r="B122" s="8" t="str">
        <f aca="false">IF(Work!$B123="","",Work!$B123)</f>
        <v/>
      </c>
      <c r="C122" s="8" t="str">
        <f aca="false">IF(Work!$B123="","",Work!$D123)</f>
        <v/>
      </c>
      <c r="D122" s="16" t="str">
        <f aca="false">IF(Work!$G123="","",Work!$G123)</f>
        <v/>
      </c>
      <c r="E122" s="23" t="str">
        <f aca="false">IF(Work!$AJ123="","",Work!$AJ123)</f>
        <v/>
      </c>
      <c r="F122" s="23" t="str">
        <f aca="false">IF(Work!$AI123="","",Work!$AI123)</f>
        <v/>
      </c>
      <c r="G122" s="23" t="str">
        <f aca="false">IF(Work!$AK123="","",Work!$AK123)</f>
        <v/>
      </c>
      <c r="H122" s="23" t="str">
        <f aca="false">IF(Work!$AL123="","",Work!$AL123)</f>
        <v/>
      </c>
      <c r="I122" s="23" t="str">
        <f aca="false">IF(Work!$AF123="","",Work!$AF123)</f>
        <v/>
      </c>
      <c r="J122" s="23" t="str">
        <f aca="false">IF(Work!$AA123="","",Work!$AA123)</f>
        <v/>
      </c>
      <c r="K122" s="8" t="str">
        <f aca="false">IF(Work!$B123="","",IF(Work!$L123="","no N peak; ","")&amp;IF(Work!$P123="","no C peak; ","")&amp;IF(Work!$L123="","",IF(Fits!$B$81&lt;=0,"",IF(Work!$L123&lt;Fits!$B$81,"N below linearity range; ",IF(Fits!$B$97&lt;=0,"",IF(Work!$L123&gt;Fits!$B$97,"N above linearity range; ","")))))&amp;IF(Work!$P123="","",IF(Fits!$B$82&lt;=0,"",IF(Work!$P123&lt;Fits!$B$82,"C below linearity range; ",IF(Fits!$B$104&lt;=0,"",IF(Work!$P123&gt;Fits!$B$104,"C above linearity range; ","")))))&amp;IF(OR(Work!$D123="Sample",Work!$D123="Check"),IF(Work!$AA123="","",IF(Fits!$B$138="","",IF(AND(Work!$AA123&gt;=Fits!$B$138,Work!$AA123&lt;=Fits!$B$139),"","d15N outside anchor range; "))),"")&amp;IF(OR(Work!$D123="Sample",Work!$D123="Check"),IF(Work!$AF123="","",IF(Fits!$B$158="","",IF(AND(Work!$AF123&gt;=Fits!$B$158,Work!$AF123&lt;=Fits!$B$159),"","d13C outside anchor range; "))),"")&amp;IF(Work!$D123&lt;&gt;"Check","",IF(Work!$AA123="","",IF(Work!$S123="","",IF(ABS(Work!$AA123-Work!$S123)&lt;=Setup!$B$20,"","check d15N off by "&amp;TEXT(Work!$AA123-Work!$S123,"+0.00;-0.00")&amp;"; "))))&amp;IF(Work!$D123&lt;&gt;"Check","",IF(Work!$AF123="","",IF(Work!$T123="","",IF(ABS(Work!$AF123-Work!$T123)&lt;=Setup!$B$20,"","check d13C off by "&amp;TEXT(Work!$AF123-Work!$T123,"+0.00;-0.00")&amp;"; "))))&amp;IF(Work!$D123&lt;&gt;"Drift","",IF(Work!$BX123=1,"excluded from N drift fit; ",IF(Work!$CB123="","",IF(ABS(Work!$CB123)&gt;Setup!$B$27,"N drift monitor outlier; ",""))))&amp;IF(Work!$D123&lt;&gt;"Drift","",IF(Work!$BY123=1,"excluded from C drift fit; ",IF(Work!$CC123="","",IF(ABS(Work!$CC123)&gt;Setup!$B$27,"C drift monitor outlier; ",""))))&amp;IF(Work!$D123="Blank","",IF(Work!$L123="","",IF(Setup!$B$25="","",IF(Fits!$B$6&lt;=0,"",IF(Work!$L123&gt;=Fits!$B$6*Setup!$B$25,"","N peak only "&amp;TEXT(Work!$L123/Fits!$B$6,"0.0")&amp;"x the blank; ")))))&amp;IF(Work!$D123="Blank","",IF(Work!$P123="","",IF(Setup!$B$25="","",IF(Fits!$B$10&lt;=0,"",IF(Work!$P123&gt;=Fits!$B$10*Setup!$B$25,"","C peak only "&amp;TEXT(Work!$P123/Fits!$B$10,"0.0")&amp;"x the blank; ")))))&amp;IF(Work!$A123&gt;=Fits!$B$86,"","ran before the background settled; ")&amp;IF(Work!$EN123=1,"possible carryover from an oversized sample; ",""))</f>
        <v/>
      </c>
      <c r="L122" s="26" t="str">
        <f aca="false">IF(Work!$CN123="","",Work!$CN123)</f>
        <v/>
      </c>
      <c r="M122" s="26" t="str">
        <f aca="false">IF(Work!$CO123="","",Work!$CO123)</f>
        <v/>
      </c>
      <c r="N122" s="26" t="str">
        <f aca="false">IF(Work!$CL123="","",Work!$CL123)</f>
        <v/>
      </c>
      <c r="O122" s="26" t="str">
        <f aca="false">IF(Work!$CM123="","",Work!$CM123)</f>
        <v/>
      </c>
    </row>
    <row r="123" customFormat="false" ht="15" hidden="false" customHeight="false" outlineLevel="0" collapsed="false">
      <c r="A123" s="8" t="str">
        <f aca="false">IF(Work!$B124="","",Work!$A124)</f>
        <v/>
      </c>
      <c r="B123" s="8" t="str">
        <f aca="false">IF(Work!$B124="","",Work!$B124)</f>
        <v/>
      </c>
      <c r="C123" s="8" t="str">
        <f aca="false">IF(Work!$B124="","",Work!$D124)</f>
        <v/>
      </c>
      <c r="D123" s="16" t="str">
        <f aca="false">IF(Work!$G124="","",Work!$G124)</f>
        <v/>
      </c>
      <c r="E123" s="23" t="str">
        <f aca="false">IF(Work!$AJ124="","",Work!$AJ124)</f>
        <v/>
      </c>
      <c r="F123" s="23" t="str">
        <f aca="false">IF(Work!$AI124="","",Work!$AI124)</f>
        <v/>
      </c>
      <c r="G123" s="23" t="str">
        <f aca="false">IF(Work!$AK124="","",Work!$AK124)</f>
        <v/>
      </c>
      <c r="H123" s="23" t="str">
        <f aca="false">IF(Work!$AL124="","",Work!$AL124)</f>
        <v/>
      </c>
      <c r="I123" s="23" t="str">
        <f aca="false">IF(Work!$AF124="","",Work!$AF124)</f>
        <v/>
      </c>
      <c r="J123" s="23" t="str">
        <f aca="false">IF(Work!$AA124="","",Work!$AA124)</f>
        <v/>
      </c>
      <c r="K123" s="8" t="str">
        <f aca="false">IF(Work!$B124="","",IF(Work!$L124="","no N peak; ","")&amp;IF(Work!$P124="","no C peak; ","")&amp;IF(Work!$L124="","",IF(Fits!$B$81&lt;=0,"",IF(Work!$L124&lt;Fits!$B$81,"N below linearity range; ",IF(Fits!$B$97&lt;=0,"",IF(Work!$L124&gt;Fits!$B$97,"N above linearity range; ","")))))&amp;IF(Work!$P124="","",IF(Fits!$B$82&lt;=0,"",IF(Work!$P124&lt;Fits!$B$82,"C below linearity range; ",IF(Fits!$B$104&lt;=0,"",IF(Work!$P124&gt;Fits!$B$104,"C above linearity range; ","")))))&amp;IF(OR(Work!$D124="Sample",Work!$D124="Check"),IF(Work!$AA124="","",IF(Fits!$B$138="","",IF(AND(Work!$AA124&gt;=Fits!$B$138,Work!$AA124&lt;=Fits!$B$139),"","d15N outside anchor range; "))),"")&amp;IF(OR(Work!$D124="Sample",Work!$D124="Check"),IF(Work!$AF124="","",IF(Fits!$B$158="","",IF(AND(Work!$AF124&gt;=Fits!$B$158,Work!$AF124&lt;=Fits!$B$159),"","d13C outside anchor range; "))),"")&amp;IF(Work!$D124&lt;&gt;"Check","",IF(Work!$AA124="","",IF(Work!$S124="","",IF(ABS(Work!$AA124-Work!$S124)&lt;=Setup!$B$20,"","check d15N off by "&amp;TEXT(Work!$AA124-Work!$S124,"+0.00;-0.00")&amp;"; "))))&amp;IF(Work!$D124&lt;&gt;"Check","",IF(Work!$AF124="","",IF(Work!$T124="","",IF(ABS(Work!$AF124-Work!$T124)&lt;=Setup!$B$20,"","check d13C off by "&amp;TEXT(Work!$AF124-Work!$T124,"+0.00;-0.00")&amp;"; "))))&amp;IF(Work!$D124&lt;&gt;"Drift","",IF(Work!$BX124=1,"excluded from N drift fit; ",IF(Work!$CB124="","",IF(ABS(Work!$CB124)&gt;Setup!$B$27,"N drift monitor outlier; ",""))))&amp;IF(Work!$D124&lt;&gt;"Drift","",IF(Work!$BY124=1,"excluded from C drift fit; ",IF(Work!$CC124="","",IF(ABS(Work!$CC124)&gt;Setup!$B$27,"C drift monitor outlier; ",""))))&amp;IF(Work!$D124="Blank","",IF(Work!$L124="","",IF(Setup!$B$25="","",IF(Fits!$B$6&lt;=0,"",IF(Work!$L124&gt;=Fits!$B$6*Setup!$B$25,"","N peak only "&amp;TEXT(Work!$L124/Fits!$B$6,"0.0")&amp;"x the blank; ")))))&amp;IF(Work!$D124="Blank","",IF(Work!$P124="","",IF(Setup!$B$25="","",IF(Fits!$B$10&lt;=0,"",IF(Work!$P124&gt;=Fits!$B$10*Setup!$B$25,"","C peak only "&amp;TEXT(Work!$P124/Fits!$B$10,"0.0")&amp;"x the blank; ")))))&amp;IF(Work!$A124&gt;=Fits!$B$86,"","ran before the background settled; ")&amp;IF(Work!$EN124=1,"possible carryover from an oversized sample; ",""))</f>
        <v/>
      </c>
      <c r="L123" s="26" t="str">
        <f aca="false">IF(Work!$CN124="","",Work!$CN124)</f>
        <v/>
      </c>
      <c r="M123" s="26" t="str">
        <f aca="false">IF(Work!$CO124="","",Work!$CO124)</f>
        <v/>
      </c>
      <c r="N123" s="26" t="str">
        <f aca="false">IF(Work!$CL124="","",Work!$CL124)</f>
        <v/>
      </c>
      <c r="O123" s="26" t="str">
        <f aca="false">IF(Work!$CM124="","",Work!$CM124)</f>
        <v/>
      </c>
    </row>
    <row r="124" customFormat="false" ht="15" hidden="false" customHeight="false" outlineLevel="0" collapsed="false">
      <c r="A124" s="8" t="str">
        <f aca="false">IF(Work!$B125="","",Work!$A125)</f>
        <v/>
      </c>
      <c r="B124" s="8" t="str">
        <f aca="false">IF(Work!$B125="","",Work!$B125)</f>
        <v/>
      </c>
      <c r="C124" s="8" t="str">
        <f aca="false">IF(Work!$B125="","",Work!$D125)</f>
        <v/>
      </c>
      <c r="D124" s="16" t="str">
        <f aca="false">IF(Work!$G125="","",Work!$G125)</f>
        <v/>
      </c>
      <c r="E124" s="23" t="str">
        <f aca="false">IF(Work!$AJ125="","",Work!$AJ125)</f>
        <v/>
      </c>
      <c r="F124" s="23" t="str">
        <f aca="false">IF(Work!$AI125="","",Work!$AI125)</f>
        <v/>
      </c>
      <c r="G124" s="23" t="str">
        <f aca="false">IF(Work!$AK125="","",Work!$AK125)</f>
        <v/>
      </c>
      <c r="H124" s="23" t="str">
        <f aca="false">IF(Work!$AL125="","",Work!$AL125)</f>
        <v/>
      </c>
      <c r="I124" s="23" t="str">
        <f aca="false">IF(Work!$AF125="","",Work!$AF125)</f>
        <v/>
      </c>
      <c r="J124" s="23" t="str">
        <f aca="false">IF(Work!$AA125="","",Work!$AA125)</f>
        <v/>
      </c>
      <c r="K124" s="8" t="str">
        <f aca="false">IF(Work!$B125="","",IF(Work!$L125="","no N peak; ","")&amp;IF(Work!$P125="","no C peak; ","")&amp;IF(Work!$L125="","",IF(Fits!$B$81&lt;=0,"",IF(Work!$L125&lt;Fits!$B$81,"N below linearity range; ",IF(Fits!$B$97&lt;=0,"",IF(Work!$L125&gt;Fits!$B$97,"N above linearity range; ","")))))&amp;IF(Work!$P125="","",IF(Fits!$B$82&lt;=0,"",IF(Work!$P125&lt;Fits!$B$82,"C below linearity range; ",IF(Fits!$B$104&lt;=0,"",IF(Work!$P125&gt;Fits!$B$104,"C above linearity range; ","")))))&amp;IF(OR(Work!$D125="Sample",Work!$D125="Check"),IF(Work!$AA125="","",IF(Fits!$B$138="","",IF(AND(Work!$AA125&gt;=Fits!$B$138,Work!$AA125&lt;=Fits!$B$139),"","d15N outside anchor range; "))),"")&amp;IF(OR(Work!$D125="Sample",Work!$D125="Check"),IF(Work!$AF125="","",IF(Fits!$B$158="","",IF(AND(Work!$AF125&gt;=Fits!$B$158,Work!$AF125&lt;=Fits!$B$159),"","d13C outside anchor range; "))),"")&amp;IF(Work!$D125&lt;&gt;"Check","",IF(Work!$AA125="","",IF(Work!$S125="","",IF(ABS(Work!$AA125-Work!$S125)&lt;=Setup!$B$20,"","check d15N off by "&amp;TEXT(Work!$AA125-Work!$S125,"+0.00;-0.00")&amp;"; "))))&amp;IF(Work!$D125&lt;&gt;"Check","",IF(Work!$AF125="","",IF(Work!$T125="","",IF(ABS(Work!$AF125-Work!$T125)&lt;=Setup!$B$20,"","check d13C off by "&amp;TEXT(Work!$AF125-Work!$T125,"+0.00;-0.00")&amp;"; "))))&amp;IF(Work!$D125&lt;&gt;"Drift","",IF(Work!$BX125=1,"excluded from N drift fit; ",IF(Work!$CB125="","",IF(ABS(Work!$CB125)&gt;Setup!$B$27,"N drift monitor outlier; ",""))))&amp;IF(Work!$D125&lt;&gt;"Drift","",IF(Work!$BY125=1,"excluded from C drift fit; ",IF(Work!$CC125="","",IF(ABS(Work!$CC125)&gt;Setup!$B$27,"C drift monitor outlier; ",""))))&amp;IF(Work!$D125="Blank","",IF(Work!$L125="","",IF(Setup!$B$25="","",IF(Fits!$B$6&lt;=0,"",IF(Work!$L125&gt;=Fits!$B$6*Setup!$B$25,"","N peak only "&amp;TEXT(Work!$L125/Fits!$B$6,"0.0")&amp;"x the blank; ")))))&amp;IF(Work!$D125="Blank","",IF(Work!$P125="","",IF(Setup!$B$25="","",IF(Fits!$B$10&lt;=0,"",IF(Work!$P125&gt;=Fits!$B$10*Setup!$B$25,"","C peak only "&amp;TEXT(Work!$P125/Fits!$B$10,"0.0")&amp;"x the blank; ")))))&amp;IF(Work!$A125&gt;=Fits!$B$86,"","ran before the background settled; ")&amp;IF(Work!$EN125=1,"possible carryover from an oversized sample; ",""))</f>
        <v/>
      </c>
      <c r="L124" s="26" t="str">
        <f aca="false">IF(Work!$CN125="","",Work!$CN125)</f>
        <v/>
      </c>
      <c r="M124" s="26" t="str">
        <f aca="false">IF(Work!$CO125="","",Work!$CO125)</f>
        <v/>
      </c>
      <c r="N124" s="26" t="str">
        <f aca="false">IF(Work!$CL125="","",Work!$CL125)</f>
        <v/>
      </c>
      <c r="O124" s="26" t="str">
        <f aca="false">IF(Work!$CM125="","",Work!$CM125)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K1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3"/>
    <col collapsed="false" customWidth="true" hidden="false" outlineLevel="0" max="4" min="4" style="0" width="11"/>
    <col collapsed="false" customWidth="true" hidden="false" outlineLevel="0" max="5" min="5" style="0" width="12"/>
    <col collapsed="false" customWidth="true" hidden="false" outlineLevel="0" max="6" min="6" style="0" width="11"/>
    <col collapsed="false" customWidth="true" hidden="false" outlineLevel="0" max="8" min="7" style="0" width="12"/>
    <col collapsed="false" customWidth="true" hidden="false" outlineLevel="0" max="9" min="9" style="0" width="11"/>
  </cols>
  <sheetData>
    <row r="1" customFormat="false" ht="17.35" hidden="false" customHeight="false" outlineLevel="0" collapsed="false">
      <c r="A1" s="1" t="s">
        <v>641</v>
      </c>
    </row>
    <row r="2" customFormat="false" ht="15" hidden="false" customHeight="false" outlineLevel="0" collapsed="false">
      <c r="A2" s="5" t="s">
        <v>642</v>
      </c>
    </row>
    <row r="3" customFormat="false" ht="15" hidden="false" customHeight="false" outlineLevel="0" collapsed="false">
      <c r="K3" s="5" t="s">
        <v>643</v>
      </c>
    </row>
    <row r="4" customFormat="false" ht="15" hidden="false" customHeight="false" outlineLevel="0" collapsed="false">
      <c r="A4" s="27" t="s">
        <v>644</v>
      </c>
      <c r="B4" s="28"/>
      <c r="C4" s="28"/>
      <c r="D4" s="28"/>
      <c r="E4" s="28"/>
      <c r="F4" s="28"/>
      <c r="G4" s="28"/>
      <c r="H4" s="28"/>
      <c r="I4" s="28"/>
    </row>
    <row r="5" customFormat="false" ht="15" hidden="false" customHeight="false" outlineLevel="0" collapsed="false">
      <c r="A5" s="8" t="s">
        <v>645</v>
      </c>
      <c r="B5" s="29" t="n">
        <f aca="false">COUNTIF(Work!$B$6:$B$125,"?*")</f>
        <v>56</v>
      </c>
    </row>
    <row r="6" customFormat="false" ht="15" hidden="false" customHeight="false" outlineLevel="0" collapsed="false">
      <c r="A6" s="8" t="s">
        <v>646</v>
      </c>
      <c r="B6" s="29" t="n">
        <f aca="false">COUNT(Raw!$D$2:$D$1001)</f>
        <v>386</v>
      </c>
    </row>
    <row r="7" customFormat="false" ht="15" hidden="false" customHeight="false" outlineLevel="0" collapsed="false">
      <c r="A7" s="8" t="s">
        <v>647</v>
      </c>
      <c r="B7" s="29" t="n">
        <f aca="false">COUNTIF(Work!$D$6:$D$125,"Sample")</f>
        <v>26</v>
      </c>
    </row>
    <row r="8" customFormat="false" ht="15" hidden="false" customHeight="false" outlineLevel="0" collapsed="false">
      <c r="A8" s="8" t="s">
        <v>648</v>
      </c>
      <c r="B8" s="29" t="n">
        <f aca="false">SUMPRODUCT((Work!$B$6:$B$125&lt;&gt;"")*1)-COUNT(Work!$L$6:$L$125)</f>
        <v>1</v>
      </c>
    </row>
    <row r="10" customFormat="false" ht="15" hidden="false" customHeight="false" outlineLevel="0" collapsed="false">
      <c r="A10" s="27" t="s">
        <v>649</v>
      </c>
      <c r="B10" s="28"/>
      <c r="C10" s="28"/>
      <c r="D10" s="28"/>
      <c r="E10" s="28"/>
      <c r="F10" s="28"/>
      <c r="G10" s="28"/>
      <c r="H10" s="28"/>
      <c r="I10" s="28"/>
    </row>
    <row r="11" customFormat="false" ht="15" hidden="false" customHeight="false" outlineLevel="0" collapsed="false">
      <c r="A11" s="5" t="s">
        <v>650</v>
      </c>
    </row>
    <row r="12" customFormat="false" ht="15" hidden="false" customHeight="false" outlineLevel="0" collapsed="false">
      <c r="A12" s="8" t="s">
        <v>612</v>
      </c>
      <c r="B12" s="29" t="n">
        <f aca="false">Fits!$B$201</f>
        <v>56</v>
      </c>
      <c r="D12" s="8" t="str">
        <f aca="false">IF(Fits!$B$201&lt;3,"no reference pulses in this export; nothing to check","ok")</f>
        <v>ok</v>
      </c>
    </row>
    <row r="13" customFormat="false" ht="15" hidden="false" customHeight="false" outlineLevel="0" collapsed="false">
      <c r="A13" s="8" t="s">
        <v>651</v>
      </c>
      <c r="B13" s="31" t="n">
        <f aca="false">Fits!$B$203</f>
        <v>0.0663410682583748</v>
      </c>
    </row>
    <row r="14" customFormat="false" ht="15" hidden="false" customHeight="false" outlineLevel="0" collapsed="false">
      <c r="A14" s="8" t="s">
        <v>652</v>
      </c>
      <c r="B14" s="34" t="n">
        <f aca="false">Fits!$B$205</f>
        <v>-0.000846992481203007</v>
      </c>
      <c r="D14" s="8" t="str">
        <f aca="false">IF(Fits!$B$201&lt;3,"",IF(AND(ISNUMBER(Fits!$B$206),Fits!$B$206&lt;Setup!$B$15),"CHECK: the pulses trend across the run (p="&amp;TEXT(Fits!$B$206,"0.000")&amp;"), so the reference measurement itself moved","ok, no trend (p="&amp;TEXT(Fits!$B$206,"0.00")&amp;")"))</f>
        <v>ok, no trend (p=0.12)</v>
      </c>
    </row>
    <row r="15" customFormat="false" ht="15" hidden="false" customHeight="false" outlineLevel="0" collapsed="false">
      <c r="A15" s="8" t="s">
        <v>653</v>
      </c>
      <c r="B15" s="31" t="n">
        <f aca="false">Fits!$B$204</f>
        <v>0.285</v>
      </c>
    </row>
    <row r="16" customFormat="false" ht="15" hidden="false" customHeight="false" outlineLevel="0" collapsed="false">
      <c r="A16" s="8" t="s">
        <v>618</v>
      </c>
      <c r="B16" s="29" t="n">
        <f aca="false">Fits!$B$208</f>
        <v>56</v>
      </c>
      <c r="D16" s="8" t="str">
        <f aca="false">IF(Fits!$B$208&lt;3,"no reference pulses in this export; nothing to check","ok")</f>
        <v>ok</v>
      </c>
    </row>
    <row r="17" customFormat="false" ht="15" hidden="false" customHeight="false" outlineLevel="0" collapsed="false">
      <c r="A17" s="8" t="s">
        <v>654</v>
      </c>
      <c r="B17" s="31" t="n">
        <f aca="false">Fits!$B$210</f>
        <v>0.0654781315729589</v>
      </c>
    </row>
    <row r="18" customFormat="false" ht="15" hidden="false" customHeight="false" outlineLevel="0" collapsed="false">
      <c r="A18" s="8" t="s">
        <v>655</v>
      </c>
      <c r="B18" s="34" t="n">
        <f aca="false">Fits!$B$212</f>
        <v>0.000881613123718396</v>
      </c>
      <c r="D18" s="8" t="str">
        <f aca="false">IF(Fits!$B$208&lt;3,"",IF(AND(ISNUMBER(Fits!$B$213),Fits!$B$213&lt;Setup!$B$15),"CHECK: the pulses trend across the run (p="&amp;TEXT(Fits!$B$213,"0.000")&amp;"), so the reference measurement itself moved","ok, no trend (p="&amp;TEXT(Fits!$B$213,"0.00")&amp;")"))</f>
        <v>ok, no trend (p=0.10)</v>
      </c>
    </row>
    <row r="19" customFormat="false" ht="15" hidden="false" customHeight="false" outlineLevel="0" collapsed="false">
      <c r="A19" s="8" t="s">
        <v>656</v>
      </c>
      <c r="B19" s="31" t="n">
        <f aca="false">Fits!$B$211</f>
        <v>0.422000000000001</v>
      </c>
    </row>
    <row r="21" customFormat="false" ht="15" hidden="false" customHeight="false" outlineLevel="0" collapsed="false">
      <c r="A21" s="27" t="s">
        <v>657</v>
      </c>
      <c r="B21" s="28"/>
      <c r="C21" s="28"/>
      <c r="D21" s="28"/>
      <c r="E21" s="28"/>
      <c r="F21" s="28"/>
      <c r="G21" s="28"/>
      <c r="H21" s="28"/>
      <c r="I21" s="28"/>
    </row>
    <row r="22" customFormat="false" ht="15" hidden="false" customHeight="false" outlineLevel="0" collapsed="false">
      <c r="A22" s="8" t="s">
        <v>658</v>
      </c>
      <c r="B22" s="29" t="n">
        <f aca="false">Fits!$B$55</f>
        <v>6</v>
      </c>
      <c r="D22" s="8" t="str">
        <f aca="false">IF(Fits!$B$55&lt;2,"CHECK: need at least two anchor measurements","ok")</f>
        <v>ok</v>
      </c>
    </row>
    <row r="23" customFormat="false" ht="15" hidden="false" customHeight="false" outlineLevel="0" collapsed="false">
      <c r="A23" s="8" t="s">
        <v>659</v>
      </c>
      <c r="B23" s="32" t="n">
        <f aca="false">Fits!$B$56</f>
        <v>1.02659774304508</v>
      </c>
      <c r="D23" s="8" t="str">
        <f aca="false">IF(Fits!$B$56="","",IF(ABS(Fits!$B$56-1)&gt;0.05,"CHECK: stretch factor far from 1","ok"))</f>
        <v>ok</v>
      </c>
    </row>
    <row r="24" customFormat="false" ht="15" hidden="false" customHeight="false" outlineLevel="0" collapsed="false">
      <c r="A24" s="8" t="s">
        <v>660</v>
      </c>
      <c r="B24" s="29" t="n">
        <f aca="false">Fits!$B$62</f>
        <v>6</v>
      </c>
      <c r="D24" s="8" t="str">
        <f aca="false">IF(Fits!$B$62&lt;2,"CHECK: need at least two anchor measurements","ok")</f>
        <v>ok</v>
      </c>
    </row>
    <row r="25" customFormat="false" ht="15" hidden="false" customHeight="false" outlineLevel="0" collapsed="false">
      <c r="A25" s="8" t="s">
        <v>661</v>
      </c>
      <c r="B25" s="32" t="n">
        <f aca="false">Fits!$B$63</f>
        <v>1.01415059070389</v>
      </c>
      <c r="D25" s="8" t="str">
        <f aca="false">IF(Fits!$B$63="","",IF(ABS(Fits!$B$63-1)&gt;0.05,"CHECK: stretch factor far from 1","ok"))</f>
        <v>ok</v>
      </c>
    </row>
    <row r="26" customFormat="false" ht="15" hidden="false" customHeight="false" outlineLevel="0" collapsed="false">
      <c r="A26" s="8" t="s">
        <v>662</v>
      </c>
      <c r="B26" s="29" t="n">
        <f aca="false">Fits!$B$217</f>
        <v>0</v>
      </c>
      <c r="D26" s="8" t="str">
        <f aca="false">IF(Fits!$B$217&lt;1,"CHECK: nothing independent of the anchors tests this calibration; run a check standard (USGS66, or an in-house material with an assigned value) in every sequence","ok")</f>
        <v>CHECK: nothing independent of the anchors tests this calibration; run a check standard (USGS66, or an in-house material with an assigned value) in every sequence</v>
      </c>
    </row>
    <row r="27" customFormat="false" ht="15" hidden="false" customHeight="false" outlineLevel="0" collapsed="false">
      <c r="A27" s="8" t="s">
        <v>663</v>
      </c>
      <c r="B27" s="29" t="n">
        <f aca="false">COUNTIF(Results!$K$5:$K$124,"*d15N outside anchor range*")</f>
        <v>22</v>
      </c>
      <c r="D27" s="8" t="str">
        <f aca="false">IF($B$27=0,"ok","CHECK: these values are extrapolated beyond the anchors; add an anchor that brackets them")</f>
        <v>CHECK: these values are extrapolated beyond the anchors; add an anchor that brackets them</v>
      </c>
    </row>
    <row r="28" customFormat="false" ht="15" hidden="false" customHeight="false" outlineLevel="0" collapsed="false">
      <c r="A28" s="8" t="s">
        <v>664</v>
      </c>
      <c r="B28" s="29" t="n">
        <f aca="false">COUNTIF(Results!$K$5:$K$124,"*d13C outside anchor range*")</f>
        <v>1</v>
      </c>
      <c r="D28" s="8" t="str">
        <f aca="false">IF($B$28=0,"ok","CHECK: these values are extrapolated beyond the anchors; add an anchor that brackets them")</f>
        <v>CHECK: these values are extrapolated beyond the anchors; add an anchor that brackets them</v>
      </c>
    </row>
    <row r="30" customFormat="false" ht="15" hidden="false" customHeight="false" outlineLevel="0" collapsed="false">
      <c r="A30" s="27" t="s">
        <v>665</v>
      </c>
      <c r="B30" s="28"/>
      <c r="C30" s="28"/>
      <c r="D30" s="28"/>
      <c r="E30" s="28"/>
      <c r="F30" s="28"/>
      <c r="G30" s="28"/>
      <c r="H30" s="28"/>
      <c r="I30" s="28"/>
    </row>
    <row r="31" customFormat="false" ht="15" hidden="false" customHeight="false" outlineLevel="0" collapsed="false">
      <c r="A31" s="5" t="s">
        <v>666</v>
      </c>
    </row>
    <row r="32" customFormat="false" ht="15" hidden="false" customHeight="false" outlineLevel="0" collapsed="false">
      <c r="A32" s="8" t="s">
        <v>667</v>
      </c>
      <c r="B32" s="34" t="n">
        <f aca="false">Fits!$B$17</f>
        <v>-0.0569644475759588</v>
      </c>
      <c r="D32" s="8" t="str">
        <f aca="false">IF(Fits!$B$17="","no fit",IF(Fits!$B$95="","too few standards to test","slope "&amp;TEXT(Fits!$B$17,"0.00000")&amp;" +/- "&amp;TEXT(Fits!$B$93,"0.00000")&amp;", p = "&amp;TEXT(Fits!$B$95,"0.000")&amp;IF(Fits!$B$96="Yes",", applied",", not applied")))</f>
        <v>slope -0.05696 +/- 0.01494, p = 0.062, not applied</v>
      </c>
    </row>
    <row r="33" customFormat="false" ht="15" hidden="false" customHeight="false" outlineLevel="0" collapsed="false">
      <c r="A33" s="8" t="s">
        <v>668</v>
      </c>
      <c r="B33" s="34" t="n">
        <f aca="false">Fits!$B$25</f>
        <v>0.00173275090869947</v>
      </c>
      <c r="D33" s="8" t="str">
        <f aca="false">IF(Fits!$B$25="","no fit",IF(Fits!$B$102="","too few standards to test","slope "&amp;TEXT(Fits!$B$25,"0.00000")&amp;" +/- "&amp;TEXT(Fits!$B$100,"0.00000")&amp;", p = "&amp;TEXT(Fits!$B$102,"0.000")&amp;IF(Fits!$B$103="Yes",", applied",", not applied")))</f>
        <v>slope 0.00173 +/- 0.00025, p = 0.020, applied</v>
      </c>
    </row>
    <row r="34" customFormat="false" ht="15" hidden="false" customHeight="false" outlineLevel="0" collapsed="false">
      <c r="A34" s="8" t="s">
        <v>669</v>
      </c>
      <c r="B34" s="34" t="n">
        <f aca="false">IF(Fits!$B$38="Row",Fits!$B$32,Fits!$B$35)</f>
        <v>-0.0147543499944586</v>
      </c>
      <c r="D34" s="8" t="str">
        <f aca="false">IF(IF(Fits!$B$38="Row",Fits!$B$32,Fits!$B$35)="","no fit",IF(Fits!$B$114="","too few standards to test","slope "&amp;TEXT(IF(Fits!$B$38="Row",Fits!$B$32,Fits!$B$35),"0.00000")&amp;" +/- "&amp;TEXT(Fits!$B$112,"0.00000")&amp;", p = "&amp;TEXT(Fits!$B$114,"0.000")&amp;IF(Fits!$B$115="Yes",", applied",", not applied")))</f>
        <v>slope -0.01475 +/- 0.00271, p = 0.000, applied</v>
      </c>
    </row>
    <row r="35" customFormat="false" ht="15" hidden="false" customHeight="false" outlineLevel="0" collapsed="false">
      <c r="A35" s="8" t="s">
        <v>670</v>
      </c>
      <c r="B35" s="34" t="n">
        <f aca="false">IF(Fits!$B$50="Row",Fits!$B$44,Fits!$B$47)</f>
        <v>0.00259766717756809</v>
      </c>
      <c r="D35" s="8" t="str">
        <f aca="false">IF(IF(Fits!$B$50="Row",Fits!$B$44,Fits!$B$47)="","no fit",IF(Fits!$B$127="","too few standards to test","slope "&amp;TEXT(IF(Fits!$B$50="Row",Fits!$B$44,Fits!$B$47),"0.00000")&amp;" +/- "&amp;TEXT(Fits!$B$125,"0.00000")&amp;", p = "&amp;TEXT(Fits!$B$127,"0.000")&amp;IF(Fits!$B$128="Yes",", applied",", not applied")))</f>
        <v>slope 0.00260 +/- 0.00085, p = 0.011, applied</v>
      </c>
    </row>
    <row r="36" customFormat="false" ht="15" hidden="false" customHeight="false" outlineLevel="0" collapsed="false">
      <c r="A36" s="5" t="s">
        <v>671</v>
      </c>
    </row>
    <row r="37" customFormat="false" ht="15" hidden="false" customHeight="false" outlineLevel="0" collapsed="false">
      <c r="A37" s="8" t="s">
        <v>672</v>
      </c>
      <c r="B37" s="29" t="n">
        <f aca="false">Fits!$B$117</f>
        <v>0</v>
      </c>
      <c r="D37" s="8" t="str">
        <f aca="false">IF(Fits!$B$117=0,"ok","CHECK: a monitor sits far from the line through the others (Work column CB). If the capsule is the cause, list its position in Setup B16 and read QC again")</f>
        <v>ok</v>
      </c>
    </row>
    <row r="38" customFormat="false" ht="15" hidden="false" customHeight="false" outlineLevel="0" collapsed="false">
      <c r="A38" s="8" t="s">
        <v>673</v>
      </c>
      <c r="B38" s="29" t="n">
        <f aca="false">Fits!$B$130</f>
        <v>0</v>
      </c>
      <c r="D38" s="8" t="str">
        <f aca="false">IF(Fits!$B$130=0,"ok","CHECK: a monitor sits far from the line through the others (Work column CC). If the capsule is the cause, list its position in Setup B17 and read QC again")</f>
        <v>ok</v>
      </c>
    </row>
    <row r="39" customFormat="false" ht="15" hidden="false" customHeight="false" outlineLevel="0" collapsed="false">
      <c r="A39" s="8" t="s">
        <v>674</v>
      </c>
      <c r="B39" s="33" t="str">
        <f aca="false">Fits!$B$38</f>
        <v>Row</v>
      </c>
    </row>
    <row r="40" customFormat="false" ht="15" hidden="false" customHeight="false" outlineLevel="0" collapsed="false">
      <c r="A40" s="8" t="s">
        <v>675</v>
      </c>
      <c r="B40" s="31" t="n">
        <f aca="false">Fits!$B$34</f>
        <v>0.142638279541523</v>
      </c>
    </row>
    <row r="41" customFormat="false" ht="15" hidden="false" customHeight="false" outlineLevel="0" collapsed="false">
      <c r="A41" s="8" t="s">
        <v>676</v>
      </c>
      <c r="B41" s="31" t="n">
        <f aca="false">Fits!$B$37</f>
        <v>0.0976008074526581</v>
      </c>
    </row>
    <row r="42" customFormat="false" ht="15" hidden="false" customHeight="false" outlineLevel="0" collapsed="false">
      <c r="A42" s="8" t="s">
        <v>677</v>
      </c>
      <c r="B42" s="33" t="str">
        <f aca="false">Fits!$B$50</f>
        <v>Row</v>
      </c>
    </row>
    <row r="43" customFormat="false" ht="15" hidden="false" customHeight="false" outlineLevel="0" collapsed="false">
      <c r="A43" s="8" t="s">
        <v>675</v>
      </c>
      <c r="B43" s="31" t="n">
        <f aca="false">Fits!$B$46</f>
        <v>0.0449459502956305</v>
      </c>
    </row>
    <row r="44" customFormat="false" ht="15" hidden="false" customHeight="false" outlineLevel="0" collapsed="false">
      <c r="A44" s="8" t="s">
        <v>676</v>
      </c>
      <c r="B44" s="31" t="n">
        <f aca="false">Fits!$B$49</f>
        <v>0.0431438425202863</v>
      </c>
    </row>
    <row r="45" customFormat="false" ht="15" hidden="false" customHeight="false" outlineLevel="0" collapsed="false">
      <c r="A45" s="5" t="s">
        <v>678</v>
      </c>
    </row>
    <row r="47" customFormat="false" ht="15" hidden="false" customHeight="false" outlineLevel="0" collapsed="false">
      <c r="A47" s="27" t="s">
        <v>331</v>
      </c>
      <c r="B47" s="28"/>
      <c r="C47" s="28"/>
      <c r="D47" s="28"/>
      <c r="E47" s="28"/>
      <c r="F47" s="28"/>
      <c r="G47" s="28"/>
      <c r="H47" s="28"/>
      <c r="I47" s="28"/>
    </row>
    <row r="48" customFormat="false" ht="15" hidden="false" customHeight="false" outlineLevel="0" collapsed="false">
      <c r="A48" s="8" t="s">
        <v>679</v>
      </c>
      <c r="B48" s="33" t="str">
        <f aca="false">Fits!$C$5</f>
        <v>No</v>
      </c>
      <c r="D48" s="8" t="str">
        <f aca="false">IF(Setup!$B$10="Off","switched off in Setup",IF(Fits!$B$5=0,"no blank capsules found",IF(Fits!$C$5="Yes",IF(Fits!$B$5&lt;3,"CHECK: running on fewer than three blanks",IF(Fits!$B$8&gt;2,"CHECK: blanks disagree by more than 2 permil","ok")),IF(Fits!$B$5&lt;3,"not applied: fewer than three blanks","not applied: blanks disagree by more than 2 permil"))))</f>
        <v>not applied: fewer than three blanks</v>
      </c>
    </row>
    <row r="49" customFormat="false" ht="15" hidden="false" customHeight="false" outlineLevel="0" collapsed="false">
      <c r="A49" s="8" t="s">
        <v>680</v>
      </c>
      <c r="B49" s="29" t="n">
        <f aca="false">Fits!$B$5</f>
        <v>2</v>
      </c>
    </row>
    <row r="50" customFormat="false" ht="15" hidden="false" customHeight="false" outlineLevel="0" collapsed="false">
      <c r="A50" s="8" t="s">
        <v>501</v>
      </c>
      <c r="B50" s="31" t="n">
        <f aca="false">Fits!$B$8</f>
        <v>15.9509147700061</v>
      </c>
    </row>
    <row r="51" customFormat="false" ht="15" hidden="false" customHeight="false" outlineLevel="0" collapsed="false">
      <c r="A51" s="8" t="s">
        <v>681</v>
      </c>
      <c r="B51" s="33" t="str">
        <f aca="false">Fits!$C$9</f>
        <v>No</v>
      </c>
    </row>
    <row r="52" customFormat="false" ht="15" hidden="false" customHeight="false" outlineLevel="0" collapsed="false">
      <c r="A52" s="8" t="s">
        <v>682</v>
      </c>
      <c r="B52" s="29" t="n">
        <f aca="false">Fits!$B$9</f>
        <v>0</v>
      </c>
    </row>
    <row r="53" customFormat="false" ht="15" hidden="false" customHeight="false" outlineLevel="0" collapsed="false">
      <c r="A53" s="8" t="s">
        <v>507</v>
      </c>
      <c r="B53" s="31" t="str">
        <f aca="false">Fits!$B$12</f>
        <v/>
      </c>
    </row>
    <row r="54" customFormat="false" ht="15" hidden="false" customHeight="false" outlineLevel="0" collapsed="false">
      <c r="A54" s="5" t="s">
        <v>683</v>
      </c>
    </row>
    <row r="56" customFormat="false" ht="15" hidden="false" customHeight="false" outlineLevel="0" collapsed="false">
      <c r="A56" s="27" t="s">
        <v>684</v>
      </c>
      <c r="B56" s="28"/>
      <c r="C56" s="28"/>
      <c r="D56" s="28"/>
      <c r="E56" s="28"/>
      <c r="F56" s="28"/>
      <c r="G56" s="28"/>
      <c r="H56" s="28"/>
      <c r="I56" s="28"/>
    </row>
    <row r="57" customFormat="false" ht="15" hidden="false" customHeight="false" outlineLevel="0" collapsed="false">
      <c r="A57" s="6" t="s">
        <v>313</v>
      </c>
      <c r="B57" s="6" t="s">
        <v>308</v>
      </c>
      <c r="C57" s="6" t="s">
        <v>599</v>
      </c>
      <c r="D57" s="6" t="s">
        <v>685</v>
      </c>
      <c r="E57" s="6" t="s">
        <v>686</v>
      </c>
      <c r="F57" s="6" t="s">
        <v>687</v>
      </c>
      <c r="G57" s="6" t="s">
        <v>688</v>
      </c>
      <c r="H57" s="6" t="s">
        <v>686</v>
      </c>
      <c r="I57" s="6" t="s">
        <v>687</v>
      </c>
    </row>
    <row r="58" customFormat="false" ht="15" hidden="false" customHeight="false" outlineLevel="0" collapsed="false">
      <c r="A58" s="8" t="str">
        <f aca="false">IF(AND(Setup!$A$37&lt;&gt;"",OR(Setup!$B$37="Check",Setup!$B$37="Drift",Setup!$B$37="Anchor")),Setup!$A$37,"")</f>
        <v>USGS 64</v>
      </c>
      <c r="B58" s="8" t="str">
        <f aca="false">IF(AND(Setup!$A$37&lt;&gt;"",OR(Setup!$B$37="Check",Setup!$B$37="Drift",Setup!$B$37="Anchor")),Setup!$B$37,"")</f>
        <v>Anchor</v>
      </c>
      <c r="C58" s="19" t="n">
        <f aca="false">IF($A58="","",COUNTIFS(Work!$C$6:$C$125,37,Work!$AA$6:$AA$125,"&gt;-1E+30"))</f>
        <v>3</v>
      </c>
      <c r="D58" s="21" t="n">
        <f aca="false">IF($A58="","",IFERROR(AVERAGEIFS(Work!$AA$6:$AA$125,Work!$C$6:$C$125,37),""))</f>
        <v>1.76211716156053</v>
      </c>
      <c r="E58" s="21" t="n">
        <f aca="false">IF($A58="","",IF(Setup!$D$37="","",Setup!$D$37))</f>
        <v>1.76</v>
      </c>
      <c r="F58" s="23" t="n">
        <f aca="false">IF(OR($D58="",$E58=""),"",$D58-$E58)</f>
        <v>0.00211716156052555</v>
      </c>
      <c r="G58" s="21" t="n">
        <f aca="false">IF($A58="","",IFERROR(AVERAGEIFS(Work!$AF$6:$AF$125,Work!$C$6:$C$125,37),""))</f>
        <v>-40.8099717808707</v>
      </c>
      <c r="H58" s="21" t="n">
        <f aca="false">IF($A58="","",IF(Setup!$C$37="","",Setup!$C$37))</f>
        <v>-40.81</v>
      </c>
      <c r="I58" s="23" t="n">
        <f aca="false">IF(OR($G58="",$H58=""),"",$G58-$H58)</f>
        <v>2.82191292981793E-005</v>
      </c>
    </row>
    <row r="59" customFormat="false" ht="15" hidden="false" customHeight="false" outlineLevel="0" collapsed="false">
      <c r="A59" s="8" t="str">
        <f aca="false">IF(AND(Setup!$A$38&lt;&gt;"",OR(Setup!$B$38="Check",Setup!$B$38="Drift",Setup!$B$38="Anchor")),Setup!$A$38,"")</f>
        <v>USGS 65</v>
      </c>
      <c r="B59" s="8" t="str">
        <f aca="false">IF(AND(Setup!$A$38&lt;&gt;"",OR(Setup!$B$38="Check",Setup!$B$38="Drift",Setup!$B$38="Anchor")),Setup!$B$38,"")</f>
        <v>Anchor</v>
      </c>
      <c r="C59" s="19" t="n">
        <f aca="false">IF($A59="","",COUNTIFS(Work!$C$6:$C$125,38,Work!$AA$6:$AA$125,"&gt;-1E+30"))</f>
        <v>3</v>
      </c>
      <c r="D59" s="21" t="n">
        <f aca="false">IF($A59="","",IFERROR(AVERAGEIFS(Work!$AA$6:$AA$125,Work!$C$6:$C$125,38),""))</f>
        <v>20.6778828384395</v>
      </c>
      <c r="E59" s="21" t="n">
        <f aca="false">IF($A59="","",IF(Setup!$D$38="","",Setup!$D$38))</f>
        <v>20.68</v>
      </c>
      <c r="F59" s="23" t="n">
        <f aca="false">IF(OR($D59="",$E59=""),"",$D59-$E59)</f>
        <v>-0.00211716156052688</v>
      </c>
      <c r="G59" s="21" t="n">
        <f aca="false">IF($A59="","",IFERROR(AVERAGEIFS(Work!$AF$6:$AF$125,Work!$C$6:$C$125,38),""))</f>
        <v>-20.2900282191293</v>
      </c>
      <c r="H59" s="21" t="n">
        <f aca="false">IF($A59="","",IF(Setup!$C$38="","",Setup!$C$38))</f>
        <v>-20.29</v>
      </c>
      <c r="I59" s="23" t="n">
        <f aca="false">IF(OR($G59="",$H59=""),"",$G59-$H59)</f>
        <v>-2.82191292981793E-005</v>
      </c>
    </row>
    <row r="60" customFormat="false" ht="15" hidden="false" customHeight="false" outlineLevel="0" collapsed="false">
      <c r="A60" s="8" t="str">
        <f aca="false">IF(AND(Setup!$A$39&lt;&gt;"",OR(Setup!$B$39="Check",Setup!$B$39="Drift",Setup!$B$39="Anchor")),Setup!$A$39,"")</f>
        <v>USGS 66</v>
      </c>
      <c r="B60" s="8" t="str">
        <f aca="false">IF(AND(Setup!$A$39&lt;&gt;"",OR(Setup!$B$39="Check",Setup!$B$39="Drift",Setup!$B$39="Anchor")),Setup!$B$39,"")</f>
        <v>Check</v>
      </c>
      <c r="C60" s="19" t="n">
        <f aca="false">IF($A60="","",COUNTIFS(Work!$C$6:$C$125,39,Work!$AA$6:$AA$125,"&gt;-1E+30"))</f>
        <v>0</v>
      </c>
      <c r="D60" s="21" t="str">
        <f aca="false">IF($A60="","",IFERROR(AVERAGEIFS(Work!$AA$6:$AA$125,Work!$C$6:$C$125,39),""))</f>
        <v/>
      </c>
      <c r="E60" s="21" t="n">
        <f aca="false">IF($A60="","",IF(Setup!$D$39="","",Setup!$D$39))</f>
        <v>40.83</v>
      </c>
      <c r="F60" s="23" t="str">
        <f aca="false">IF(OR($D60="",$E60=""),"",$D60-$E60)</f>
        <v/>
      </c>
      <c r="G60" s="21" t="str">
        <f aca="false">IF($A60="","",IFERROR(AVERAGEIFS(Work!$AF$6:$AF$125,Work!$C$6:$C$125,39),""))</f>
        <v/>
      </c>
      <c r="H60" s="21" t="n">
        <f aca="false">IF($A60="","",IF(Setup!$C$39="","",Setup!$C$39))</f>
        <v>-0.67</v>
      </c>
      <c r="I60" s="23" t="str">
        <f aca="false">IF(OR($G60="",$H60=""),"",$G60-$H60)</f>
        <v/>
      </c>
    </row>
    <row r="61" customFormat="false" ht="15" hidden="false" customHeight="false" outlineLevel="0" collapsed="false">
      <c r="A61" s="8" t="str">
        <f aca="false">IF(AND(Setup!$A$40&lt;&gt;"",OR(Setup!$B$40="Check",Setup!$B$40="Drift",Setup!$B$40="Anchor")),Setup!$A$40,"")</f>
        <v>USGS 40</v>
      </c>
      <c r="B61" s="8" t="str">
        <f aca="false">IF(AND(Setup!$A$40&lt;&gt;"",OR(Setup!$B$40="Check",Setup!$B$40="Drift",Setup!$B$40="Anchor")),Setup!$B$40,"")</f>
        <v>Check</v>
      </c>
      <c r="C61" s="19" t="n">
        <f aca="false">IF($A61="","",COUNTIFS(Work!$C$6:$C$125,40,Work!$AA$6:$AA$125,"&gt;-1E+30"))</f>
        <v>0</v>
      </c>
      <c r="D61" s="21" t="str">
        <f aca="false">IF($A61="","",IFERROR(AVERAGEIFS(Work!$AA$6:$AA$125,Work!$C$6:$C$125,40),""))</f>
        <v/>
      </c>
      <c r="E61" s="21" t="n">
        <f aca="false">IF($A61="","",IF(Setup!$D$40="","",Setup!$D$40))</f>
        <v>-4.52</v>
      </c>
      <c r="F61" s="23" t="str">
        <f aca="false">IF(OR($D61="",$E61=""),"",$D61-$E61)</f>
        <v/>
      </c>
      <c r="G61" s="21" t="str">
        <f aca="false">IF($A61="","",IFERROR(AVERAGEIFS(Work!$AF$6:$AF$125,Work!$C$6:$C$125,40),""))</f>
        <v/>
      </c>
      <c r="H61" s="21" t="n">
        <f aca="false">IF($A61="","",IF(Setup!$C$40="","",Setup!$C$40))</f>
        <v>-26.39</v>
      </c>
      <c r="I61" s="23" t="str">
        <f aca="false">IF(OR($G61="",$H61=""),"",$G61-$H61)</f>
        <v/>
      </c>
    </row>
    <row r="62" customFormat="false" ht="15" hidden="false" customHeight="false" outlineLevel="0" collapsed="false">
      <c r="A62" s="8" t="str">
        <f aca="false">IF(AND(Setup!$A$41&lt;&gt;"",OR(Setup!$B$41="Check",Setup!$B$41="Drift",Setup!$B$41="Anchor")),Setup!$A$41,"")</f>
        <v>USGS 41a</v>
      </c>
      <c r="B62" s="8" t="str">
        <f aca="false">IF(AND(Setup!$A$41&lt;&gt;"",OR(Setup!$B$41="Check",Setup!$B$41="Drift",Setup!$B$41="Anchor")),Setup!$B$41,"")</f>
        <v>Check</v>
      </c>
      <c r="C62" s="19" t="n">
        <f aca="false">IF($A62="","",COUNTIFS(Work!$C$6:$C$125,41,Work!$AA$6:$AA$125,"&gt;-1E+30"))</f>
        <v>0</v>
      </c>
      <c r="D62" s="21" t="str">
        <f aca="false">IF($A62="","",IFERROR(AVERAGEIFS(Work!$AA$6:$AA$125,Work!$C$6:$C$125,41),""))</f>
        <v/>
      </c>
      <c r="E62" s="21" t="n">
        <f aca="false">IF($A62="","",IF(Setup!$D$41="","",Setup!$D$41))</f>
        <v>47.55</v>
      </c>
      <c r="F62" s="23" t="str">
        <f aca="false">IF(OR($D62="",$E62=""),"",$D62-$E62)</f>
        <v/>
      </c>
      <c r="G62" s="21" t="str">
        <f aca="false">IF($A62="","",IFERROR(AVERAGEIFS(Work!$AF$6:$AF$125,Work!$C$6:$C$125,41),""))</f>
        <v/>
      </c>
      <c r="H62" s="21" t="n">
        <f aca="false">IF($A62="","",IF(Setup!$C$41="","",Setup!$C$41))</f>
        <v>36.55</v>
      </c>
      <c r="I62" s="23" t="str">
        <f aca="false">IF(OR($G62="",$H62=""),"",$G62-$H62)</f>
        <v/>
      </c>
    </row>
    <row r="63" customFormat="false" ht="15" hidden="false" customHeight="false" outlineLevel="0" collapsed="false">
      <c r="A63" s="8" t="str">
        <f aca="false">IF(AND(Setup!$A$42&lt;&gt;"",OR(Setup!$B$42="Check",Setup!$B$42="Drift",Setup!$B$42="Anchor")),Setup!$A$42,"")</f>
        <v/>
      </c>
      <c r="B63" s="8" t="str">
        <f aca="false">IF(AND(Setup!$A$42&lt;&gt;"",OR(Setup!$B$42="Check",Setup!$B$42="Drift",Setup!$B$42="Anchor")),Setup!$B$42,"")</f>
        <v/>
      </c>
      <c r="C63" s="19" t="str">
        <f aca="false">IF($A63="","",COUNTIFS(Work!$C$6:$C$125,42,Work!$AA$6:$AA$125,"&gt;-1E+30"))</f>
        <v/>
      </c>
      <c r="D63" s="21" t="str">
        <f aca="false">IF($A63="","",IFERROR(AVERAGEIFS(Work!$AA$6:$AA$125,Work!$C$6:$C$125,42),""))</f>
        <v/>
      </c>
      <c r="E63" s="21" t="str">
        <f aca="false">IF($A63="","",IF(Setup!$D$42="","",Setup!$D$42))</f>
        <v/>
      </c>
      <c r="F63" s="23" t="str">
        <f aca="false">IF(OR($D63="",$E63=""),"",$D63-$E63)</f>
        <v/>
      </c>
      <c r="G63" s="21" t="str">
        <f aca="false">IF($A63="","",IFERROR(AVERAGEIFS(Work!$AF$6:$AF$125,Work!$C$6:$C$125,42),""))</f>
        <v/>
      </c>
      <c r="H63" s="21" t="str">
        <f aca="false">IF($A63="","",IF(Setup!$C$42="","",Setup!$C$42))</f>
        <v/>
      </c>
      <c r="I63" s="23" t="str">
        <f aca="false">IF(OR($G63="",$H63=""),"",$G63-$H63)</f>
        <v/>
      </c>
    </row>
    <row r="64" customFormat="false" ht="15" hidden="false" customHeight="false" outlineLevel="0" collapsed="false">
      <c r="A64" s="8" t="str">
        <f aca="false">IF(AND(Setup!$A$43&lt;&gt;"",OR(Setup!$B$43="Check",Setup!$B$43="Drift",Setup!$B$43="Anchor")),Setup!$A$43,"")</f>
        <v>Ace Drift</v>
      </c>
      <c r="B64" s="8" t="str">
        <f aca="false">IF(AND(Setup!$A$43&lt;&gt;"",OR(Setup!$B$43="Check",Setup!$B$43="Drift",Setup!$B$43="Anchor")),Setup!$B$43,"")</f>
        <v>Drift</v>
      </c>
      <c r="C64" s="19" t="n">
        <f aca="false">IF($A64="","",COUNTIFS(Work!$C$6:$C$125,43,Work!$AA$6:$AA$125,"&gt;-1E+30"))</f>
        <v>13</v>
      </c>
      <c r="D64" s="21" t="n">
        <f aca="false">IF($A64="","",IFERROR(AVERAGEIFS(Work!$AA$6:$AA$125,Work!$C$6:$C$125,43),""))</f>
        <v>-5.23758310786552</v>
      </c>
      <c r="E64" s="21" t="str">
        <f aca="false">IF($A64="","",IF(Setup!$D$43="","",Setup!$D$43))</f>
        <v/>
      </c>
      <c r="F64" s="23" t="str">
        <f aca="false">IF(OR($D64="",$E64=""),"",$D64-$E64)</f>
        <v/>
      </c>
      <c r="G64" s="21" t="n">
        <f aca="false">IF($A64="","",IFERROR(AVERAGEIFS(Work!$AF$6:$AF$125,Work!$C$6:$C$125,43),""))</f>
        <v>-26.6053436233584</v>
      </c>
      <c r="H64" s="21" t="str">
        <f aca="false">IF($A64="","",IF(Setup!$C$43="","",Setup!$C$43))</f>
        <v/>
      </c>
      <c r="I64" s="23" t="str">
        <f aca="false">IF(OR($G64="",$H64=""),"",$G64-$H64)</f>
        <v/>
      </c>
    </row>
    <row r="65" customFormat="false" ht="15" hidden="false" customHeight="false" outlineLevel="0" collapsed="false">
      <c r="A65" s="8" t="str">
        <f aca="false">IF(AND(Setup!$A$44&lt;&gt;"",OR(Setup!$B$44="Check",Setup!$B$44="Drift",Setup!$B$44="Anchor")),Setup!$A$44,"")</f>
        <v/>
      </c>
      <c r="B65" s="8" t="str">
        <f aca="false">IF(AND(Setup!$A$44&lt;&gt;"",OR(Setup!$B$44="Check",Setup!$B$44="Drift",Setup!$B$44="Anchor")),Setup!$B$44,"")</f>
        <v/>
      </c>
      <c r="C65" s="19" t="str">
        <f aca="false">IF($A65="","",COUNTIFS(Work!$C$6:$C$125,44,Work!$AA$6:$AA$125,"&gt;-1E+30"))</f>
        <v/>
      </c>
      <c r="D65" s="21" t="str">
        <f aca="false">IF($A65="","",IFERROR(AVERAGEIFS(Work!$AA$6:$AA$125,Work!$C$6:$C$125,44),""))</f>
        <v/>
      </c>
      <c r="E65" s="21" t="str">
        <f aca="false">IF($A65="","",IF(Setup!$D$44="","",Setup!$D$44))</f>
        <v/>
      </c>
      <c r="F65" s="23" t="str">
        <f aca="false">IF(OR($D65="",$E65=""),"",$D65-$E65)</f>
        <v/>
      </c>
      <c r="G65" s="21" t="str">
        <f aca="false">IF($A65="","",IFERROR(AVERAGEIFS(Work!$AF$6:$AF$125,Work!$C$6:$C$125,44),""))</f>
        <v/>
      </c>
      <c r="H65" s="21" t="str">
        <f aca="false">IF($A65="","",IF(Setup!$C$44="","",Setup!$C$44))</f>
        <v/>
      </c>
      <c r="I65" s="23" t="str">
        <f aca="false">IF(OR($G65="",$H65=""),"",$G65-$H65)</f>
        <v/>
      </c>
    </row>
    <row r="66" customFormat="false" ht="15" hidden="false" customHeight="false" outlineLevel="0" collapsed="false">
      <c r="A66" s="8" t="str">
        <f aca="false">IF(AND(Setup!$A$45&lt;&gt;"",OR(Setup!$B$45="Check",Setup!$B$45="Drift",Setup!$B$45="Anchor")),Setup!$A$45,"")</f>
        <v/>
      </c>
      <c r="B66" s="8" t="str">
        <f aca="false">IF(AND(Setup!$A$45&lt;&gt;"",OR(Setup!$B$45="Check",Setup!$B$45="Drift",Setup!$B$45="Anchor")),Setup!$B$45,"")</f>
        <v/>
      </c>
      <c r="C66" s="19" t="str">
        <f aca="false">IF($A66="","",COUNTIFS(Work!$C$6:$C$125,45,Work!$AA$6:$AA$125,"&gt;-1E+30"))</f>
        <v/>
      </c>
      <c r="D66" s="21" t="str">
        <f aca="false">IF($A66="","",IFERROR(AVERAGEIFS(Work!$AA$6:$AA$125,Work!$C$6:$C$125,45),""))</f>
        <v/>
      </c>
      <c r="E66" s="21" t="str">
        <f aca="false">IF($A66="","",IF(Setup!$D$45="","",Setup!$D$45))</f>
        <v/>
      </c>
      <c r="F66" s="23" t="str">
        <f aca="false">IF(OR($D66="",$E66=""),"",$D66-$E66)</f>
        <v/>
      </c>
      <c r="G66" s="21" t="str">
        <f aca="false">IF($A66="","",IFERROR(AVERAGEIFS(Work!$AF$6:$AF$125,Work!$C$6:$C$125,45),""))</f>
        <v/>
      </c>
      <c r="H66" s="21" t="str">
        <f aca="false">IF($A66="","",IF(Setup!$C$45="","",Setup!$C$45))</f>
        <v/>
      </c>
      <c r="I66" s="23" t="str">
        <f aca="false">IF(OR($G66="",$H66=""),"",$G66-$H66)</f>
        <v/>
      </c>
    </row>
    <row r="67" customFormat="false" ht="15" hidden="false" customHeight="false" outlineLevel="0" collapsed="false">
      <c r="A67" s="8" t="str">
        <f aca="false">IF(AND(Setup!$A$46&lt;&gt;"",OR(Setup!$B$46="Check",Setup!$B$46="Drift",Setup!$B$46="Anchor")),Setup!$A$46,"")</f>
        <v/>
      </c>
      <c r="B67" s="8" t="str">
        <f aca="false">IF(AND(Setup!$A$46&lt;&gt;"",OR(Setup!$B$46="Check",Setup!$B$46="Drift",Setup!$B$46="Anchor")),Setup!$B$46,"")</f>
        <v/>
      </c>
      <c r="C67" s="19" t="str">
        <f aca="false">IF($A67="","",COUNTIFS(Work!$C$6:$C$125,46,Work!$AA$6:$AA$125,"&gt;-1E+30"))</f>
        <v/>
      </c>
      <c r="D67" s="21" t="str">
        <f aca="false">IF($A67="","",IFERROR(AVERAGEIFS(Work!$AA$6:$AA$125,Work!$C$6:$C$125,46),""))</f>
        <v/>
      </c>
      <c r="E67" s="21" t="str">
        <f aca="false">IF($A67="","",IF(Setup!$D$46="","",Setup!$D$46))</f>
        <v/>
      </c>
      <c r="F67" s="23" t="str">
        <f aca="false">IF(OR($D67="",$E67=""),"",$D67-$E67)</f>
        <v/>
      </c>
      <c r="G67" s="21" t="str">
        <f aca="false">IF($A67="","",IFERROR(AVERAGEIFS(Work!$AF$6:$AF$125,Work!$C$6:$C$125,46),""))</f>
        <v/>
      </c>
      <c r="H67" s="21" t="str">
        <f aca="false">IF($A67="","",IF(Setup!$C$46="","",Setup!$C$46))</f>
        <v/>
      </c>
      <c r="I67" s="23" t="str">
        <f aca="false">IF(OR($G67="",$H67=""),"",$G67-$H67)</f>
        <v/>
      </c>
    </row>
    <row r="68" customFormat="false" ht="15" hidden="false" customHeight="false" outlineLevel="0" collapsed="false">
      <c r="A68" s="8" t="str">
        <f aca="false">IF(AND(Setup!$A$47&lt;&gt;"",OR(Setup!$B$47="Check",Setup!$B$47="Drift",Setup!$B$47="Anchor")),Setup!$A$47,"")</f>
        <v/>
      </c>
      <c r="B68" s="8" t="str">
        <f aca="false">IF(AND(Setup!$A$47&lt;&gt;"",OR(Setup!$B$47="Check",Setup!$B$47="Drift",Setup!$B$47="Anchor")),Setup!$B$47,"")</f>
        <v/>
      </c>
      <c r="C68" s="19" t="str">
        <f aca="false">IF($A68="","",COUNTIFS(Work!$C$6:$C$125,47,Work!$AA$6:$AA$125,"&gt;-1E+30"))</f>
        <v/>
      </c>
      <c r="D68" s="21" t="str">
        <f aca="false">IF($A68="","",IFERROR(AVERAGEIFS(Work!$AA$6:$AA$125,Work!$C$6:$C$125,47),""))</f>
        <v/>
      </c>
      <c r="E68" s="21" t="str">
        <f aca="false">IF($A68="","",IF(Setup!$D$47="","",Setup!$D$47))</f>
        <v/>
      </c>
      <c r="F68" s="23" t="str">
        <f aca="false">IF(OR($D68="",$E68=""),"",$D68-$E68)</f>
        <v/>
      </c>
      <c r="G68" s="21" t="str">
        <f aca="false">IF($A68="","",IFERROR(AVERAGEIFS(Work!$AF$6:$AF$125,Work!$C$6:$C$125,47),""))</f>
        <v/>
      </c>
      <c r="H68" s="21" t="str">
        <f aca="false">IF($A68="","",IF(Setup!$C$47="","",Setup!$C$47))</f>
        <v/>
      </c>
      <c r="I68" s="23" t="str">
        <f aca="false">IF(OR($G68="",$H68=""),"",$G68-$H68)</f>
        <v/>
      </c>
    </row>
    <row r="69" customFormat="false" ht="15" hidden="false" customHeight="false" outlineLevel="0" collapsed="false">
      <c r="A69" s="8" t="str">
        <f aca="false">IF(AND(Setup!$A$48&lt;&gt;"",OR(Setup!$B$48="Check",Setup!$B$48="Drift",Setup!$B$48="Anchor")),Setup!$A$48,"")</f>
        <v/>
      </c>
      <c r="B69" s="8" t="str">
        <f aca="false">IF(AND(Setup!$A$48&lt;&gt;"",OR(Setup!$B$48="Check",Setup!$B$48="Drift",Setup!$B$48="Anchor")),Setup!$B$48,"")</f>
        <v/>
      </c>
      <c r="C69" s="19" t="str">
        <f aca="false">IF($A69="","",COUNTIFS(Work!$C$6:$C$125,48,Work!$AA$6:$AA$125,"&gt;-1E+30"))</f>
        <v/>
      </c>
      <c r="D69" s="21" t="str">
        <f aca="false">IF($A69="","",IFERROR(AVERAGEIFS(Work!$AA$6:$AA$125,Work!$C$6:$C$125,48),""))</f>
        <v/>
      </c>
      <c r="E69" s="21" t="str">
        <f aca="false">IF($A69="","",IF(Setup!$D$48="","",Setup!$D$48))</f>
        <v/>
      </c>
      <c r="F69" s="23" t="str">
        <f aca="false">IF(OR($D69="",$E69=""),"",$D69-$E69)</f>
        <v/>
      </c>
      <c r="G69" s="21" t="str">
        <f aca="false">IF($A69="","",IFERROR(AVERAGEIFS(Work!$AF$6:$AF$125,Work!$C$6:$C$125,48),""))</f>
        <v/>
      </c>
      <c r="H69" s="21" t="str">
        <f aca="false">IF($A69="","",IF(Setup!$C$48="","",Setup!$C$48))</f>
        <v/>
      </c>
      <c r="I69" s="23" t="str">
        <f aca="false">IF(OR($G69="",$H69=""),"",$G69-$H69)</f>
        <v/>
      </c>
    </row>
    <row r="70" customFormat="false" ht="15" hidden="false" customHeight="false" outlineLevel="0" collapsed="false">
      <c r="A70" s="8" t="str">
        <f aca="false">IF(AND(Setup!$A$49&lt;&gt;"",OR(Setup!$B$49="Check",Setup!$B$49="Drift",Setup!$B$49="Anchor")),Setup!$A$49,"")</f>
        <v/>
      </c>
      <c r="B70" s="8" t="str">
        <f aca="false">IF(AND(Setup!$A$49&lt;&gt;"",OR(Setup!$B$49="Check",Setup!$B$49="Drift",Setup!$B$49="Anchor")),Setup!$B$49,"")</f>
        <v/>
      </c>
      <c r="C70" s="19" t="str">
        <f aca="false">IF($A70="","",COUNTIFS(Work!$C$6:$C$125,49,Work!$AA$6:$AA$125,"&gt;-1E+30"))</f>
        <v/>
      </c>
      <c r="D70" s="21" t="str">
        <f aca="false">IF($A70="","",IFERROR(AVERAGEIFS(Work!$AA$6:$AA$125,Work!$C$6:$C$125,49),""))</f>
        <v/>
      </c>
      <c r="E70" s="21" t="str">
        <f aca="false">IF($A70="","",IF(Setup!$D$49="","",Setup!$D$49))</f>
        <v/>
      </c>
      <c r="F70" s="23" t="str">
        <f aca="false">IF(OR($D70="",$E70=""),"",$D70-$E70)</f>
        <v/>
      </c>
      <c r="G70" s="21" t="str">
        <f aca="false">IF($A70="","",IFERROR(AVERAGEIFS(Work!$AF$6:$AF$125,Work!$C$6:$C$125,49),""))</f>
        <v/>
      </c>
      <c r="H70" s="21" t="str">
        <f aca="false">IF($A70="","",IF(Setup!$C$49="","",Setup!$C$49))</f>
        <v/>
      </c>
      <c r="I70" s="23" t="str">
        <f aca="false">IF(OR($G70="",$H70=""),"",$G70-$H70)</f>
        <v/>
      </c>
    </row>
    <row r="72" customFormat="false" ht="15" hidden="false" customHeight="false" outlineLevel="0" collapsed="false">
      <c r="A72" s="5" t="s">
        <v>689</v>
      </c>
    </row>
    <row r="74" customFormat="false" ht="15" hidden="false" customHeight="false" outlineLevel="0" collapsed="false">
      <c r="A74" s="27" t="s">
        <v>25</v>
      </c>
      <c r="B74" s="28"/>
      <c r="C74" s="28"/>
      <c r="D74" s="28"/>
      <c r="E74" s="28"/>
      <c r="F74" s="28"/>
      <c r="G74" s="28"/>
      <c r="H74" s="28"/>
      <c r="I74" s="28"/>
    </row>
    <row r="75" customFormat="false" ht="15" hidden="false" customHeight="false" outlineLevel="0" collapsed="false">
      <c r="A75" s="8" t="s">
        <v>690</v>
      </c>
      <c r="B75" s="31" t="n">
        <f aca="false">Fits!$B$136</f>
        <v>0.16881820935784</v>
      </c>
      <c r="D75" s="8" t="str">
        <f aca="false">Fits!$B$137</f>
        <v>pooled anchor replicates</v>
      </c>
    </row>
    <row r="76" customFormat="false" ht="15" hidden="false" customHeight="false" outlineLevel="0" collapsed="false">
      <c r="A76" s="8" t="s">
        <v>691</v>
      </c>
      <c r="B76" s="31" t="n">
        <f aca="false">Fits!$B$156</f>
        <v>0.0205488759059822</v>
      </c>
      <c r="D76" s="8" t="str">
        <f aca="false">Fits!$B$157</f>
        <v>pooled anchor replicates</v>
      </c>
    </row>
    <row r="77" customFormat="false" ht="15" hidden="false" customHeight="false" outlineLevel="0" collapsed="false">
      <c r="A77" s="8" t="s">
        <v>303</v>
      </c>
      <c r="B77" s="37" t="n">
        <f aca="false">Setup!$B$32</f>
        <v>2</v>
      </c>
    </row>
    <row r="78" customFormat="false" ht="15" hidden="false" customHeight="false" outlineLevel="0" collapsed="false">
      <c r="A78" s="8" t="s">
        <v>692</v>
      </c>
      <c r="B78" s="31" t="n">
        <f aca="false">IFERROR(AVERAGEIFS(Work!$CL$6:$CL$125,Work!$D$6:$D$125,"Sample"),"")</f>
        <v>0.247285590751026</v>
      </c>
    </row>
    <row r="79" customFormat="false" ht="15" hidden="false" customHeight="false" outlineLevel="0" collapsed="false">
      <c r="A79" s="8" t="s">
        <v>693</v>
      </c>
      <c r="B79" s="31" t="n">
        <f aca="false">IFERROR(AVERAGEIFS(Work!$CN$6:$CN$125,Work!$D$6:$D$125,"Sample"),"")</f>
        <v>0.0402316092594259</v>
      </c>
    </row>
    <row r="80" customFormat="false" ht="15" hidden="false" customHeight="false" outlineLevel="0" collapsed="false">
      <c r="A80" s="5" t="s">
        <v>694</v>
      </c>
    </row>
    <row r="81" customFormat="false" ht="15" hidden="false" customHeight="false" outlineLevel="0" collapsed="false">
      <c r="A81" s="8" t="s">
        <v>695</v>
      </c>
      <c r="B81" s="31" t="n">
        <f aca="false">IFERROR(STDEV(Work!$BG$6:$BG$125),"")</f>
        <v>0.140198096308645</v>
      </c>
    </row>
    <row r="82" customFormat="false" ht="15" hidden="false" customHeight="false" outlineLevel="0" collapsed="false">
      <c r="A82" s="8" t="s">
        <v>696</v>
      </c>
      <c r="B82" s="31" t="n">
        <f aca="false">IFERROR(STDEV(Work!$BH$6:$BH$125),"")</f>
        <v>0.0436414060837905</v>
      </c>
    </row>
    <row r="83" customFormat="false" ht="15" hidden="false" customHeight="false" outlineLevel="0" collapsed="false">
      <c r="A83" s="5" t="s">
        <v>697</v>
      </c>
    </row>
    <row r="85" customFormat="false" ht="15" hidden="false" customHeight="false" outlineLevel="0" collapsed="false">
      <c r="A85" s="27" t="s">
        <v>640</v>
      </c>
      <c r="B85" s="28"/>
      <c r="C85" s="28"/>
      <c r="D85" s="28"/>
      <c r="E85" s="28"/>
      <c r="F85" s="28"/>
      <c r="G85" s="28"/>
      <c r="H85" s="28"/>
      <c r="I85" s="28"/>
    </row>
    <row r="86" customFormat="false" ht="15" hidden="false" customHeight="false" outlineLevel="0" collapsed="false">
      <c r="A86" s="8" t="s">
        <v>698</v>
      </c>
      <c r="B86" s="29" t="n">
        <f aca="false">COUNTIF(Results!$K$5:$K$124,"?*")</f>
        <v>48</v>
      </c>
    </row>
    <row r="87" customFormat="false" ht="15" hidden="false" customHeight="false" outlineLevel="0" collapsed="false">
      <c r="A87" s="8" t="s">
        <v>699</v>
      </c>
      <c r="B87" s="31" t="n">
        <f aca="false">Fits!$B$81</f>
        <v>8.889</v>
      </c>
    </row>
    <row r="88" customFormat="false" ht="15" hidden="false" customHeight="false" outlineLevel="0" collapsed="false">
      <c r="A88" s="8" t="s">
        <v>700</v>
      </c>
      <c r="B88" s="31" t="n">
        <f aca="false">Fits!$B$97</f>
        <v>51.069</v>
      </c>
    </row>
    <row r="89" customFormat="false" ht="15" hidden="false" customHeight="false" outlineLevel="0" collapsed="false">
      <c r="A89" s="8" t="s">
        <v>701</v>
      </c>
      <c r="B89" s="31" t="n">
        <f aca="false">Fits!$B$82</f>
        <v>37.895</v>
      </c>
    </row>
    <row r="90" customFormat="false" ht="15" hidden="false" customHeight="false" outlineLevel="0" collapsed="false">
      <c r="A90" s="8" t="s">
        <v>702</v>
      </c>
      <c r="B90" s="31" t="n">
        <f aca="false">Fits!$B$104</f>
        <v>240.154</v>
      </c>
    </row>
    <row r="91" customFormat="false" ht="15" hidden="false" customHeight="false" outlineLevel="0" collapsed="false">
      <c r="A91" s="8" t="s">
        <v>703</v>
      </c>
      <c r="B91" s="29" t="n">
        <f aca="false">COUNTIF(Results!$K$5:$K$124,"*linearity range*")</f>
        <v>14</v>
      </c>
      <c r="D91" s="8" t="str">
        <f aca="false">IF($B$91=0,"ok","CHECK: weigh samples to land inside the standards, or extend the size series")</f>
        <v>CHECK: weigh samples to land inside the standards, or extend the size series</v>
      </c>
    </row>
    <row r="93" customFormat="false" ht="15" hidden="false" customHeight="false" outlineLevel="0" collapsed="false">
      <c r="A93" s="27" t="s">
        <v>704</v>
      </c>
      <c r="B93" s="28"/>
      <c r="C93" s="28"/>
      <c r="D93" s="28"/>
      <c r="E93" s="28"/>
      <c r="F93" s="28"/>
      <c r="G93" s="28"/>
      <c r="H93" s="28"/>
      <c r="I93" s="28"/>
    </row>
    <row r="94" customFormat="false" ht="15" hidden="false" customHeight="false" outlineLevel="0" collapsed="false">
      <c r="A94" s="5" t="s">
        <v>705</v>
      </c>
    </row>
    <row r="95" customFormat="false" ht="15" hidden="false" customHeight="false" outlineLevel="0" collapsed="false">
      <c r="A95" s="8" t="s">
        <v>706</v>
      </c>
      <c r="B95" s="35" t="n">
        <f aca="false">IF(COUNT(Work!$BI$6:$BI$125)=0,"",Fits!$B$83)</f>
        <v>23.1</v>
      </c>
      <c r="D95" s="8" t="str">
        <f aca="false">IF(COUNT(Work!$BI$6:$BI$125)=0,"no reference peaks in this export, so rows 95 to 102 have nothing to read; rows 103 and 104 use the background under the drift monitors instead","")</f>
        <v/>
      </c>
    </row>
    <row r="96" customFormat="false" ht="15" hidden="false" customHeight="false" outlineLevel="0" collapsed="false">
      <c r="A96" s="8" t="s">
        <v>707</v>
      </c>
      <c r="B96" s="35" t="n">
        <f aca="false">IF(COUNT(Work!$BI$6:$BI$125)=0,"",Fits!$B$85)</f>
        <v>11.1</v>
      </c>
    </row>
    <row r="97" customFormat="false" ht="15" hidden="false" customHeight="false" outlineLevel="0" collapsed="false">
      <c r="A97" s="8" t="s">
        <v>708</v>
      </c>
      <c r="B97" s="29" t="n">
        <f aca="false">IF(COUNT(Work!$BI$6:$BI$125)=0,"",Fits!$B$86)</f>
        <v>27</v>
      </c>
      <c r="D97" s="8" t="str">
        <f aca="false">IF(COUNT(Work!$BI$6:$BI$125)=0,"",IF(Fits!$B$86&lt;=2,"ok, settled from the start","CHECK: positions 1 to "&amp;TEXT(Fits!$B$86-1,"0")&amp;" ran before the background settled"))</f>
        <v>CHECK: positions 1 to 26 ran before the background settled</v>
      </c>
    </row>
    <row r="98" customFormat="false" ht="15" hidden="false" customHeight="false" outlineLevel="0" collapsed="false">
      <c r="A98" s="8" t="s">
        <v>709</v>
      </c>
      <c r="B98" s="33" t="str">
        <f aca="false">IF(Setup!$B$14="","all",Setup!$B$14)</f>
        <v>all</v>
      </c>
      <c r="D98" s="8" t="str">
        <f aca="false">IF(OR(COUNT(Work!$BI$6:$BI$125)=0,Setup!$B$14&lt;&gt;""),"",IF(Fits!$B$86&lt;=2,"","consider setting Setup B14 to "&amp;TEXT(Fits!$B$86,"0")))</f>
        <v>consider setting Setup B14 to 27</v>
      </c>
    </row>
    <row r="99" customFormat="false" ht="15" hidden="false" customHeight="false" outlineLevel="0" collapsed="false">
      <c r="A99" s="8" t="s">
        <v>710</v>
      </c>
      <c r="B99" s="29" t="n">
        <f aca="false">IF(COUNT(Work!$BI$6:$BI$125)=0,"",COUNTIFS(Work!$D$6:$D$125,"Linearity",Work!$A$6:$A$125,"&lt;"&amp;Fits!$B$86))</f>
        <v>4</v>
      </c>
      <c r="D99" s="8" t="str">
        <f aca="false">IF(COUNT(Work!$BI$6:$BI$125)=0,"",IF($B$99=0,"ok","CHECK: size and time are confounded, the linearity fit sits inside the unsettled window"))</f>
        <v>CHECK: size and time are confounded, the linearity fit sits inside the unsettled window</v>
      </c>
    </row>
    <row r="100" customFormat="false" ht="15" hidden="false" customHeight="false" outlineLevel="0" collapsed="false">
      <c r="A100" s="8" t="s">
        <v>711</v>
      </c>
      <c r="B100" s="29" t="n">
        <f aca="false">IF(COUNT(Work!$BI$6:$BI$125)=0,"",COUNTIFS(Work!$D$6:$D$125,"Anchor",Work!$A$6:$A$125,"&lt;"&amp;Fits!$B$86))</f>
        <v>6</v>
      </c>
      <c r="D100" s="8" t="str">
        <f aca="false">IF(COUNT(Work!$BI$6:$BI$125)=0,"",IF($B$100=0,"ok","CHECK: the scale was set while the instrument was still settling"))</f>
        <v>CHECK: the scale was set while the instrument was still settling</v>
      </c>
    </row>
    <row r="101" customFormat="false" ht="15" hidden="false" customHeight="false" outlineLevel="0" collapsed="false">
      <c r="A101" s="8" t="s">
        <v>712</v>
      </c>
      <c r="B101" s="31" t="n">
        <f aca="false">IF(COUNT(Work!$BI$6:$BI$125)=0,"",Fits!$B$87)</f>
        <v>-0.0318</v>
      </c>
    </row>
    <row r="102" customFormat="false" ht="15" hidden="false" customHeight="false" outlineLevel="0" collapsed="false">
      <c r="A102" s="8" t="s">
        <v>713</v>
      </c>
      <c r="B102" s="31" t="n">
        <f aca="false">IF(COUNT(Work!$BI$6:$BI$125)=0,"",Fits!$B$89)</f>
        <v>-0.00289385357667293</v>
      </c>
      <c r="D102" s="8" t="str">
        <f aca="false">IF(COUNT(Work!$BI$6:$BI$125)=0,"",IF(OR(Fits!$B$88&lt;3,Fits!$B$90&lt;3),"too few standards in one segment to compare",IF(ABS(Fits!$B$89)&lt;0.4*ABS(Fits!$B$87),"settling transient, not steady drift","slopes are comparable")))</f>
        <v>settling transient, not steady drift</v>
      </c>
    </row>
    <row r="103" customFormat="false" ht="15" hidden="false" customHeight="false" outlineLevel="0" collapsed="false">
      <c r="A103" s="8" t="s">
        <v>714</v>
      </c>
      <c r="B103" s="33" t="str">
        <f aca="false">IF(Fits!$B$221&lt;2,"",TEXT(Fits!$B$222,"0.0")&amp;" to "&amp;TEXT(Fits!$B$223,"0.0"))</f>
        <v>23.8 to 30.3</v>
      </c>
    </row>
    <row r="104" customFormat="false" ht="15" hidden="false" customHeight="false" outlineLevel="0" collapsed="false">
      <c r="A104" s="8" t="s">
        <v>715</v>
      </c>
      <c r="B104" s="31" t="n">
        <f aca="false">Fits!$B$224</f>
        <v>-0.119633159702981</v>
      </c>
      <c r="D104" s="8" t="str">
        <f aca="false">IF(Fits!$B$221&lt;3,"too few monitors",IF(AND(ISNUMBER(Fits!$B$225),Fits!$B$225&lt;Setup!$B$15),"CHECK: the background under the monitors moved across the run (p="&amp;TEXT(Fits!$B$225,"0.000")&amp;")","ok, no trend (p="&amp;TEXT(Fits!$B$225,"0.00")&amp;")"))</f>
        <v>CHECK: the background under the monitors moved across the run (p=0.000)</v>
      </c>
    </row>
    <row r="105" customFormat="false" ht="15" hidden="false" customHeight="false" outlineLevel="0" collapsed="false">
      <c r="A105" s="5" t="s">
        <v>716</v>
      </c>
    </row>
    <row r="106" customFormat="false" ht="15" hidden="false" customHeight="false" outlineLevel="0" collapsed="false">
      <c r="A106" s="5" t="s">
        <v>717</v>
      </c>
    </row>
    <row r="107" customFormat="false" ht="15" hidden="false" customHeight="false" outlineLevel="0" collapsed="false">
      <c r="A107" s="27" t="s">
        <v>718</v>
      </c>
      <c r="B107" s="28"/>
      <c r="C107" s="28"/>
      <c r="D107" s="28"/>
      <c r="E107" s="28"/>
      <c r="F107" s="28"/>
      <c r="G107" s="28"/>
      <c r="H107" s="28"/>
      <c r="I107" s="28"/>
    </row>
    <row r="108" customFormat="false" ht="15" hidden="false" customHeight="false" outlineLevel="0" collapsed="false">
      <c r="A108" s="8" t="s">
        <v>343</v>
      </c>
      <c r="B108" s="31" t="n">
        <f aca="false">IFERROR(STDEV(Work!$BO$6:$BO$125),"")</f>
        <v>0.262706939187826</v>
      </c>
    </row>
    <row r="109" customFormat="false" ht="15" hidden="false" customHeight="false" outlineLevel="0" collapsed="false">
      <c r="A109" s="8" t="s">
        <v>719</v>
      </c>
      <c r="B109" s="31" t="n">
        <f aca="false">IFERROR(STDEV(Work!$BP$6:$BP$125),"")</f>
        <v>0.262706939187826</v>
      </c>
    </row>
    <row r="110" customFormat="false" ht="15" hidden="false" customHeight="false" outlineLevel="0" collapsed="false">
      <c r="A110" s="8" t="s">
        <v>720</v>
      </c>
      <c r="B110" s="31" t="n">
        <f aca="false">IFERROR(STDEV(Work!$BQ$6:$BQ$125),"")</f>
        <v>0.262706939187826</v>
      </c>
    </row>
    <row r="111" customFormat="false" ht="15" hidden="false" customHeight="false" outlineLevel="0" collapsed="false">
      <c r="A111" s="8" t="s">
        <v>721</v>
      </c>
      <c r="B111" s="31" t="n">
        <f aca="false">IFERROR(STDEV(Work!$BR$6:$BR$125),"")</f>
        <v>0.13656575543678</v>
      </c>
    </row>
    <row r="112" customFormat="false" ht="15" hidden="false" customHeight="false" outlineLevel="0" collapsed="false">
      <c r="A112" s="8" t="s">
        <v>722</v>
      </c>
      <c r="B112" s="31" t="n">
        <f aca="false">IFERROR(STDEV(Work!$BG$6:$BG$125),"")</f>
        <v>0.140198096308645</v>
      </c>
    </row>
    <row r="113" customFormat="false" ht="15" hidden="false" customHeight="false" outlineLevel="0" collapsed="false">
      <c r="D113" s="5" t="s">
        <v>723</v>
      </c>
    </row>
    <row r="114" customFormat="false" ht="15" hidden="false" customHeight="false" outlineLevel="0" collapsed="false">
      <c r="A114" s="5" t="s">
        <v>724</v>
      </c>
    </row>
    <row r="116" customFormat="false" ht="15" hidden="false" customHeight="false" outlineLevel="0" collapsed="false">
      <c r="A116" s="27" t="s">
        <v>628</v>
      </c>
      <c r="B116" s="28"/>
      <c r="C116" s="28"/>
      <c r="D116" s="28"/>
      <c r="E116" s="28"/>
      <c r="F116" s="28"/>
      <c r="G116" s="28"/>
      <c r="H116" s="28"/>
      <c r="I116" s="28"/>
    </row>
    <row r="117" customFormat="false" ht="15" hidden="false" customHeight="false" outlineLevel="0" collapsed="false">
      <c r="A117" s="5" t="s">
        <v>725</v>
      </c>
    </row>
    <row r="118" customFormat="false" ht="15" hidden="false" customHeight="false" outlineLevel="0" collapsed="false">
      <c r="A118" s="8" t="s">
        <v>726</v>
      </c>
      <c r="B118" s="29" t="n">
        <f aca="false">Fits!$B$229</f>
        <v>4</v>
      </c>
    </row>
    <row r="119" customFormat="false" ht="15" hidden="false" customHeight="false" outlineLevel="0" collapsed="false">
      <c r="A119" s="8" t="s">
        <v>727</v>
      </c>
      <c r="B119" s="29" t="n">
        <f aca="false">Fits!$B$230</f>
        <v>1</v>
      </c>
      <c r="D119" s="8" t="str">
        <f aca="false">IF($B$119=0,"ok","CHECK: put a blank capsule or a drift monitor after each oversized sample")</f>
        <v>CHECK: put a blank capsule or a drift monitor after each oversized sample</v>
      </c>
    </row>
    <row r="120" customFormat="false" ht="15" hidden="false" customHeight="false" outlineLevel="0" collapsed="false">
      <c r="A120" s="8" t="s">
        <v>728</v>
      </c>
      <c r="B120" s="29" t="n">
        <f aca="false">Fits!$B$231</f>
        <v>0</v>
      </c>
      <c r="D120" s="8" t="str">
        <f aca="false">IF(Fits!$B$228="","check switched off in Setup B28",IF($B$120=0,"ok","CHECK: listed below, and marked in red on the background chart at K92"))</f>
        <v>ok</v>
      </c>
    </row>
    <row r="121" customFormat="false" ht="15" hidden="false" customHeight="false" outlineLevel="0" collapsed="false">
      <c r="A121" s="38" t="s">
        <v>729</v>
      </c>
      <c r="B121" s="38" t="s">
        <v>730</v>
      </c>
      <c r="C121" s="38" t="s">
        <v>731</v>
      </c>
      <c r="D121" s="38" t="s">
        <v>732</v>
      </c>
    </row>
    <row r="122" customFormat="false" ht="15" hidden="false" customHeight="false" outlineLevel="0" collapsed="false">
      <c r="A122" s="39" t="str">
        <f aca="false">IFERROR(INDEX(Work!$B$6:$B$125,MATCH(1,Work!$EO$6:$EO$125,0)),"")</f>
        <v/>
      </c>
      <c r="B122" s="19" t="str">
        <f aca="false">IFERROR(INDEX(Work!$A$6:$A$125,MATCH(1,Work!$EO$6:$EO$125,0)),"")</f>
        <v/>
      </c>
      <c r="C122" s="20" t="str">
        <f aca="false">IFERROR(INDEX(Work!$EM$6:$EM$125,MATCH(1,Work!$EO$6:$EO$125,0)),"")</f>
        <v/>
      </c>
      <c r="D122" s="40" t="str">
        <f aca="false">IFERROR(INDEX(Work!$EM$6:$EM$125,MATCH(1,Work!$EO$6:$EO$125,0))/INDEX(Work!$M$6:$M$125,MATCH(1,Work!$EO$6:$EO$125,0)),"")</f>
        <v/>
      </c>
    </row>
    <row r="123" customFormat="false" ht="15" hidden="false" customHeight="false" outlineLevel="0" collapsed="false">
      <c r="A123" s="39" t="str">
        <f aca="false">IFERROR(INDEX(Work!$B$6:$B$125,MATCH(2,Work!$EO$6:$EO$125,0)),"")</f>
        <v/>
      </c>
      <c r="B123" s="19" t="str">
        <f aca="false">IFERROR(INDEX(Work!$A$6:$A$125,MATCH(2,Work!$EO$6:$EO$125,0)),"")</f>
        <v/>
      </c>
      <c r="C123" s="20" t="str">
        <f aca="false">IFERROR(INDEX(Work!$EM$6:$EM$125,MATCH(2,Work!$EO$6:$EO$125,0)),"")</f>
        <v/>
      </c>
      <c r="D123" s="40" t="str">
        <f aca="false">IFERROR(INDEX(Work!$EM$6:$EM$125,MATCH(2,Work!$EO$6:$EO$125,0))/INDEX(Work!$M$6:$M$125,MATCH(2,Work!$EO$6:$EO$125,0)),"")</f>
        <v/>
      </c>
    </row>
    <row r="124" customFormat="false" ht="15" hidden="false" customHeight="false" outlineLevel="0" collapsed="false">
      <c r="A124" s="39" t="str">
        <f aca="false">IFERROR(INDEX(Work!$B$6:$B$125,MATCH(3,Work!$EO$6:$EO$125,0)),"")</f>
        <v/>
      </c>
      <c r="B124" s="19" t="str">
        <f aca="false">IFERROR(INDEX(Work!$A$6:$A$125,MATCH(3,Work!$EO$6:$EO$125,0)),"")</f>
        <v/>
      </c>
      <c r="C124" s="20" t="str">
        <f aca="false">IFERROR(INDEX(Work!$EM$6:$EM$125,MATCH(3,Work!$EO$6:$EO$125,0)),"")</f>
        <v/>
      </c>
      <c r="D124" s="40" t="str">
        <f aca="false">IFERROR(INDEX(Work!$EM$6:$EM$125,MATCH(3,Work!$EO$6:$EO$125,0))/INDEX(Work!$M$6:$M$125,MATCH(3,Work!$EO$6:$EO$125,0)),"")</f>
        <v/>
      </c>
    </row>
    <row r="125" customFormat="false" ht="15" hidden="false" customHeight="false" outlineLevel="0" collapsed="false">
      <c r="A125" s="39" t="str">
        <f aca="false">IFERROR(INDEX(Work!$B$6:$B$125,MATCH(4,Work!$EO$6:$EO$125,0)),"")</f>
        <v/>
      </c>
      <c r="B125" s="19" t="str">
        <f aca="false">IFERROR(INDEX(Work!$A$6:$A$125,MATCH(4,Work!$EO$6:$EO$125,0)),"")</f>
        <v/>
      </c>
      <c r="C125" s="20" t="str">
        <f aca="false">IFERROR(INDEX(Work!$EM$6:$EM$125,MATCH(4,Work!$EO$6:$EO$125,0)),"")</f>
        <v/>
      </c>
      <c r="D125" s="40" t="str">
        <f aca="false">IFERROR(INDEX(Work!$EM$6:$EM$125,MATCH(4,Work!$EO$6:$EO$125,0))/INDEX(Work!$M$6:$M$125,MATCH(4,Work!$EO$6:$EO$125,0)),"")</f>
        <v/>
      </c>
    </row>
    <row r="126" customFormat="false" ht="15" hidden="false" customHeight="false" outlineLevel="0" collapsed="false">
      <c r="A126" s="39" t="str">
        <f aca="false">IFERROR(INDEX(Work!$B$6:$B$125,MATCH(5,Work!$EO$6:$EO$125,0)),"")</f>
        <v/>
      </c>
      <c r="B126" s="19" t="str">
        <f aca="false">IFERROR(INDEX(Work!$A$6:$A$125,MATCH(5,Work!$EO$6:$EO$125,0)),"")</f>
        <v/>
      </c>
      <c r="C126" s="20" t="str">
        <f aca="false">IFERROR(INDEX(Work!$EM$6:$EM$125,MATCH(5,Work!$EO$6:$EO$125,0)),"")</f>
        <v/>
      </c>
      <c r="D126" s="40" t="str">
        <f aca="false">IFERROR(INDEX(Work!$EM$6:$EM$125,MATCH(5,Work!$EO$6:$EO$125,0))/INDEX(Work!$M$6:$M$125,MATCH(5,Work!$EO$6:$EO$125,0)),"")</f>
        <v/>
      </c>
    </row>
    <row r="127" customFormat="false" ht="15" hidden="false" customHeight="false" outlineLevel="0" collapsed="false">
      <c r="A127" s="39" t="str">
        <f aca="false">IFERROR(INDEX(Work!$B$6:$B$125,MATCH(6,Work!$EO$6:$EO$125,0)),"")</f>
        <v/>
      </c>
      <c r="B127" s="19" t="str">
        <f aca="false">IFERROR(INDEX(Work!$A$6:$A$125,MATCH(6,Work!$EO$6:$EO$125,0)),"")</f>
        <v/>
      </c>
      <c r="C127" s="20" t="str">
        <f aca="false">IFERROR(INDEX(Work!$EM$6:$EM$125,MATCH(6,Work!$EO$6:$EO$125,0)),"")</f>
        <v/>
      </c>
      <c r="D127" s="40" t="str">
        <f aca="false">IFERROR(INDEX(Work!$EM$6:$EM$125,MATCH(6,Work!$EO$6:$EO$125,0))/INDEX(Work!$M$6:$M$125,MATCH(6,Work!$EO$6:$EO$125,0)),"")</f>
        <v/>
      </c>
    </row>
    <row r="128" customFormat="false" ht="15" hidden="false" customHeight="false" outlineLevel="0" collapsed="false">
      <c r="A128" s="39" t="str">
        <f aca="false">IFERROR(INDEX(Work!$B$6:$B$125,MATCH(7,Work!$EO$6:$EO$125,0)),"")</f>
        <v/>
      </c>
      <c r="B128" s="19" t="str">
        <f aca="false">IFERROR(INDEX(Work!$A$6:$A$125,MATCH(7,Work!$EO$6:$EO$125,0)),"")</f>
        <v/>
      </c>
      <c r="C128" s="20" t="str">
        <f aca="false">IFERROR(INDEX(Work!$EM$6:$EM$125,MATCH(7,Work!$EO$6:$EO$125,0)),"")</f>
        <v/>
      </c>
      <c r="D128" s="40" t="str">
        <f aca="false">IFERROR(INDEX(Work!$EM$6:$EM$125,MATCH(7,Work!$EO$6:$EO$125,0))/INDEX(Work!$M$6:$M$125,MATCH(7,Work!$EO$6:$EO$125,0)),"")</f>
        <v/>
      </c>
    </row>
    <row r="129" customFormat="false" ht="15" hidden="false" customHeight="false" outlineLevel="0" collapsed="false">
      <c r="A129" s="39" t="str">
        <f aca="false">IFERROR(INDEX(Work!$B$6:$B$125,MATCH(8,Work!$EO$6:$EO$125,0)),"")</f>
        <v/>
      </c>
      <c r="B129" s="19" t="str">
        <f aca="false">IFERROR(INDEX(Work!$A$6:$A$125,MATCH(8,Work!$EO$6:$EO$125,0)),"")</f>
        <v/>
      </c>
      <c r="C129" s="20" t="str">
        <f aca="false">IFERROR(INDEX(Work!$EM$6:$EM$125,MATCH(8,Work!$EO$6:$EO$125,0)),"")</f>
        <v/>
      </c>
      <c r="D129" s="40" t="str">
        <f aca="false">IFERROR(INDEX(Work!$EM$6:$EM$125,MATCH(8,Work!$EO$6:$EO$125,0))/INDEX(Work!$M$6:$M$125,MATCH(8,Work!$EO$6:$EO$125,0)),"")</f>
        <v/>
      </c>
    </row>
    <row r="130" customFormat="false" ht="15" hidden="false" customHeight="false" outlineLevel="0" collapsed="false">
      <c r="A130" s="39" t="str">
        <f aca="false">IFERROR(INDEX(Work!$B$6:$B$125,MATCH(9,Work!$EO$6:$EO$125,0)),"")</f>
        <v/>
      </c>
      <c r="B130" s="19" t="str">
        <f aca="false">IFERROR(INDEX(Work!$A$6:$A$125,MATCH(9,Work!$EO$6:$EO$125,0)),"")</f>
        <v/>
      </c>
      <c r="C130" s="20" t="str">
        <f aca="false">IFERROR(INDEX(Work!$EM$6:$EM$125,MATCH(9,Work!$EO$6:$EO$125,0)),"")</f>
        <v/>
      </c>
      <c r="D130" s="40" t="str">
        <f aca="false">IFERROR(INDEX(Work!$EM$6:$EM$125,MATCH(9,Work!$EO$6:$EO$125,0))/INDEX(Work!$M$6:$M$125,MATCH(9,Work!$EO$6:$EO$125,0)),"")</f>
        <v/>
      </c>
    </row>
    <row r="131" customFormat="false" ht="15" hidden="false" customHeight="false" outlineLevel="0" collapsed="false">
      <c r="A131" s="39" t="str">
        <f aca="false">IFERROR(INDEX(Work!$B$6:$B$125,MATCH(10,Work!$EO$6:$EO$125,0)),"")</f>
        <v/>
      </c>
      <c r="B131" s="19" t="str">
        <f aca="false">IFERROR(INDEX(Work!$A$6:$A$125,MATCH(10,Work!$EO$6:$EO$125,0)),"")</f>
        <v/>
      </c>
      <c r="C131" s="20" t="str">
        <f aca="false">IFERROR(INDEX(Work!$EM$6:$EM$125,MATCH(10,Work!$EO$6:$EO$125,0)),"")</f>
        <v/>
      </c>
      <c r="D131" s="40" t="str">
        <f aca="false">IFERROR(INDEX(Work!$EM$6:$EM$125,MATCH(10,Work!$EO$6:$EO$125,0))/INDEX(Work!$M$6:$M$125,MATCH(10,Work!$EO$6:$EO$125,0)),"")</f>
        <v/>
      </c>
    </row>
    <row r="132" customFormat="false" ht="15" hidden="false" customHeight="false" outlineLevel="0" collapsed="false">
      <c r="A132" s="8" t="str">
        <f aca="false">IF(Fits!$B$231&gt;10,"and "&amp;TEXT(Fits!$B$231-10,"0")&amp;" more, all flagged on Results","")</f>
        <v/>
      </c>
    </row>
    <row r="133" customFormat="false" ht="15" hidden="false" customHeight="false" outlineLevel="0" collapsed="false">
      <c r="A133" s="5" t="s">
        <v>733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2026-09-24T02:56:18Z</dcterms:created>
  <dc:creator>openpyxl</dc:creator>
  <dc:description/>
  <dc:language>en-US</dc:language>
  <cp:lastModifiedBy/>
  <dcterms:modified xsi:type="dcterms:W3CDTF">2026-09-24T02:56:18Z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